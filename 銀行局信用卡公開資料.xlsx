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1" autoFilterDateGrouping="1"/>
  </bookViews>
  <sheets>
    <sheet xmlns:r="http://schemas.openxmlformats.org/officeDocument/2006/relationships" name="歷史資料(年+月)" sheetId="1" state="visible" r:id="rId1"/>
    <sheet xmlns:r="http://schemas.openxmlformats.org/officeDocument/2006/relationships" name="信用卡 (公式)月" sheetId="2" state="visible" r:id="rId2"/>
    <sheet xmlns:r="http://schemas.openxmlformats.org/officeDocument/2006/relationships" name="信用卡(公式)年" sheetId="3" state="visible" r:id="rId3"/>
    <sheet xmlns:r="http://schemas.openxmlformats.org/officeDocument/2006/relationships" name="工作表2" sheetId="4" state="hidden" r:id="rId4"/>
    <sheet xmlns:r="http://schemas.openxmlformats.org/officeDocument/2006/relationships" name="5year" sheetId="5" state="hidden" r:id="rId5"/>
    <sheet xmlns:r="http://schemas.openxmlformats.org/officeDocument/2006/relationships" name="年收消費RAW" sheetId="6" state="hidden" r:id="rId6"/>
    <sheet xmlns:r="http://schemas.openxmlformats.org/officeDocument/2006/relationships" name="past" sheetId="7" state="hidden" r:id="rId7"/>
    <sheet xmlns:r="http://schemas.openxmlformats.org/officeDocument/2006/relationships" name="工作表1" sheetId="8" state="hidden" r:id="rId8"/>
    <sheet xmlns:r="http://schemas.openxmlformats.org/officeDocument/2006/relationships" name="頂級卡" sheetId="9" state="hidden" r:id="rId9"/>
    <sheet xmlns:r="http://schemas.openxmlformats.org/officeDocument/2006/relationships" name="收單特店" sheetId="10" state="hidden" r:id="rId10"/>
  </sheets>
  <definedNames/>
  <calcPr calcId="191029" fullCalcOnLoad="1" iterateDelta="0.0001" forceFullCalc="1"/>
  <pivotCaches>
    <pivotCache xmlns:r="http://schemas.openxmlformats.org/officeDocument/2006/relationships" cacheId="2" r:id="rId11"/>
  </pivotCaches>
</workbook>
</file>

<file path=xl/styles.xml><?xml version="1.0" encoding="utf-8"?>
<styleSheet xmlns="http://schemas.openxmlformats.org/spreadsheetml/2006/main">
  <numFmts count="9">
    <numFmt numFmtId="164" formatCode="0.00_);[Red]\(0.00\)"/>
    <numFmt numFmtId="165" formatCode="_-* #,##0.00_-;\-* #,##0.00_-;_-* \-??_-;_-@_-"/>
    <numFmt numFmtId="166" formatCode="_-* #,##0_-;\-* #,##0_-;_-* \-??_-;_-@_-"/>
    <numFmt numFmtId="167" formatCode="0.0%"/>
    <numFmt numFmtId="168" formatCode="_-* #,##0.000_-;\-* #,##0.000_-;_-* \-??_-;_-@_-"/>
    <numFmt numFmtId="169" formatCode="#,##0_);[Red]\(#,##0\)"/>
    <numFmt numFmtId="170" formatCode="0_);[Red]\(0\)"/>
    <numFmt numFmtId="171" formatCode="_-* #,##0.0_-;\-* #,##0.0_-;_-* \-??_-;_-@_-"/>
    <numFmt numFmtId="172" formatCode="_(* #,##0.00_);_(* \(#,##0.00\);_(* \-??_);_(@_)"/>
  </numFmts>
  <fonts count="26">
    <font>
      <name val="新細明體"/>
      <charset val="136"/>
      <family val="2"/>
      <color theme="1"/>
      <sz val="12"/>
    </font>
    <font>
      <name val="新細明體"/>
      <charset val="136"/>
      <family val="1"/>
      <color theme="1"/>
      <sz val="12"/>
    </font>
    <font>
      <name val="新細明體"/>
      <charset val="136"/>
      <family val="1"/>
      <sz val="12"/>
    </font>
    <font>
      <name val="新細明體"/>
      <charset val="136"/>
      <family val="1"/>
      <color rgb="FF000000"/>
      <sz val="12"/>
    </font>
    <font>
      <name val="新細明體"/>
      <charset val="136"/>
      <family val="2"/>
      <color rgb="FF000066"/>
      <sz val="12"/>
    </font>
    <font>
      <name val="新細明體"/>
      <charset val="136"/>
      <family val="2"/>
      <b val="1"/>
      <color theme="1"/>
      <sz val="12"/>
    </font>
    <font>
      <name val="微軟正黑體"/>
      <charset val="136"/>
      <family val="2"/>
      <color theme="1"/>
      <sz val="12"/>
    </font>
    <font>
      <name val="微軟正黑體"/>
      <charset val="136"/>
      <family val="2"/>
      <b val="1"/>
      <color rgb="FFFFFFFF"/>
      <sz val="12"/>
    </font>
    <font>
      <name val="Noto Sans CJK SC"/>
      <family val="2"/>
      <b val="1"/>
      <color rgb="FFFFFFFF"/>
      <sz val="12"/>
    </font>
    <font>
      <name val="Noto Sans CJK SC"/>
      <family val="2"/>
      <color theme="1"/>
      <sz val="12"/>
    </font>
    <font>
      <name val="微軟正黑體"/>
      <charset val="136"/>
      <family val="2"/>
      <color rgb="FF000000"/>
      <sz val="12"/>
    </font>
    <font>
      <name val="Noto Sans CJK SC"/>
      <family val="2"/>
      <color rgb="FF000000"/>
      <sz val="12"/>
    </font>
    <font>
      <name val="微軟正黑體"/>
      <charset val="136"/>
      <family val="2"/>
      <sz val="12"/>
    </font>
    <font>
      <name val="微軟正黑體"/>
      <charset val="136"/>
      <family val="2"/>
      <color theme="1"/>
      <sz val="10"/>
    </font>
    <font>
      <name val="Noto Sans CJK SC"/>
      <family val="2"/>
      <color theme="1"/>
      <sz val="10"/>
    </font>
    <font>
      <name val="微軟正黑體"/>
      <charset val="136"/>
      <family val="2"/>
      <color theme="10"/>
      <sz val="12"/>
      <u val="single"/>
    </font>
    <font>
      <name val="新細明體"/>
      <charset val="136"/>
      <family val="2"/>
      <color theme="10"/>
      <sz val="12"/>
      <u val="single"/>
    </font>
    <font>
      <name val="微軟正黑體"/>
      <charset val="136"/>
      <family val="2"/>
      <color rgb="FFFF0000"/>
      <sz val="12"/>
    </font>
    <font>
      <name val="微軟正黑體"/>
      <charset val="136"/>
      <family val="2"/>
      <sz val="10"/>
    </font>
    <font>
      <name val="Noto Sans CJK SC"/>
      <family val="2"/>
      <b val="1"/>
      <color theme="1"/>
      <sz val="12"/>
    </font>
    <font>
      <name val="微軟正黑體"/>
      <charset val="136"/>
      <family val="2"/>
      <b val="1"/>
      <color theme="1"/>
      <sz val="12"/>
    </font>
    <font>
      <name val="新細明體"/>
      <charset val="136"/>
      <family val="2"/>
      <color theme="1"/>
      <sz val="12"/>
    </font>
    <font>
      <name val="新細明體"/>
      <charset val="136"/>
      <family val="2"/>
      <sz val="9"/>
    </font>
    <font>
      <name val="微軟正黑體"/>
      <family val="2"/>
      <color rgb="FF000000"/>
      <sz val="12"/>
    </font>
    <font>
      <name val="Arial"/>
      <family val="2"/>
      <color theme="1"/>
      <sz val="12"/>
    </font>
    <font>
      <name val="Noto Sans CJK SC"/>
      <charset val="136"/>
      <family val="2"/>
      <color theme="1"/>
      <sz val="12"/>
    </font>
  </fonts>
  <fills count="9">
    <fill>
      <patternFill/>
    </fill>
    <fill>
      <patternFill patternType="gray125"/>
    </fill>
    <fill>
      <patternFill patternType="solid">
        <fgColor rgb="FF156082"/>
        <bgColor rgb="FF2F5597"/>
      </patternFill>
    </fill>
    <fill>
      <patternFill patternType="solid">
        <fgColor rgb="FFC0E6F5"/>
        <bgColor rgb="FFD9D9D9"/>
      </patternFill>
    </fill>
    <fill>
      <patternFill patternType="solid">
        <fgColor rgb="FFFFC000"/>
        <bgColor rgb="FFFF9900"/>
      </patternFill>
    </fill>
    <fill>
      <patternFill patternType="solid">
        <fgColor theme="0" tint="-0.249977111117893"/>
        <bgColor rgb="FFD0CECE"/>
      </patternFill>
    </fill>
    <fill>
      <patternFill patternType="solid">
        <fgColor theme="2" tint="-0.09997863704336681"/>
        <bgColor rgb="FFD9D9D9"/>
      </patternFill>
    </fill>
    <fill>
      <patternFill patternType="solid">
        <fgColor rgb="FFFFFF00"/>
        <bgColor rgb="FFFFFF00"/>
      </patternFill>
    </fill>
    <fill>
      <patternFill patternType="solid">
        <fgColor theme="0" tint="-0.249977111117893"/>
        <bgColor indexed="64"/>
      </patternFill>
    </fill>
  </fills>
  <borders count="23">
    <border>
      <left/>
      <right/>
      <top/>
      <bottom/>
      <diagonal/>
    </border>
    <border>
      <left/>
      <right/>
      <top/>
      <bottom style="thin">
        <color rgb="FF44B3E1"/>
      </bottom>
      <diagonal/>
    </border>
    <border>
      <left/>
      <right/>
      <top style="thin">
        <color rgb="FF44B3E1"/>
      </top>
      <bottom style="thin">
        <color rgb="FF44B3E1"/>
      </bottom>
      <diagonal/>
    </border>
    <border>
      <left/>
      <right/>
      <top style="thin">
        <color rgb="FF44B3E1"/>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17">
    <xf numFmtId="0" fontId="21" fillId="0" borderId="0" applyAlignment="1">
      <alignment vertical="center"/>
    </xf>
    <xf numFmtId="172" fontId="21" fillId="0" borderId="0" applyAlignment="1">
      <alignment vertical="center"/>
    </xf>
    <xf numFmtId="9" fontId="21" fillId="0" borderId="0" applyAlignment="1">
      <alignment vertical="center"/>
    </xf>
    <xf numFmtId="0" fontId="16" fillId="0" borderId="0" applyAlignment="1">
      <alignment vertical="center"/>
    </xf>
    <xf numFmtId="0" fontId="1" fillId="0" borderId="0" applyAlignment="1">
      <alignment vertical="center"/>
    </xf>
    <xf numFmtId="0" fontId="2" fillId="0" borderId="0" applyAlignment="1">
      <alignment vertical="center"/>
    </xf>
    <xf numFmtId="0" fontId="21" fillId="0" borderId="0" applyAlignment="1">
      <alignment vertical="center"/>
    </xf>
    <xf numFmtId="0" fontId="2" fillId="0" borderId="0"/>
    <xf numFmtId="172" fontId="3" fillId="0" borderId="0" applyAlignment="1">
      <alignment vertical="center"/>
    </xf>
    <xf numFmtId="9" fontId="3" fillId="0" borderId="0" applyAlignment="1">
      <alignment vertical="center"/>
    </xf>
    <xf numFmtId="0" fontId="4" fillId="0" borderId="0" applyAlignment="1">
      <alignment vertical="center"/>
    </xf>
    <xf numFmtId="0" fontId="21" fillId="0" borderId="0" applyAlignment="1">
      <alignment vertical="center"/>
    </xf>
    <xf numFmtId="0" fontId="21" fillId="0" borderId="0" applyAlignment="1">
      <alignment vertical="center"/>
    </xf>
    <xf numFmtId="0" fontId="21" fillId="0" borderId="0" applyAlignment="1">
      <alignment vertical="center"/>
    </xf>
    <xf numFmtId="0" fontId="21" fillId="0" borderId="0" applyAlignment="1">
      <alignment horizontal="left" vertical="center"/>
    </xf>
    <xf numFmtId="0" fontId="5" fillId="0" borderId="0" applyAlignment="1">
      <alignment horizontal="left" vertical="center"/>
    </xf>
    <xf numFmtId="0" fontId="5" fillId="0" borderId="0" applyAlignment="1">
      <alignment vertical="center"/>
    </xf>
  </cellStyleXfs>
  <cellXfs count="208">
    <xf numFmtId="0" fontId="0" fillId="0" borderId="0" applyAlignment="1" pivotButton="0" quotePrefix="0" xfId="0">
      <alignment vertical="center"/>
    </xf>
    <xf numFmtId="0" fontId="6" fillId="0" borderId="0" applyAlignment="1" pivotButton="0" quotePrefix="0" xfId="0">
      <alignment horizontal="center"/>
    </xf>
    <xf numFmtId="0" fontId="6" fillId="0" borderId="0" pivotButton="0" quotePrefix="0" xfId="0"/>
    <xf numFmtId="10" fontId="6" fillId="0" borderId="0" pivotButton="0" quotePrefix="0" xfId="0"/>
    <xf numFmtId="10" fontId="6" fillId="0" borderId="0" applyAlignment="1" pivotButton="0" quotePrefix="0" xfId="2">
      <alignment vertical="center"/>
    </xf>
    <xf numFmtId="10" fontId="8" fillId="2" borderId="1" applyAlignment="1" pivotButton="0" quotePrefix="0" xfId="2">
      <alignment vertical="center"/>
    </xf>
    <xf numFmtId="0" fontId="8" fillId="2" borderId="1" applyAlignment="1" pivotButton="0" quotePrefix="0" xfId="1">
      <alignment vertical="center"/>
    </xf>
    <xf numFmtId="0" fontId="8" fillId="2" borderId="1" applyAlignment="1" pivotButton="0" quotePrefix="0" xfId="0">
      <alignment vertical="center"/>
    </xf>
    <xf numFmtId="10" fontId="7" fillId="2" borderId="1" applyAlignment="1" pivotButton="0" quotePrefix="0" xfId="2">
      <alignment vertical="center"/>
    </xf>
    <xf numFmtId="0" fontId="10" fillId="3" borderId="2" applyAlignment="1" pivotButton="0" quotePrefix="0" xfId="0">
      <alignment horizontal="center" vertical="center"/>
    </xf>
    <xf numFmtId="0" fontId="10" fillId="3" borderId="2" applyAlignment="1" pivotButton="0" quotePrefix="0" xfId="0">
      <alignment vertical="center"/>
    </xf>
    <xf numFmtId="0" fontId="10" fillId="3" borderId="2" pivotButton="0" quotePrefix="0" xfId="0"/>
    <xf numFmtId="10" fontId="10" fillId="3" borderId="2" applyAlignment="1" pivotButton="0" quotePrefix="0" xfId="2">
      <alignment vertical="center"/>
    </xf>
    <xf numFmtId="10" fontId="6" fillId="3" borderId="2" applyAlignment="1" pivotButton="0" quotePrefix="0" xfId="2">
      <alignment vertical="center"/>
    </xf>
    <xf numFmtId="0" fontId="10" fillId="0" borderId="2" applyAlignment="1" pivotButton="0" quotePrefix="0" xfId="0">
      <alignment horizontal="center" vertical="center"/>
    </xf>
    <xf numFmtId="0" fontId="10" fillId="0" borderId="2" applyAlignment="1" pivotButton="0" quotePrefix="0" xfId="0">
      <alignment vertical="center"/>
    </xf>
    <xf numFmtId="0" fontId="10" fillId="0" borderId="2" pivotButton="0" quotePrefix="0" xfId="0"/>
    <xf numFmtId="10" fontId="10" fillId="0" borderId="2" applyAlignment="1" pivotButton="0" quotePrefix="0" xfId="2">
      <alignment vertical="center"/>
    </xf>
    <xf numFmtId="10" fontId="6" fillId="0" borderId="2" applyAlignment="1" pivotButton="0" quotePrefix="0" xfId="2">
      <alignment vertical="center"/>
    </xf>
    <xf numFmtId="10" fontId="10" fillId="0" borderId="2" pivotButton="0" quotePrefix="0" xfId="0"/>
    <xf numFmtId="10" fontId="10" fillId="3" borderId="2" pivotButton="0" quotePrefix="0" xfId="0"/>
    <xf numFmtId="3" fontId="10" fillId="3" borderId="2" applyAlignment="1" pivotButton="0" quotePrefix="0" xfId="0">
      <alignment vertical="center"/>
    </xf>
    <xf numFmtId="3" fontId="10" fillId="3" borderId="2" pivotButton="0" quotePrefix="0" xfId="0"/>
    <xf numFmtId="3" fontId="10" fillId="0" borderId="2" applyAlignment="1" pivotButton="0" quotePrefix="0" xfId="0">
      <alignment vertical="center"/>
    </xf>
    <xf numFmtId="3" fontId="10" fillId="0" borderId="2" pivotButton="0" quotePrefix="0" xfId="0"/>
    <xf numFmtId="0" fontId="10" fillId="0" borderId="3" applyAlignment="1" pivotButton="0" quotePrefix="0" xfId="0">
      <alignment horizontal="center" vertical="center"/>
    </xf>
    <xf numFmtId="0" fontId="10" fillId="0" borderId="3" applyAlignment="1" pivotButton="0" quotePrefix="0" xfId="0">
      <alignment vertical="center"/>
    </xf>
    <xf numFmtId="10" fontId="10" fillId="0" borderId="3" applyAlignment="1" pivotButton="0" quotePrefix="0" xfId="2">
      <alignment vertical="center"/>
    </xf>
    <xf numFmtId="10" fontId="10" fillId="0" borderId="3" pivotButton="0" quotePrefix="0" xfId="0"/>
    <xf numFmtId="0" fontId="10" fillId="0" borderId="3" pivotButton="0" quotePrefix="0" xfId="0"/>
    <xf numFmtId="0" fontId="6" fillId="0" borderId="0" applyAlignment="1" pivotButton="0" quotePrefix="0" xfId="0">
      <alignment horizontal="center" vertical="center"/>
    </xf>
    <xf numFmtId="2" fontId="13" fillId="0" borderId="0" applyAlignment="1" pivotButton="0" quotePrefix="0" xfId="2">
      <alignment vertical="center"/>
    </xf>
    <xf numFmtId="2" fontId="13" fillId="0" borderId="0" applyAlignment="1" pivotButton="0" quotePrefix="0" xfId="0">
      <alignment vertical="center"/>
    </xf>
    <xf numFmtId="10" fontId="6" fillId="5" borderId="0" applyAlignment="1" pivotButton="0" quotePrefix="0" xfId="2">
      <alignment vertical="center"/>
    </xf>
    <xf numFmtId="9" fontId="6" fillId="0" borderId="0" applyAlignment="1" pivotButton="0" quotePrefix="0" xfId="2">
      <alignment vertical="center"/>
    </xf>
    <xf numFmtId="3" fontId="6" fillId="0" borderId="0" applyAlignment="1" pivotButton="0" quotePrefix="0" xfId="0">
      <alignment vertical="center"/>
    </xf>
    <xf numFmtId="0" fontId="9" fillId="0" borderId="0" applyAlignment="1" pivotButton="0" quotePrefix="0" xfId="0">
      <alignment vertical="center"/>
    </xf>
    <xf numFmtId="0" fontId="0" fillId="0" borderId="0" applyAlignment="1" pivotButton="0" quotePrefix="0" xfId="0">
      <alignment vertical="center"/>
    </xf>
    <xf numFmtId="0" fontId="19" fillId="4" borderId="0" applyAlignment="1" pivotButton="0" quotePrefix="0" xfId="0">
      <alignment horizontal="center" vertical="center"/>
    </xf>
    <xf numFmtId="0" fontId="20" fillId="4" borderId="0" applyAlignment="1" pivotButton="0" quotePrefix="0" xfId="0">
      <alignment horizontal="center" vertical="center"/>
    </xf>
    <xf numFmtId="9" fontId="0" fillId="0" borderId="0" applyAlignment="1" pivotButton="0" quotePrefix="0" xfId="2">
      <alignment vertical="center"/>
    </xf>
    <xf numFmtId="0" fontId="21" fillId="0" borderId="4" applyAlignment="1" pivotButton="0" quotePrefix="0" xfId="11">
      <alignment vertical="center"/>
    </xf>
    <xf numFmtId="0" fontId="0" fillId="0" borderId="5" applyAlignment="1" pivotButton="0" quotePrefix="0" xfId="13">
      <alignment vertical="center"/>
    </xf>
    <xf numFmtId="0" fontId="21" fillId="0" borderId="6" applyAlignment="1" pivotButton="0" quotePrefix="0" xfId="11">
      <alignment vertical="center"/>
    </xf>
    <xf numFmtId="0" fontId="21" fillId="0" borderId="7" applyAlignment="1" pivotButton="0" quotePrefix="0" xfId="11">
      <alignment vertical="center"/>
    </xf>
    <xf numFmtId="0" fontId="9" fillId="0" borderId="8" applyAlignment="1" pivotButton="0" quotePrefix="0" xfId="13">
      <alignment vertical="center"/>
    </xf>
    <xf numFmtId="0" fontId="9" fillId="0" borderId="9" applyAlignment="1" pivotButton="0" quotePrefix="0" xfId="14">
      <alignment horizontal="left" vertical="center"/>
    </xf>
    <xf numFmtId="0" fontId="9" fillId="0" borderId="10" applyAlignment="1" pivotButton="0" quotePrefix="0" xfId="14">
      <alignment horizontal="left" vertical="center"/>
    </xf>
    <xf numFmtId="0" fontId="9" fillId="0" borderId="11" applyAlignment="1" pivotButton="0" quotePrefix="0" xfId="14">
      <alignment horizontal="left" vertical="center"/>
    </xf>
    <xf numFmtId="0" fontId="0" fillId="0" borderId="12" applyAlignment="1" pivotButton="0" quotePrefix="0" xfId="14">
      <alignment horizontal="left" vertical="center"/>
    </xf>
    <xf numFmtId="0" fontId="21" fillId="0" borderId="13" applyAlignment="1" pivotButton="0" quotePrefix="0" xfId="12">
      <alignment vertical="center"/>
    </xf>
    <xf numFmtId="0" fontId="21" fillId="0" borderId="14" applyAlignment="1" pivotButton="0" quotePrefix="0" xfId="12">
      <alignment vertical="center"/>
    </xf>
    <xf numFmtId="0" fontId="21" fillId="0" borderId="15" applyAlignment="1" pivotButton="0" quotePrefix="0" xfId="12">
      <alignment vertical="center"/>
    </xf>
    <xf numFmtId="0" fontId="0" fillId="0" borderId="16" applyAlignment="1" pivotButton="0" quotePrefix="0" xfId="14">
      <alignment horizontal="left" vertical="center"/>
    </xf>
    <xf numFmtId="0" fontId="21" fillId="0" borderId="17" applyAlignment="1" pivotButton="0" quotePrefix="0" xfId="12">
      <alignment vertical="center"/>
    </xf>
    <xf numFmtId="0" fontId="21" fillId="0" borderId="0" applyAlignment="1" pivotButton="0" quotePrefix="0" xfId="12">
      <alignment vertical="center"/>
    </xf>
    <xf numFmtId="0" fontId="21" fillId="0" borderId="18" applyAlignment="1" pivotButton="0" quotePrefix="0" xfId="12">
      <alignment vertical="center"/>
    </xf>
    <xf numFmtId="0" fontId="21" fillId="0" borderId="9" applyAlignment="1" pivotButton="0" quotePrefix="0" xfId="12">
      <alignment vertical="center"/>
    </xf>
    <xf numFmtId="0" fontId="21" fillId="0" borderId="10" applyAlignment="1" pivotButton="0" quotePrefix="0" xfId="12">
      <alignment vertical="center"/>
    </xf>
    <xf numFmtId="0" fontId="21" fillId="0" borderId="11" applyAlignment="1" pivotButton="0" quotePrefix="0" xfId="12">
      <alignment vertical="center"/>
    </xf>
    <xf numFmtId="0" fontId="5" fillId="0" borderId="19" applyAlignment="1" pivotButton="0" quotePrefix="0" xfId="15">
      <alignment horizontal="left" vertical="center"/>
    </xf>
    <xf numFmtId="0" fontId="5" fillId="0" borderId="20" applyAlignment="1" pivotButton="0" quotePrefix="0" xfId="16">
      <alignment vertical="center"/>
    </xf>
    <xf numFmtId="0" fontId="5" fillId="0" borderId="21" applyAlignment="1" pivotButton="0" quotePrefix="0" xfId="16">
      <alignment vertical="center"/>
    </xf>
    <xf numFmtId="0" fontId="5" fillId="0" borderId="22" applyAlignment="1" pivotButton="0" quotePrefix="0" xfId="16">
      <alignment vertical="center"/>
    </xf>
    <xf numFmtId="0" fontId="0" fillId="4" borderId="0" applyAlignment="1" pivotButton="0" quotePrefix="0" xfId="0">
      <alignment horizontal="center" vertical="center"/>
    </xf>
    <xf numFmtId="0" fontId="0" fillId="0" borderId="10" applyAlignment="1" pivotButton="0" quotePrefix="0" xfId="0">
      <alignment vertical="center"/>
    </xf>
    <xf numFmtId="0" fontId="9" fillId="0" borderId="10" applyAlignment="1" pivotButton="0" quotePrefix="0" xfId="0">
      <alignment vertical="center"/>
    </xf>
    <xf numFmtId="0" fontId="9" fillId="0" borderId="0" applyAlignment="1" pivotButton="0" quotePrefix="0" xfId="0">
      <alignment horizontal="center" vertical="center"/>
    </xf>
    <xf numFmtId="0" fontId="9" fillId="7" borderId="0" applyAlignment="1" pivotButton="0" quotePrefix="0" xfId="0">
      <alignment horizontal="center" vertical="center"/>
    </xf>
    <xf numFmtId="0" fontId="6" fillId="4" borderId="0" applyAlignment="1" pivotButton="0" quotePrefix="0" xfId="0">
      <alignment horizontal="center" vertical="center"/>
    </xf>
    <xf numFmtId="0" fontId="18" fillId="0" borderId="0" applyAlignment="1" pivotButton="0" quotePrefix="0" xfId="2">
      <alignment vertical="center"/>
    </xf>
    <xf numFmtId="0" fontId="13" fillId="0" borderId="0" applyAlignment="1" pivotButton="0" quotePrefix="0" xfId="2">
      <alignment vertical="center"/>
    </xf>
    <xf numFmtId="0" fontId="6" fillId="0" borderId="0" applyAlignment="1" pivotButton="0" quotePrefix="0" xfId="0">
      <alignment vertical="center"/>
    </xf>
    <xf numFmtId="0" fontId="13" fillId="0" borderId="0" applyAlignment="1" pivotButton="0" quotePrefix="0" xfId="0">
      <alignment vertical="center"/>
    </xf>
    <xf numFmtId="1" fontId="6" fillId="0" borderId="0" applyAlignment="1" pivotButton="0" quotePrefix="0" xfId="0">
      <alignment vertical="center"/>
    </xf>
    <xf numFmtId="0" fontId="9" fillId="4" borderId="0" applyAlignment="1" pivotButton="0" quotePrefix="0" xfId="0">
      <alignment horizontal="center" vertical="center"/>
    </xf>
    <xf numFmtId="0" fontId="0" fillId="0" borderId="0" pivotButton="0" quotePrefix="0" xfId="0"/>
    <xf numFmtId="164" fontId="6" fillId="0" borderId="0" applyAlignment="1" pivotButton="0" quotePrefix="0" xfId="0">
      <alignment vertical="center"/>
    </xf>
    <xf numFmtId="165" fontId="6" fillId="0" borderId="0" pivotButton="0" quotePrefix="0" xfId="0"/>
    <xf numFmtId="166" fontId="7" fillId="2" borderId="1" applyAlignment="1" pivotButton="0" quotePrefix="0" xfId="1">
      <alignment horizontal="center" vertical="center"/>
    </xf>
    <xf numFmtId="166" fontId="8" fillId="2" borderId="1" applyAlignment="1" pivotButton="0" quotePrefix="0" xfId="1">
      <alignment vertical="center"/>
    </xf>
    <xf numFmtId="166" fontId="7" fillId="2" borderId="1" applyAlignment="1" pivotButton="0" quotePrefix="0" xfId="1">
      <alignment vertical="center"/>
    </xf>
    <xf numFmtId="164" fontId="7" fillId="2" borderId="1" applyAlignment="1" pivotButton="0" quotePrefix="0" xfId="1">
      <alignment vertical="center"/>
    </xf>
    <xf numFmtId="165" fontId="8" fillId="2" borderId="1" applyAlignment="1" pivotButton="0" quotePrefix="0" xfId="1">
      <alignment vertical="center"/>
    </xf>
    <xf numFmtId="164" fontId="11" fillId="3" borderId="2" applyAlignment="1" pivotButton="0" quotePrefix="0" xfId="1">
      <alignment vertical="center"/>
    </xf>
    <xf numFmtId="164" fontId="10" fillId="3" borderId="2" applyAlignment="1" pivotButton="0" quotePrefix="0" xfId="1">
      <alignment vertical="center"/>
    </xf>
    <xf numFmtId="166" fontId="10" fillId="3" borderId="2" applyAlignment="1" pivotButton="0" quotePrefix="0" xfId="1">
      <alignment vertical="center"/>
    </xf>
    <xf numFmtId="165" fontId="10" fillId="3" borderId="2" pivotButton="0" quotePrefix="0" xfId="0"/>
    <xf numFmtId="164" fontId="11" fillId="0" borderId="2" applyAlignment="1" pivotButton="0" quotePrefix="0" xfId="1">
      <alignment vertical="center"/>
    </xf>
    <xf numFmtId="164" fontId="10" fillId="0" borderId="2" applyAlignment="1" pivotButton="0" quotePrefix="0" xfId="1">
      <alignment vertical="center"/>
    </xf>
    <xf numFmtId="166" fontId="10" fillId="0" borderId="2" applyAlignment="1" pivotButton="0" quotePrefix="0" xfId="1">
      <alignment vertical="center"/>
    </xf>
    <xf numFmtId="165" fontId="10" fillId="0" borderId="2" pivotButton="0" quotePrefix="0" xfId="0"/>
    <xf numFmtId="165" fontId="10" fillId="3" borderId="2" applyAlignment="1" pivotButton="0" quotePrefix="0" xfId="0">
      <alignment vertical="center"/>
    </xf>
    <xf numFmtId="166" fontId="10" fillId="0" borderId="2" applyAlignment="1" pivotButton="0" quotePrefix="0" xfId="0">
      <alignment vertical="center"/>
    </xf>
    <xf numFmtId="166" fontId="10" fillId="3" borderId="2" applyAlignment="1" pivotButton="0" quotePrefix="0" xfId="0">
      <alignment vertical="center"/>
    </xf>
    <xf numFmtId="164" fontId="11" fillId="0" borderId="3" applyAlignment="1" pivotButton="0" quotePrefix="0" xfId="1">
      <alignment vertical="center"/>
    </xf>
    <xf numFmtId="164" fontId="10" fillId="0" borderId="3" applyAlignment="1" pivotButton="0" quotePrefix="0" xfId="1">
      <alignment vertical="center"/>
    </xf>
    <xf numFmtId="166" fontId="10" fillId="0" borderId="3" applyAlignment="1" pivotButton="0" quotePrefix="0" xfId="1">
      <alignment vertical="center"/>
    </xf>
    <xf numFmtId="166" fontId="10" fillId="0" borderId="3" applyAlignment="1" pivotButton="0" quotePrefix="0" xfId="0">
      <alignment vertical="center"/>
    </xf>
    <xf numFmtId="165" fontId="10" fillId="0" borderId="3" pivotButton="0" quotePrefix="0" xfId="0"/>
    <xf numFmtId="164" fontId="23" fillId="0" borderId="2" applyAlignment="1" pivotButton="0" quotePrefix="0" xfId="1">
      <alignment vertical="center"/>
    </xf>
    <xf numFmtId="164" fontId="23" fillId="3" borderId="2" applyAlignment="1" pivotButton="0" quotePrefix="0" xfId="1">
      <alignment vertical="center"/>
    </xf>
    <xf numFmtId="164" fontId="23" fillId="0" borderId="3" applyAlignment="1" pivotButton="0" quotePrefix="0" xfId="1">
      <alignment vertical="center"/>
    </xf>
    <xf numFmtId="167" fontId="6" fillId="4" borderId="0" applyAlignment="1" pivotButton="0" quotePrefix="0" xfId="0">
      <alignment horizontal="center" vertical="center"/>
    </xf>
    <xf numFmtId="166" fontId="9" fillId="5" borderId="0" applyAlignment="1" pivotButton="0" quotePrefix="0" xfId="1">
      <alignment vertical="center"/>
    </xf>
    <xf numFmtId="166" fontId="6" fillId="0" borderId="0" applyAlignment="1" pivotButton="0" quotePrefix="0" xfId="0">
      <alignment vertical="center"/>
    </xf>
    <xf numFmtId="166" fontId="6" fillId="0" borderId="0" applyAlignment="1" pivotButton="0" quotePrefix="0" xfId="1">
      <alignment vertical="center"/>
    </xf>
    <xf numFmtId="167" fontId="6" fillId="0" borderId="0" applyAlignment="1" pivotButton="0" quotePrefix="0" xfId="0">
      <alignment vertical="center"/>
    </xf>
    <xf numFmtId="166" fontId="9" fillId="0" borderId="0" applyAlignment="1" pivotButton="0" quotePrefix="0" xfId="1">
      <alignment vertical="center"/>
    </xf>
    <xf numFmtId="166" fontId="12" fillId="0" borderId="0" applyAlignment="1" pivotButton="0" quotePrefix="0" xfId="1">
      <alignment vertical="center"/>
    </xf>
    <xf numFmtId="167" fontId="6" fillId="0" borderId="0" applyAlignment="1" pivotButton="0" quotePrefix="0" xfId="2">
      <alignment vertical="center"/>
    </xf>
    <xf numFmtId="166" fontId="12" fillId="5" borderId="0" applyAlignment="1" pivotButton="0" quotePrefix="0" xfId="1">
      <alignment vertical="center"/>
    </xf>
    <xf numFmtId="167" fontId="6" fillId="5" borderId="0" applyAlignment="1" pivotButton="0" quotePrefix="0" xfId="2">
      <alignment vertical="center"/>
    </xf>
    <xf numFmtId="166" fontId="13" fillId="0" borderId="0" applyAlignment="1" pivotButton="0" quotePrefix="0" xfId="1">
      <alignment vertical="center"/>
    </xf>
    <xf numFmtId="167" fontId="13" fillId="0" borderId="0" applyAlignment="1" pivotButton="0" quotePrefix="0" xfId="2">
      <alignment vertical="center"/>
    </xf>
    <xf numFmtId="166" fontId="14" fillId="0" borderId="0" applyAlignment="1" pivotButton="0" quotePrefix="0" xfId="1">
      <alignment vertical="center"/>
    </xf>
    <xf numFmtId="167" fontId="13" fillId="0" borderId="0" applyAlignment="1" pivotButton="0" quotePrefix="0" xfId="0">
      <alignment vertical="center"/>
    </xf>
    <xf numFmtId="166" fontId="15" fillId="0" borderId="0" applyAlignment="1" pivotButton="0" quotePrefix="0" xfId="3">
      <alignment vertical="center"/>
    </xf>
    <xf numFmtId="168" fontId="13" fillId="0" borderId="0" applyAlignment="1" pivotButton="0" quotePrefix="0" xfId="1">
      <alignment vertical="center"/>
    </xf>
    <xf numFmtId="169" fontId="6" fillId="0" borderId="0" applyAlignment="1" pivotButton="0" quotePrefix="0" xfId="1">
      <alignment vertical="center"/>
    </xf>
    <xf numFmtId="169" fontId="6" fillId="6" borderId="0" applyAlignment="1" pivotButton="0" quotePrefix="0" xfId="1">
      <alignment vertical="center"/>
    </xf>
    <xf numFmtId="169" fontId="6" fillId="5" borderId="0" applyAlignment="1" pivotButton="0" quotePrefix="0" xfId="1">
      <alignment vertical="center"/>
    </xf>
    <xf numFmtId="169" fontId="12" fillId="0" borderId="0" applyAlignment="1" pivotButton="0" quotePrefix="0" xfId="1">
      <alignment vertical="center"/>
    </xf>
    <xf numFmtId="166" fontId="6" fillId="0" borderId="0" applyAlignment="1" pivotButton="0" quotePrefix="0" xfId="1">
      <alignment vertical="center" wrapText="1"/>
    </xf>
    <xf numFmtId="169" fontId="12" fillId="5" borderId="0" applyAlignment="1" pivotButton="0" quotePrefix="0" xfId="1">
      <alignment vertical="center"/>
    </xf>
    <xf numFmtId="166" fontId="17" fillId="5" borderId="0" applyAlignment="1" pivotButton="0" quotePrefix="0" xfId="1">
      <alignment vertical="center"/>
    </xf>
    <xf numFmtId="167" fontId="18" fillId="0" borderId="0" applyAlignment="1" pivotButton="0" quotePrefix="0" xfId="2">
      <alignment vertical="center"/>
    </xf>
    <xf numFmtId="165" fontId="6" fillId="0" borderId="0" applyAlignment="1" pivotButton="0" quotePrefix="0" xfId="0">
      <alignment vertical="center"/>
    </xf>
    <xf numFmtId="166" fontId="6" fillId="8" borderId="0" applyAlignment="1" pivotButton="0" quotePrefix="0" xfId="1">
      <alignment vertical="center"/>
    </xf>
    <xf numFmtId="167" fontId="6" fillId="8" borderId="0" applyAlignment="1" pivotButton="0" quotePrefix="0" xfId="2">
      <alignment vertical="center"/>
    </xf>
    <xf numFmtId="167" fontId="6" fillId="0" borderId="0" applyAlignment="1" pivotButton="0" quotePrefix="0" xfId="2">
      <alignment horizontal="right" vertical="center"/>
    </xf>
    <xf numFmtId="169" fontId="6" fillId="8" borderId="0" applyAlignment="1" pivotButton="0" quotePrefix="0" xfId="1">
      <alignment vertical="center"/>
    </xf>
    <xf numFmtId="167" fontId="6" fillId="8" borderId="0" applyAlignment="1" pivotButton="0" quotePrefix="0" xfId="2">
      <alignment horizontal="right" vertical="center"/>
    </xf>
    <xf numFmtId="167" fontId="0" fillId="0" borderId="0" applyAlignment="1" pivotButton="0" quotePrefix="0" xfId="2">
      <alignment vertical="center"/>
    </xf>
    <xf numFmtId="166" fontId="0" fillId="0" borderId="0" applyAlignment="1" pivotButton="0" quotePrefix="0" xfId="1">
      <alignment vertical="center"/>
    </xf>
    <xf numFmtId="170" fontId="0" fillId="0" borderId="0" applyAlignment="1" pivotButton="0" quotePrefix="0" xfId="1">
      <alignment vertical="center"/>
    </xf>
    <xf numFmtId="165" fontId="0" fillId="0" borderId="0" applyAlignment="1" pivotButton="0" quotePrefix="0" xfId="1">
      <alignment vertical="center"/>
    </xf>
    <xf numFmtId="166" fontId="0" fillId="0" borderId="10" applyAlignment="1" pivotButton="0" quotePrefix="0" xfId="1">
      <alignment vertical="center"/>
    </xf>
    <xf numFmtId="171" fontId="0" fillId="0" borderId="0" applyAlignment="1" pivotButton="0" quotePrefix="0" xfId="1">
      <alignment vertical="center"/>
    </xf>
    <xf numFmtId="171" fontId="9" fillId="0" borderId="0" applyAlignment="1" pivotButton="0" quotePrefix="0" xfId="1">
      <alignment vertical="center"/>
    </xf>
    <xf numFmtId="171" fontId="0" fillId="0" borderId="10" applyAlignment="1" pivotButton="0" quotePrefix="0" xfId="1">
      <alignment vertical="center"/>
    </xf>
    <xf numFmtId="0" fontId="9" fillId="4" borderId="0" applyAlignment="1" pivotButton="0" quotePrefix="0" xfId="0">
      <alignment horizontal="center" vertical="center"/>
    </xf>
    <xf numFmtId="0" fontId="0" fillId="0" borderId="0" pivotButton="0" quotePrefix="0" xfId="0"/>
    <xf numFmtId="0" fontId="25" fillId="4" borderId="0" applyAlignment="1" pivotButton="0" quotePrefix="0" xfId="0">
      <alignment horizontal="center" vertical="center"/>
    </xf>
    <xf numFmtId="164" fontId="6" fillId="0" borderId="0" applyAlignment="1" pivotButton="0" quotePrefix="0" xfId="0">
      <alignment vertical="center"/>
    </xf>
    <xf numFmtId="165" fontId="6" fillId="0" borderId="0" pivotButton="0" quotePrefix="0" xfId="0"/>
    <xf numFmtId="166" fontId="7" fillId="2" borderId="1" applyAlignment="1" pivotButton="0" quotePrefix="0" xfId="1">
      <alignment horizontal="center" vertical="center"/>
    </xf>
    <xf numFmtId="166" fontId="8" fillId="2" borderId="1" applyAlignment="1" pivotButton="0" quotePrefix="0" xfId="1">
      <alignment vertical="center"/>
    </xf>
    <xf numFmtId="166" fontId="7" fillId="2" borderId="1" applyAlignment="1" pivotButton="0" quotePrefix="0" xfId="1">
      <alignment vertical="center"/>
    </xf>
    <xf numFmtId="164" fontId="7" fillId="2" borderId="1" applyAlignment="1" pivotButton="0" quotePrefix="0" xfId="1">
      <alignment vertical="center"/>
    </xf>
    <xf numFmtId="165" fontId="8" fillId="2" borderId="1" applyAlignment="1" pivotButton="0" quotePrefix="0" xfId="1">
      <alignment vertical="center"/>
    </xf>
    <xf numFmtId="164" fontId="11" fillId="3" borderId="2" applyAlignment="1" pivotButton="0" quotePrefix="0" xfId="1">
      <alignment vertical="center"/>
    </xf>
    <xf numFmtId="164" fontId="10" fillId="3" borderId="2" applyAlignment="1" pivotButton="0" quotePrefix="0" xfId="1">
      <alignment vertical="center"/>
    </xf>
    <xf numFmtId="166" fontId="10" fillId="3" borderId="2" applyAlignment="1" pivotButton="0" quotePrefix="0" xfId="1">
      <alignment vertical="center"/>
    </xf>
    <xf numFmtId="165" fontId="10" fillId="3" borderId="2" pivotButton="0" quotePrefix="0" xfId="0"/>
    <xf numFmtId="164" fontId="11" fillId="0" borderId="2" applyAlignment="1" pivotButton="0" quotePrefix="0" xfId="1">
      <alignment vertical="center"/>
    </xf>
    <xf numFmtId="164" fontId="10" fillId="0" borderId="2" applyAlignment="1" pivotButton="0" quotePrefix="0" xfId="1">
      <alignment vertical="center"/>
    </xf>
    <xf numFmtId="166" fontId="10" fillId="0" borderId="2" applyAlignment="1" pivotButton="0" quotePrefix="0" xfId="1">
      <alignment vertical="center"/>
    </xf>
    <xf numFmtId="165" fontId="10" fillId="0" borderId="2" pivotButton="0" quotePrefix="0" xfId="0"/>
    <xf numFmtId="165" fontId="10" fillId="3" borderId="2" applyAlignment="1" pivotButton="0" quotePrefix="0" xfId="0">
      <alignment vertical="center"/>
    </xf>
    <xf numFmtId="166" fontId="10" fillId="0" borderId="2" applyAlignment="1" pivotButton="0" quotePrefix="0" xfId="0">
      <alignment vertical="center"/>
    </xf>
    <xf numFmtId="166" fontId="10" fillId="3" borderId="2" applyAlignment="1" pivotButton="0" quotePrefix="0" xfId="0">
      <alignment vertical="center"/>
    </xf>
    <xf numFmtId="164" fontId="11" fillId="0" borderId="3" applyAlignment="1" pivotButton="0" quotePrefix="0" xfId="1">
      <alignment vertical="center"/>
    </xf>
    <xf numFmtId="164" fontId="10" fillId="0" borderId="3" applyAlignment="1" pivotButton="0" quotePrefix="0" xfId="1">
      <alignment vertical="center"/>
    </xf>
    <xf numFmtId="166" fontId="10" fillId="0" borderId="3" applyAlignment="1" pivotButton="0" quotePrefix="0" xfId="1">
      <alignment vertical="center"/>
    </xf>
    <xf numFmtId="166" fontId="10" fillId="0" borderId="3" applyAlignment="1" pivotButton="0" quotePrefix="0" xfId="0">
      <alignment vertical="center"/>
    </xf>
    <xf numFmtId="165" fontId="10" fillId="0" borderId="3" pivotButton="0" quotePrefix="0" xfId="0"/>
    <xf numFmtId="164" fontId="23" fillId="0" borderId="2" applyAlignment="1" pivotButton="0" quotePrefix="0" xfId="1">
      <alignment vertical="center"/>
    </xf>
    <xf numFmtId="164" fontId="23" fillId="3" borderId="2" applyAlignment="1" pivotButton="0" quotePrefix="0" xfId="1">
      <alignment vertical="center"/>
    </xf>
    <xf numFmtId="164" fontId="23" fillId="0" borderId="3" applyAlignment="1" pivotButton="0" quotePrefix="0" xfId="1">
      <alignment vertical="center"/>
    </xf>
    <xf numFmtId="166" fontId="9" fillId="5" borderId="0" applyAlignment="1" pivotButton="0" quotePrefix="0" xfId="1">
      <alignment vertical="center"/>
    </xf>
    <xf numFmtId="166" fontId="6" fillId="0" borderId="0" applyAlignment="1" pivotButton="0" quotePrefix="0" xfId="0">
      <alignment vertical="center"/>
    </xf>
    <xf numFmtId="166" fontId="6" fillId="0" borderId="0" applyAlignment="1" pivotButton="0" quotePrefix="0" xfId="1">
      <alignment vertical="center"/>
    </xf>
    <xf numFmtId="166" fontId="12" fillId="0" borderId="0" applyAlignment="1" pivotButton="0" quotePrefix="0" xfId="1">
      <alignment vertical="center"/>
    </xf>
    <xf numFmtId="166" fontId="9" fillId="0" borderId="0" applyAlignment="1" pivotButton="0" quotePrefix="0" xfId="1">
      <alignment vertical="center"/>
    </xf>
    <xf numFmtId="166" fontId="12" fillId="5" borderId="0" applyAlignment="1" pivotButton="0" quotePrefix="0" xfId="1">
      <alignment vertical="center"/>
    </xf>
    <xf numFmtId="166" fontId="13" fillId="0" borderId="0" applyAlignment="1" pivotButton="0" quotePrefix="0" xfId="1">
      <alignment vertical="center"/>
    </xf>
    <xf numFmtId="167" fontId="13" fillId="0" borderId="0" applyAlignment="1" pivotButton="0" quotePrefix="0" xfId="2">
      <alignment vertical="center"/>
    </xf>
    <xf numFmtId="166" fontId="14" fillId="0" borderId="0" applyAlignment="1" pivotButton="0" quotePrefix="0" xfId="1">
      <alignment vertical="center"/>
    </xf>
    <xf numFmtId="166" fontId="15" fillId="0" borderId="0" applyAlignment="1" pivotButton="0" quotePrefix="0" xfId="3">
      <alignment vertical="center"/>
    </xf>
    <xf numFmtId="167" fontId="6" fillId="0" borderId="0" applyAlignment="1" pivotButton="0" quotePrefix="0" xfId="2">
      <alignment vertical="center"/>
    </xf>
    <xf numFmtId="168" fontId="13" fillId="0" borderId="0" applyAlignment="1" pivotButton="0" quotePrefix="0" xfId="1">
      <alignment vertical="center"/>
    </xf>
    <xf numFmtId="169" fontId="6" fillId="0" borderId="0" applyAlignment="1" pivotButton="0" quotePrefix="0" xfId="1">
      <alignment vertical="center"/>
    </xf>
    <xf numFmtId="169" fontId="6" fillId="6" borderId="0" applyAlignment="1" pivotButton="0" quotePrefix="0" xfId="1">
      <alignment vertical="center"/>
    </xf>
    <xf numFmtId="169" fontId="6" fillId="5" borderId="0" applyAlignment="1" pivotButton="0" quotePrefix="0" xfId="1">
      <alignment vertical="center"/>
    </xf>
    <xf numFmtId="169" fontId="12" fillId="0" borderId="0" applyAlignment="1" pivotButton="0" quotePrefix="0" xfId="1">
      <alignment vertical="center"/>
    </xf>
    <xf numFmtId="166" fontId="6" fillId="0" borderId="0" applyAlignment="1" pivotButton="0" quotePrefix="0" xfId="1">
      <alignment vertical="center" wrapText="1"/>
    </xf>
    <xf numFmtId="169" fontId="12" fillId="5" borderId="0" applyAlignment="1" pivotButton="0" quotePrefix="0" xfId="1">
      <alignment vertical="center"/>
    </xf>
    <xf numFmtId="166" fontId="17" fillId="5" borderId="0" applyAlignment="1" pivotButton="0" quotePrefix="0" xfId="1">
      <alignment vertical="center"/>
    </xf>
    <xf numFmtId="167" fontId="18" fillId="0" borderId="0" applyAlignment="1" pivotButton="0" quotePrefix="0" xfId="2">
      <alignment vertical="center"/>
    </xf>
    <xf numFmtId="165" fontId="6" fillId="0" borderId="0" applyAlignment="1" pivotButton="0" quotePrefix="0" xfId="0">
      <alignment vertical="center"/>
    </xf>
    <xf numFmtId="167" fontId="6" fillId="4" borderId="0" applyAlignment="1" pivotButton="0" quotePrefix="0" xfId="0">
      <alignment horizontal="center" vertical="center"/>
    </xf>
    <xf numFmtId="167" fontId="6" fillId="0" borderId="0" applyAlignment="1" pivotButton="0" quotePrefix="0" xfId="0">
      <alignment vertical="center"/>
    </xf>
    <xf numFmtId="166" fontId="6" fillId="8" borderId="0" applyAlignment="1" pivotButton="0" quotePrefix="0" xfId="1">
      <alignment vertical="center"/>
    </xf>
    <xf numFmtId="167" fontId="6" fillId="5" borderId="0" applyAlignment="1" pivotButton="0" quotePrefix="0" xfId="2">
      <alignment vertical="center"/>
    </xf>
    <xf numFmtId="167" fontId="6" fillId="8" borderId="0" applyAlignment="1" pivotButton="0" quotePrefix="0" xfId="2">
      <alignment vertical="center"/>
    </xf>
    <xf numFmtId="167" fontId="13" fillId="0" borderId="0" applyAlignment="1" pivotButton="0" quotePrefix="0" xfId="0">
      <alignment vertical="center"/>
    </xf>
    <xf numFmtId="167" fontId="6" fillId="0" borderId="0" applyAlignment="1" pivotButton="0" quotePrefix="0" xfId="2">
      <alignment horizontal="right" vertical="center"/>
    </xf>
    <xf numFmtId="167" fontId="6" fillId="8" borderId="0" applyAlignment="1" pivotButton="0" quotePrefix="0" xfId="2">
      <alignment horizontal="right" vertical="center"/>
    </xf>
    <xf numFmtId="169" fontId="6" fillId="8" borderId="0" applyAlignment="1" pivotButton="0" quotePrefix="0" xfId="1">
      <alignment vertical="center"/>
    </xf>
    <xf numFmtId="167" fontId="0" fillId="0" borderId="0" applyAlignment="1" pivotButton="0" quotePrefix="0" xfId="2">
      <alignment vertical="center"/>
    </xf>
    <xf numFmtId="166" fontId="0" fillId="0" borderId="0" applyAlignment="1" pivotButton="0" quotePrefix="0" xfId="1">
      <alignment vertical="center"/>
    </xf>
    <xf numFmtId="170" fontId="0" fillId="0" borderId="0" applyAlignment="1" pivotButton="0" quotePrefix="0" xfId="1">
      <alignment vertical="center"/>
    </xf>
    <xf numFmtId="165" fontId="0" fillId="0" borderId="0" applyAlignment="1" pivotButton="0" quotePrefix="0" xfId="1">
      <alignment vertical="center"/>
    </xf>
    <xf numFmtId="166" fontId="0" fillId="0" borderId="10" applyAlignment="1" pivotButton="0" quotePrefix="0" xfId="1">
      <alignment vertical="center"/>
    </xf>
    <xf numFmtId="171" fontId="0" fillId="0" borderId="0" applyAlignment="1" pivotButton="0" quotePrefix="0" xfId="1">
      <alignment vertical="center"/>
    </xf>
    <xf numFmtId="171" fontId="9" fillId="0" borderId="0" applyAlignment="1" pivotButton="0" quotePrefix="0" xfId="1">
      <alignment vertical="center"/>
    </xf>
    <xf numFmtId="171" fontId="0" fillId="0" borderId="10" applyAlignment="1" pivotButton="0" quotePrefix="0" xfId="1">
      <alignment vertical="center"/>
    </xf>
  </cellXfs>
  <cellStyles count="17">
    <cellStyle name="一般" xfId="0" builtinId="0"/>
    <cellStyle name="千分位" xfId="1" builtinId="3"/>
    <cellStyle name="百分比" xfId="2" builtinId="5"/>
    <cellStyle name="超連結" xfId="3" builtinId="8"/>
    <cellStyle name="一般 10 2" xfId="4"/>
    <cellStyle name="一般 2" xfId="5"/>
    <cellStyle name="一般 2 2 11" xfId="6"/>
    <cellStyle name="一般 3" xfId="7"/>
    <cellStyle name="千分位 6 2" xfId="8"/>
    <cellStyle name="百分比 10 4" xfId="9"/>
    <cellStyle name="超連結 2" xfId="10"/>
    <cellStyle name="Pivot Table Corner" xfId="11"/>
    <cellStyle name="Pivot Table Value" xfId="12"/>
    <cellStyle name="Pivot Table Field" xfId="13"/>
    <cellStyle name="Pivot Table Category" xfId="14"/>
    <cellStyle name="Pivot Table Title" xfId="15"/>
    <cellStyle name="Pivot Table Result" xfId="16"/>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95B8"/>
      <rgbColor rgb="FFC00000"/>
      <rgbColor rgb="FF00B050"/>
      <rgbColor rgb="FF000066"/>
      <rgbColor rgb="FF808000"/>
      <rgbColor rgb="FF800080"/>
      <rgbColor rgb="FF009D95"/>
      <rgbColor rgb="FFBFBFBF"/>
      <rgbColor rgb="FF808080"/>
      <rgbColor rgb="FF5B9BD5"/>
      <rgbColor rgb="FF993366"/>
      <rgbColor rgb="FFFFFFCC"/>
      <rgbColor rgb="FFC0E6F5"/>
      <rgbColor rgb="FF660066"/>
      <rgbColor rgb="FFFF8080"/>
      <rgbColor rgb="FF0563C1"/>
      <rgbColor rgb="FFD0CECE"/>
      <rgbColor rgb="FF000080"/>
      <rgbColor rgb="FFFF00FF"/>
      <rgbColor rgb="FFFFFF00"/>
      <rgbColor rgb="FF00FFFF"/>
      <rgbColor rgb="FF800080"/>
      <rgbColor rgb="FF800000"/>
      <rgbColor rgb="FF0070C0"/>
      <rgbColor rgb="FF0000FF"/>
      <rgbColor rgb="FF00B0F0"/>
      <rgbColor rgb="FFCCFFFF"/>
      <rgbColor rgb="FFD9D9D9"/>
      <rgbColor rgb="FFFFFF99"/>
      <rgbColor rgb="FFA9D18E"/>
      <rgbColor rgb="FFFF99CC"/>
      <rgbColor rgb="FFCC99FF"/>
      <rgbColor rgb="FFFFCC99"/>
      <rgbColor rgb="FF4472C4"/>
      <rgbColor rgb="FF44B3E1"/>
      <rgbColor rgb="FF99CC00"/>
      <rgbColor rgb="FFFFC000"/>
      <rgbColor rgb="FFFF9900"/>
      <rgbColor rgb="FFED7D31"/>
      <rgbColor rgb="FF595959"/>
      <rgbColor rgb="FF70AD47"/>
      <rgbColor rgb="FF00438A"/>
      <rgbColor rgb="FF00A749"/>
      <rgbColor rgb="FF156082"/>
      <rgbColor rgb="FF333300"/>
      <rgbColor rgb="FF993300"/>
      <rgbColor rgb="FF993366"/>
      <rgbColor rgb="FF2F5597"/>
      <rgbColor rgb="FF38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pivotCacheDefinition" Target="/xl/pivotCache/pivotCacheDefinition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spPr>
            <a:ln xmlns:a="http://schemas.openxmlformats.org/drawingml/2006/main" w="28440" cap="rnd">
              <a:solidFill>
                <a:srgbClr val="FFC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1"/>
          <order val="1"/>
          <spPr>
            <a:ln xmlns:a="http://schemas.openxmlformats.org/drawingml/2006/main" w="28440" cap="rnd">
              <a:solidFill>
                <a:srgbClr val="0095B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2"/>
          <order val="2"/>
          <spPr>
            <a:ln xmlns:a="http://schemas.openxmlformats.org/drawingml/2006/main" w="28440" cap="rnd">
              <a:solidFill>
                <a:srgbClr val="00A749"/>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3"/>
          <order val="3"/>
          <spPr>
            <a:ln xmlns:a="http://schemas.openxmlformats.org/drawingml/2006/main" w="28440" cap="rnd">
              <a:solidFill>
                <a:srgbClr val="009D9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4"/>
          <order val="4"/>
          <spPr>
            <a:ln xmlns:a="http://schemas.openxmlformats.org/drawingml/2006/main" w="28440" cap="rnd">
              <a:solidFill>
                <a:srgbClr val="FF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5"/>
          <order val="5"/>
          <spPr>
            <a:ln xmlns:a="http://schemas.openxmlformats.org/drawingml/2006/main" w="28440" cap="rnd">
              <a:solidFill>
                <a:srgbClr val="00438A"/>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6"/>
          <order val="6"/>
          <spPr>
            <a:ln xmlns:a="http://schemas.openxmlformats.org/drawingml/2006/main" w="28440" cap="rnd">
              <a:solidFill>
                <a:srgbClr val="0070C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7"/>
          <order val="7"/>
          <spPr>
            <a:ln xmlns:a="http://schemas.openxmlformats.org/drawingml/2006/main" w="38160" cap="rnd">
              <a:solidFill>
                <a:srgbClr val="C0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8"/>
          <order val="8"/>
          <spPr>
            <a:ln xmlns:a="http://schemas.openxmlformats.org/drawingml/2006/main" w="28440" cap="rnd">
              <a:solidFill>
                <a:srgbClr val="80808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9"/>
          <order val="9"/>
          <spPr>
            <a:ln xmlns:a="http://schemas.openxmlformats.org/drawingml/2006/main" w="28440" cap="rnd">
              <a:solidFill>
                <a:srgbClr val="ED7D3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3182779"/>
        <axId val="753677"/>
      </lineChart>
      <catAx>
        <axId val="3182779"/>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753677"/>
        <crosses val="autoZero"/>
        <auto val="1"/>
        <lblAlgn val="ctr"/>
        <lblOffset val="100"/>
        <noMultiLvlLbl val="0"/>
      </catAx>
      <valAx>
        <axId val="753677"/>
        <scaling>
          <orientation val="minMax"/>
          <max val="11000000"/>
        </scaling>
        <delete val="0"/>
        <axPos val="l"/>
        <majorGridlines>
          <spPr>
            <a:ln xmlns:a="http://schemas.openxmlformats.org/drawingml/2006/main" w="9360">
              <a:solidFill>
                <a:srgbClr val="D9D9D9"/>
              </a:solidFill>
              <a:prstDash val="solid"/>
              <a:round/>
            </a:ln>
          </spPr>
        </majorGridlines>
        <numFmt formatCode="_-* #,##0_-;\-* #,##0_-;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3182779"/>
        <crosses val="autoZero"/>
        <crossBetween val="between"/>
        <majorUnit val="1000000"/>
        <dispUnits>
          <builtInUnit val="tenThousands"/>
          <dispUnitsLbl/>
        </dispUnits>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spPr>
            <a:ln xmlns:a="http://schemas.openxmlformats.org/drawingml/2006/main" w="28440" cap="rnd">
              <a:solidFill>
                <a:srgbClr val="FFC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1"/>
          <order val="1"/>
          <spPr>
            <a:ln xmlns:a="http://schemas.openxmlformats.org/drawingml/2006/main" w="28440" cap="rnd">
              <a:solidFill>
                <a:srgbClr val="0095B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2"/>
          <order val="2"/>
          <spPr>
            <a:ln xmlns:a="http://schemas.openxmlformats.org/drawingml/2006/main" w="28440" cap="rnd">
              <a:solidFill>
                <a:srgbClr val="70AD47"/>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3"/>
          <order val="3"/>
          <spPr>
            <a:ln xmlns:a="http://schemas.openxmlformats.org/drawingml/2006/main" w="28440" cap="rnd">
              <a:solidFill>
                <a:srgbClr val="009D9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4"/>
          <order val="4"/>
          <spPr>
            <a:ln xmlns:a="http://schemas.openxmlformats.org/drawingml/2006/main" w="28440" cap="rnd">
              <a:solidFill>
                <a:srgbClr val="FF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5"/>
          <order val="5"/>
          <spPr>
            <a:ln xmlns:a="http://schemas.openxmlformats.org/drawingml/2006/main" w="28440" cap="rnd">
              <a:solidFill>
                <a:srgbClr val="00438A"/>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6"/>
          <order val="6"/>
          <spPr>
            <a:ln xmlns:a="http://schemas.openxmlformats.org/drawingml/2006/main" w="28440" cap="rnd">
              <a:solidFill>
                <a:srgbClr val="0070C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7"/>
          <order val="7"/>
          <spPr>
            <a:ln xmlns:a="http://schemas.openxmlformats.org/drawingml/2006/main" w="38160" cap="rnd">
              <a:solidFill>
                <a:srgbClr val="C0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8"/>
          <order val="8"/>
          <spPr>
            <a:ln xmlns:a="http://schemas.openxmlformats.org/drawingml/2006/main" w="28440" cap="rnd">
              <a:solidFill>
                <a:srgbClr val="80808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9"/>
          <order val="9"/>
          <spPr>
            <a:ln xmlns:a="http://schemas.openxmlformats.org/drawingml/2006/main" w="28440" cap="rnd">
              <a:solidFill>
                <a:srgbClr val="ED7D3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89625487"/>
        <axId val="44063862"/>
      </lineChart>
      <catAx>
        <axId val="89625487"/>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44063862"/>
        <crosses val="autoZero"/>
        <auto val="1"/>
        <lblAlgn val="ctr"/>
        <lblOffset val="100"/>
        <noMultiLvlLbl val="0"/>
      </catAx>
      <valAx>
        <axId val="44063862"/>
        <scaling>
          <orientation val="minMax"/>
          <max val="0.85"/>
          <min val="0.4"/>
        </scaling>
        <delete val="0"/>
        <axPos val="l"/>
        <majorGridlines>
          <spPr>
            <a:ln xmlns:a="http://schemas.openxmlformats.org/drawingml/2006/main" w="9360">
              <a:solidFill>
                <a:srgbClr val="D9D9D9"/>
              </a:solidFill>
              <a:prstDash val="solid"/>
              <a:round/>
            </a:ln>
          </spPr>
        </majorGridlines>
        <numFmt formatCode="0%"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89625487"/>
        <crosses val="autoZero"/>
        <crossBetween val="between"/>
        <majorUnit val="0.05"/>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spPr>
            <a:ln xmlns:a="http://schemas.openxmlformats.org/drawingml/2006/main" w="28440" cap="rnd">
              <a:solidFill>
                <a:srgbClr val="FFC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1"/>
          <order val="1"/>
          <spPr>
            <a:ln xmlns:a="http://schemas.openxmlformats.org/drawingml/2006/main" w="28440" cap="rnd">
              <a:solidFill>
                <a:srgbClr val="0095B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2"/>
          <order val="2"/>
          <spPr>
            <a:ln xmlns:a="http://schemas.openxmlformats.org/drawingml/2006/main" w="28440" cap="rnd">
              <a:solidFill>
                <a:srgbClr val="00A749"/>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3"/>
          <order val="3"/>
          <spPr>
            <a:ln xmlns:a="http://schemas.openxmlformats.org/drawingml/2006/main" w="28440" cap="rnd">
              <a:solidFill>
                <a:srgbClr val="009D9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4"/>
          <order val="4"/>
          <spPr>
            <a:ln xmlns:a="http://schemas.openxmlformats.org/drawingml/2006/main" w="28440" cap="rnd">
              <a:solidFill>
                <a:srgbClr val="FF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5"/>
          <order val="5"/>
          <spPr>
            <a:ln xmlns:a="http://schemas.openxmlformats.org/drawingml/2006/main" w="28440" cap="rnd">
              <a:solidFill>
                <a:srgbClr val="00438A"/>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6"/>
          <order val="6"/>
          <spPr>
            <a:ln xmlns:a="http://schemas.openxmlformats.org/drawingml/2006/main" w="28440" cap="rnd">
              <a:solidFill>
                <a:srgbClr val="0070C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7"/>
          <order val="7"/>
          <spPr>
            <a:ln xmlns:a="http://schemas.openxmlformats.org/drawingml/2006/main" w="38160" cap="rnd">
              <a:solidFill>
                <a:srgbClr val="C0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8"/>
          <order val="8"/>
          <spPr>
            <a:ln xmlns:a="http://schemas.openxmlformats.org/drawingml/2006/main" w="28440" cap="rnd">
              <a:solidFill>
                <a:srgbClr val="80808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9"/>
          <order val="9"/>
          <spPr>
            <a:ln xmlns:a="http://schemas.openxmlformats.org/drawingml/2006/main" w="28440" cap="rnd">
              <a:solidFill>
                <a:srgbClr val="ED7D3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36052875"/>
        <axId val="79681367"/>
      </lineChart>
      <catAx>
        <axId val="36052875"/>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79681367"/>
        <crosses val="autoZero"/>
        <auto val="1"/>
        <lblAlgn val="ctr"/>
        <lblOffset val="100"/>
        <noMultiLvlLbl val="0"/>
      </catAx>
      <valAx>
        <axId val="79681367"/>
        <scaling>
          <orientation val="minMax"/>
          <max val="7000000"/>
        </scaling>
        <delete val="0"/>
        <axPos val="l"/>
        <majorGridlines>
          <spPr>
            <a:ln xmlns:a="http://schemas.openxmlformats.org/drawingml/2006/main" w="9360">
              <a:solidFill>
                <a:srgbClr val="D9D9D9"/>
              </a:solidFill>
              <a:prstDash val="solid"/>
              <a:round/>
            </a:ln>
          </spPr>
        </majorGridlines>
        <numFmt formatCode="_-* #,##0_-;\-* #,##0_-;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36052875"/>
        <crosses val="autoZero"/>
        <crossBetween val="between"/>
        <dispUnits>
          <builtInUnit val="tenThousands"/>
          <dispUnitsLbl/>
        </dispUnits>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spPr>
            <a:ln xmlns:a="http://schemas.openxmlformats.org/drawingml/2006/main" w="28440" cap="rnd">
              <a:solidFill>
                <a:srgbClr val="FFC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1"/>
          <order val="1"/>
          <spPr>
            <a:ln xmlns:a="http://schemas.openxmlformats.org/drawingml/2006/main" w="28440" cap="rnd">
              <a:solidFill>
                <a:srgbClr val="0095B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2"/>
          <order val="2"/>
          <spPr>
            <a:ln xmlns:a="http://schemas.openxmlformats.org/drawingml/2006/main" w="28440" cap="rnd">
              <a:solidFill>
                <a:srgbClr val="00A749"/>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3"/>
          <order val="3"/>
          <spPr>
            <a:ln xmlns:a="http://schemas.openxmlformats.org/drawingml/2006/main" w="28440" cap="rnd">
              <a:solidFill>
                <a:srgbClr val="009D9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4"/>
          <order val="4"/>
          <spPr>
            <a:ln xmlns:a="http://schemas.openxmlformats.org/drawingml/2006/main" w="28440" cap="rnd">
              <a:solidFill>
                <a:srgbClr val="FF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5"/>
          <order val="5"/>
          <spPr>
            <a:ln xmlns:a="http://schemas.openxmlformats.org/drawingml/2006/main" w="28440" cap="rnd">
              <a:solidFill>
                <a:srgbClr val="00438A"/>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6"/>
          <order val="6"/>
          <spPr>
            <a:ln xmlns:a="http://schemas.openxmlformats.org/drawingml/2006/main" w="28440" cap="rnd">
              <a:solidFill>
                <a:srgbClr val="5B9BD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7"/>
          <order val="7"/>
          <spPr>
            <a:ln xmlns:a="http://schemas.openxmlformats.org/drawingml/2006/main" w="57240" cap="rnd">
              <a:solidFill>
                <a:srgbClr val="C0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8"/>
          <order val="8"/>
          <spPr>
            <a:ln xmlns:a="http://schemas.openxmlformats.org/drawingml/2006/main" w="28440" cap="rnd">
              <a:solidFill>
                <a:srgbClr val="80808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9"/>
          <order val="9"/>
          <spPr>
            <a:ln xmlns:a="http://schemas.openxmlformats.org/drawingml/2006/main" w="28440" cap="rnd">
              <a:solidFill>
                <a:srgbClr val="ED7D3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62309338"/>
        <axId val="3100496"/>
      </lineChart>
      <catAx>
        <axId val="62309338"/>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3100496"/>
        <crosses val="autoZero"/>
        <auto val="1"/>
        <lblAlgn val="ctr"/>
        <lblOffset val="100"/>
        <noMultiLvlLbl val="0"/>
      </catAx>
      <valAx>
        <axId val="3100496"/>
        <scaling>
          <orientation val="minMax"/>
        </scaling>
        <delete val="0"/>
        <axPos val="l"/>
        <majorGridlines>
          <spPr>
            <a:ln xmlns:a="http://schemas.openxmlformats.org/drawingml/2006/main" w="9360">
              <a:solidFill>
                <a:srgbClr val="D9D9D9"/>
              </a:solidFill>
              <a:prstDash val="solid"/>
              <a:round/>
            </a:ln>
          </spPr>
        </majorGridlines>
        <numFmt formatCode="_-* #,##0_-;\-* #,##0_-;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62309338"/>
        <crosses val="autoZero"/>
        <crossBetween val="between"/>
        <dispUnits>
          <builtInUnit val="tenThousands"/>
          <dispUnitsLbl/>
        </dispUnits>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spPr>
            <a:ln xmlns:a="http://schemas.openxmlformats.org/drawingml/2006/main" w="28440" cap="rnd">
              <a:solidFill>
                <a:srgbClr val="FFC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1"/>
          <order val="1"/>
          <spPr>
            <a:ln xmlns:a="http://schemas.openxmlformats.org/drawingml/2006/main" w="28440" cap="rnd">
              <a:solidFill>
                <a:srgbClr val="0095B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2"/>
          <order val="2"/>
          <spPr>
            <a:ln xmlns:a="http://schemas.openxmlformats.org/drawingml/2006/main" w="28440" cap="rnd">
              <a:solidFill>
                <a:srgbClr val="00A749"/>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3"/>
          <order val="3"/>
          <spPr>
            <a:ln xmlns:a="http://schemas.openxmlformats.org/drawingml/2006/main" w="28440" cap="rnd">
              <a:solidFill>
                <a:srgbClr val="009D9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4"/>
          <order val="4"/>
          <spPr>
            <a:ln xmlns:a="http://schemas.openxmlformats.org/drawingml/2006/main" w="28440" cap="rnd">
              <a:solidFill>
                <a:srgbClr val="FF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5"/>
          <order val="5"/>
          <spPr>
            <a:ln xmlns:a="http://schemas.openxmlformats.org/drawingml/2006/main" w="28440" cap="rnd">
              <a:solidFill>
                <a:srgbClr val="00438A"/>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6"/>
          <order val="6"/>
          <spPr>
            <a:ln xmlns:a="http://schemas.openxmlformats.org/drawingml/2006/main" w="28440" cap="rnd">
              <a:solidFill>
                <a:srgbClr val="0070C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7"/>
          <order val="7"/>
          <spPr>
            <a:ln xmlns:a="http://schemas.openxmlformats.org/drawingml/2006/main" w="38160" cap="rnd">
              <a:solidFill>
                <a:srgbClr val="C0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8"/>
          <order val="8"/>
          <spPr>
            <a:ln xmlns:a="http://schemas.openxmlformats.org/drawingml/2006/main" w="28440" cap="rnd">
              <a:solidFill>
                <a:srgbClr val="80808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9"/>
          <order val="9"/>
          <spPr>
            <a:ln xmlns:a="http://schemas.openxmlformats.org/drawingml/2006/main" w="28440" cap="rnd">
              <a:solidFill>
                <a:srgbClr val="ED7D3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3182779"/>
        <axId val="753677"/>
      </lineChart>
      <catAx>
        <axId val="3182779"/>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753677"/>
        <crosses val="autoZero"/>
        <auto val="1"/>
        <lblAlgn val="ctr"/>
        <lblOffset val="100"/>
        <noMultiLvlLbl val="0"/>
      </catAx>
      <valAx>
        <axId val="753677"/>
        <scaling>
          <orientation val="minMax"/>
          <max val="11000000"/>
        </scaling>
        <delete val="0"/>
        <axPos val="l"/>
        <majorGridlines>
          <spPr>
            <a:ln xmlns:a="http://schemas.openxmlformats.org/drawingml/2006/main" w="9360">
              <a:solidFill>
                <a:srgbClr val="D9D9D9"/>
              </a:solidFill>
              <a:prstDash val="solid"/>
              <a:round/>
            </a:ln>
          </spPr>
        </majorGridlines>
        <numFmt formatCode="_-* #,##0_-;\-* #,##0_-;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3182779"/>
        <crosses val="autoZero"/>
        <crossBetween val="between"/>
        <majorUnit val="1000000"/>
        <dispUnits>
          <builtInUnit val="tenThousands"/>
          <dispUnitsLbl/>
        </dispUnits>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spPr>
            <a:ln xmlns:a="http://schemas.openxmlformats.org/drawingml/2006/main" w="28440" cap="rnd">
              <a:solidFill>
                <a:srgbClr val="FFC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1"/>
          <order val="1"/>
          <spPr>
            <a:ln xmlns:a="http://schemas.openxmlformats.org/drawingml/2006/main" w="28440" cap="rnd">
              <a:solidFill>
                <a:srgbClr val="0095B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2"/>
          <order val="2"/>
          <spPr>
            <a:ln xmlns:a="http://schemas.openxmlformats.org/drawingml/2006/main" w="28440" cap="rnd">
              <a:solidFill>
                <a:srgbClr val="70AD47"/>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3"/>
          <order val="3"/>
          <spPr>
            <a:ln xmlns:a="http://schemas.openxmlformats.org/drawingml/2006/main" w="28440" cap="rnd">
              <a:solidFill>
                <a:srgbClr val="009D9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4"/>
          <order val="4"/>
          <spPr>
            <a:ln xmlns:a="http://schemas.openxmlformats.org/drawingml/2006/main" w="28440" cap="rnd">
              <a:solidFill>
                <a:srgbClr val="FF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5"/>
          <order val="5"/>
          <spPr>
            <a:ln xmlns:a="http://schemas.openxmlformats.org/drawingml/2006/main" w="28440" cap="rnd">
              <a:solidFill>
                <a:srgbClr val="00438A"/>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6"/>
          <order val="6"/>
          <spPr>
            <a:ln xmlns:a="http://schemas.openxmlformats.org/drawingml/2006/main" w="28440" cap="rnd">
              <a:solidFill>
                <a:srgbClr val="0070C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7"/>
          <order val="7"/>
          <spPr>
            <a:ln xmlns:a="http://schemas.openxmlformats.org/drawingml/2006/main" w="38160" cap="rnd">
              <a:solidFill>
                <a:srgbClr val="C0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8"/>
          <order val="8"/>
          <spPr>
            <a:ln xmlns:a="http://schemas.openxmlformats.org/drawingml/2006/main" w="28440" cap="rnd">
              <a:solidFill>
                <a:srgbClr val="80808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9"/>
          <order val="9"/>
          <spPr>
            <a:ln xmlns:a="http://schemas.openxmlformats.org/drawingml/2006/main" w="28440" cap="rnd">
              <a:solidFill>
                <a:srgbClr val="ED7D3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89625487"/>
        <axId val="44063862"/>
      </lineChart>
      <catAx>
        <axId val="89625487"/>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44063862"/>
        <crosses val="autoZero"/>
        <auto val="1"/>
        <lblAlgn val="ctr"/>
        <lblOffset val="100"/>
        <noMultiLvlLbl val="0"/>
      </catAx>
      <valAx>
        <axId val="44063862"/>
        <scaling>
          <orientation val="minMax"/>
          <max val="0.85"/>
          <min val="0.4"/>
        </scaling>
        <delete val="0"/>
        <axPos val="l"/>
        <majorGridlines>
          <spPr>
            <a:ln xmlns:a="http://schemas.openxmlformats.org/drawingml/2006/main" w="9360">
              <a:solidFill>
                <a:srgbClr val="D9D9D9"/>
              </a:solidFill>
              <a:prstDash val="solid"/>
              <a:round/>
            </a:ln>
          </spPr>
        </majorGridlines>
        <numFmt formatCode="0%"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89625487"/>
        <crosses val="autoZero"/>
        <crossBetween val="between"/>
        <majorUnit val="0.05"/>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spPr>
            <a:ln xmlns:a="http://schemas.openxmlformats.org/drawingml/2006/main" w="28440" cap="rnd">
              <a:solidFill>
                <a:srgbClr val="FFC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1"/>
          <order val="1"/>
          <spPr>
            <a:ln xmlns:a="http://schemas.openxmlformats.org/drawingml/2006/main" w="28440" cap="rnd">
              <a:solidFill>
                <a:srgbClr val="0095B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2"/>
          <order val="2"/>
          <spPr>
            <a:ln xmlns:a="http://schemas.openxmlformats.org/drawingml/2006/main" w="28440" cap="rnd">
              <a:solidFill>
                <a:srgbClr val="00A749"/>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3"/>
          <order val="3"/>
          <spPr>
            <a:ln xmlns:a="http://schemas.openxmlformats.org/drawingml/2006/main" w="28440" cap="rnd">
              <a:solidFill>
                <a:srgbClr val="009D9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4"/>
          <order val="4"/>
          <spPr>
            <a:ln xmlns:a="http://schemas.openxmlformats.org/drawingml/2006/main" w="28440" cap="rnd">
              <a:solidFill>
                <a:srgbClr val="FF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5"/>
          <order val="5"/>
          <spPr>
            <a:ln xmlns:a="http://schemas.openxmlformats.org/drawingml/2006/main" w="28440" cap="rnd">
              <a:solidFill>
                <a:srgbClr val="00438A"/>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6"/>
          <order val="6"/>
          <spPr>
            <a:ln xmlns:a="http://schemas.openxmlformats.org/drawingml/2006/main" w="28440" cap="rnd">
              <a:solidFill>
                <a:srgbClr val="0070C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7"/>
          <order val="7"/>
          <spPr>
            <a:ln xmlns:a="http://schemas.openxmlformats.org/drawingml/2006/main" w="38160" cap="rnd">
              <a:solidFill>
                <a:srgbClr val="C0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8"/>
          <order val="8"/>
          <spPr>
            <a:ln xmlns:a="http://schemas.openxmlformats.org/drawingml/2006/main" w="28440" cap="rnd">
              <a:solidFill>
                <a:srgbClr val="80808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9"/>
          <order val="9"/>
          <spPr>
            <a:ln xmlns:a="http://schemas.openxmlformats.org/drawingml/2006/main" w="28440" cap="rnd">
              <a:solidFill>
                <a:srgbClr val="ED7D3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36052875"/>
        <axId val="79681367"/>
      </lineChart>
      <catAx>
        <axId val="36052875"/>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79681367"/>
        <crosses val="autoZero"/>
        <auto val="1"/>
        <lblAlgn val="ctr"/>
        <lblOffset val="100"/>
        <noMultiLvlLbl val="0"/>
      </catAx>
      <valAx>
        <axId val="79681367"/>
        <scaling>
          <orientation val="minMax"/>
          <max val="7000000"/>
        </scaling>
        <delete val="0"/>
        <axPos val="l"/>
        <majorGridlines>
          <spPr>
            <a:ln xmlns:a="http://schemas.openxmlformats.org/drawingml/2006/main" w="9360">
              <a:solidFill>
                <a:srgbClr val="D9D9D9"/>
              </a:solidFill>
              <a:prstDash val="solid"/>
              <a:round/>
            </a:ln>
          </spPr>
        </majorGridlines>
        <numFmt formatCode="_-* #,##0_-;\-* #,##0_-;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36052875"/>
        <crosses val="autoZero"/>
        <crossBetween val="between"/>
        <dispUnits>
          <builtInUnit val="tenThousands"/>
          <dispUnitsLbl/>
        </dispUnits>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spPr>
            <a:ln xmlns:a="http://schemas.openxmlformats.org/drawingml/2006/main" w="28440" cap="rnd">
              <a:solidFill>
                <a:srgbClr val="FFC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1"/>
          <order val="1"/>
          <spPr>
            <a:ln xmlns:a="http://schemas.openxmlformats.org/drawingml/2006/main" w="28440" cap="rnd">
              <a:solidFill>
                <a:srgbClr val="0095B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2"/>
          <order val="2"/>
          <spPr>
            <a:ln xmlns:a="http://schemas.openxmlformats.org/drawingml/2006/main" w="28440" cap="rnd">
              <a:solidFill>
                <a:srgbClr val="00A749"/>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3"/>
          <order val="3"/>
          <spPr>
            <a:ln xmlns:a="http://schemas.openxmlformats.org/drawingml/2006/main" w="28440" cap="rnd">
              <a:solidFill>
                <a:srgbClr val="009D9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4"/>
          <order val="4"/>
          <spPr>
            <a:ln xmlns:a="http://schemas.openxmlformats.org/drawingml/2006/main" w="28440" cap="rnd">
              <a:solidFill>
                <a:srgbClr val="FF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5"/>
          <order val="5"/>
          <spPr>
            <a:ln xmlns:a="http://schemas.openxmlformats.org/drawingml/2006/main" w="28440" cap="rnd">
              <a:solidFill>
                <a:srgbClr val="00438A"/>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6"/>
          <order val="6"/>
          <spPr>
            <a:ln xmlns:a="http://schemas.openxmlformats.org/drawingml/2006/main" w="28440" cap="rnd">
              <a:solidFill>
                <a:srgbClr val="5B9BD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7"/>
          <order val="7"/>
          <spPr>
            <a:ln xmlns:a="http://schemas.openxmlformats.org/drawingml/2006/main" w="57240" cap="rnd">
              <a:solidFill>
                <a:srgbClr val="C0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8"/>
          <order val="8"/>
          <spPr>
            <a:ln xmlns:a="http://schemas.openxmlformats.org/drawingml/2006/main" w="28440" cap="rnd">
              <a:solidFill>
                <a:srgbClr val="80808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ser>
          <idx val="9"/>
          <order val="9"/>
          <spPr>
            <a:ln xmlns:a="http://schemas.openxmlformats.org/drawingml/2006/main" w="28440" cap="rnd">
              <a:solidFill>
                <a:srgbClr val="ED7D3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val>
            <numRef>
              <f>#REF!</f>
              <numCache>
                <formatCode>General</formatCode>
                <ptCount val="1"/>
                <pt idx="0">
                  <v>1</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62309338"/>
        <axId val="3100496"/>
      </lineChart>
      <catAx>
        <axId val="62309338"/>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3100496"/>
        <crosses val="autoZero"/>
        <auto val="1"/>
        <lblAlgn val="ctr"/>
        <lblOffset val="100"/>
        <noMultiLvlLbl val="0"/>
      </catAx>
      <valAx>
        <axId val="3100496"/>
        <scaling>
          <orientation val="minMax"/>
        </scaling>
        <delete val="0"/>
        <axPos val="l"/>
        <majorGridlines>
          <spPr>
            <a:ln xmlns:a="http://schemas.openxmlformats.org/drawingml/2006/main" w="9360">
              <a:solidFill>
                <a:srgbClr val="D9D9D9"/>
              </a:solidFill>
              <a:prstDash val="solid"/>
              <a:round/>
            </a:ln>
          </spPr>
        </majorGridlines>
        <numFmt formatCode="_-* #,##0_-;\-* #,##0_-;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62309338"/>
        <crosses val="autoZero"/>
        <crossBetween val="between"/>
        <dispUnits>
          <builtInUnit val="tenThousands"/>
          <dispUnitsLbl/>
        </dispUnits>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9.xml><?xml version="1.0" encoding="utf-8"?>
<chartSpace xmlns="http://schemas.openxmlformats.org/drawingml/2006/chart">
  <chart>
    <plotArea>
      <layout/>
      <scatterChart>
        <scatterStyle val="lineMarker"/>
        <varyColors val="0"/>
        <ser>
          <idx val="0"/>
          <order val="0"/>
          <tx>
            <strRef>
              <f>頂級卡!$B$1</f>
              <strCache>
                <ptCount val="1"/>
                <pt idx="0">
                  <v>頂級卡</v>
                </pt>
              </strCache>
            </strRef>
          </tx>
          <spPr>
            <a:ln xmlns:a="http://schemas.openxmlformats.org/drawingml/2006/main" w="25560">
              <a:noFill/>
              <a:prstDash val="solid"/>
            </a:ln>
          </spPr>
          <marker>
            <symbol val="circle"/>
            <size val="5"/>
            <spPr>
              <a:solidFill xmlns:a="http://schemas.openxmlformats.org/drawingml/2006/main">
                <a:srgbClr val="4472C4"/>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xVal>
            <numRef>
              <f>頂級卡!$F$2:$F$38</f>
              <numCache>
                <formatCode>General</formatCode>
                <ptCount val="37"/>
                <pt idx="0">
                  <v>5000</v>
                </pt>
                <pt idx="1">
                  <v>0</v>
                </pt>
                <pt idx="2">
                  <v>8000</v>
                </pt>
                <pt idx="3">
                  <v>8000</v>
                </pt>
                <pt idx="4">
                  <v>10000</v>
                </pt>
                <pt idx="5">
                  <v>5000</v>
                </pt>
                <pt idx="6">
                  <v>5000</v>
                </pt>
                <pt idx="7">
                  <v>20000</v>
                </pt>
                <pt idx="8">
                  <v>10000</v>
                </pt>
                <pt idx="9">
                  <v>20000</v>
                </pt>
                <pt idx="10">
                  <v>8000</v>
                </pt>
                <pt idx="11">
                  <v>10000</v>
                </pt>
                <pt idx="12">
                  <v>10000</v>
                </pt>
                <pt idx="13">
                  <v>10000</v>
                </pt>
                <pt idx="14">
                  <v>10000</v>
                </pt>
                <pt idx="15">
                  <v>10000</v>
                </pt>
                <pt idx="16">
                  <v>10000</v>
                </pt>
                <pt idx="17">
                  <v>10000</v>
                </pt>
                <pt idx="18">
                  <v>30000</v>
                </pt>
                <pt idx="19">
                  <v>25000</v>
                </pt>
                <pt idx="20">
                  <v>20000</v>
                </pt>
                <pt idx="21">
                  <v>10000</v>
                </pt>
                <pt idx="22">
                  <v>4500</v>
                </pt>
                <pt idx="23">
                  <v>25000</v>
                </pt>
                <pt idx="24">
                  <v>25000</v>
                </pt>
                <pt idx="25">
                  <v>5000</v>
                </pt>
                <pt idx="26">
                  <v>5000</v>
                </pt>
                <pt idx="27">
                  <v>2400</v>
                </pt>
                <pt idx="28">
                  <v>20000</v>
                </pt>
                <pt idx="29">
                  <v>12000</v>
                </pt>
                <pt idx="30">
                  <v>5000</v>
                </pt>
                <pt idx="31">
                  <v>20000</v>
                </pt>
                <pt idx="32">
                  <v>20000</v>
                </pt>
                <pt idx="33">
                  <v>20000</v>
                </pt>
                <pt idx="34">
                  <v>12000</v>
                </pt>
                <pt idx="35">
                  <v>20000</v>
                </pt>
                <pt idx="36">
                  <v>6000</v>
                </pt>
              </numCache>
            </numRef>
          </xVal>
          <yVal>
            <numRef>
              <f>頂級卡!$E$2:$E$38</f>
              <numCache>
                <formatCode>General</formatCode>
                <ptCount val="37"/>
                <pt idx="0">
                  <v>240</v>
                </pt>
                <pt idx="1">
                  <v>0</v>
                </pt>
                <pt idx="2">
                  <v>150</v>
                </pt>
                <pt idx="3">
                  <v>150</v>
                </pt>
                <pt idx="4">
                  <v>150</v>
                </pt>
                <pt idx="5">
                  <v>150</v>
                </pt>
                <pt idx="6">
                  <v>200</v>
                </pt>
                <pt idx="7">
                  <v>300</v>
                </pt>
                <pt idx="8">
                  <v>200</v>
                </pt>
                <pt idx="9">
                  <v>200</v>
                </pt>
                <pt idx="10">
                  <v>200</v>
                </pt>
                <pt idx="11">
                  <v>200</v>
                </pt>
                <pt idx="12">
                  <v>0</v>
                </pt>
                <pt idx="13">
                  <v>0</v>
                </pt>
                <pt idx="14">
                  <v>0</v>
                </pt>
                <pt idx="15">
                  <v>0</v>
                </pt>
                <pt idx="16">
                  <v>0</v>
                </pt>
                <pt idx="17">
                  <v>100</v>
                </pt>
                <pt idx="18">
                  <v>200</v>
                </pt>
                <pt idx="19">
                  <v>140</v>
                </pt>
                <pt idx="20">
                  <v>0</v>
                </pt>
                <pt idx="21">
                  <v>140</v>
                </pt>
                <pt idx="22">
                  <v>0</v>
                </pt>
                <pt idx="23">
                  <v>120</v>
                </pt>
                <pt idx="24">
                  <v>0</v>
                </pt>
                <pt idx="25">
                  <v>200</v>
                </pt>
                <pt idx="26">
                  <v>200</v>
                </pt>
                <pt idx="27">
                  <v>0</v>
                </pt>
                <pt idx="28">
                  <v>140</v>
                </pt>
                <pt idx="29">
                  <v>0</v>
                </pt>
                <pt idx="30">
                  <v>0</v>
                </pt>
                <pt idx="31">
                  <v>300</v>
                </pt>
                <pt idx="32">
                  <v>250</v>
                </pt>
                <pt idx="33">
                  <v>250</v>
                </pt>
                <pt idx="34">
                  <v>0</v>
                </pt>
                <pt idx="35">
                  <v>200</v>
                </pt>
                <pt idx="36">
                  <v>80</v>
                </pt>
              </numCache>
            </numRef>
          </yVal>
          <smooth val="0"/>
        </ser>
        <dLbls>
          <showLegendKey val="0"/>
          <showVal val="0"/>
          <showCatName val="0"/>
          <showSerName val="0"/>
          <showPercent val="0"/>
          <showBubbleSize val="0"/>
        </dLbls>
        <axId val="34541386"/>
        <axId val="25850139"/>
      </scatterChart>
      <valAx>
        <axId val="34541386"/>
        <scaling>
          <orientation val="minMax"/>
        </scaling>
        <delete val="0"/>
        <axPos val="b"/>
        <majorGridlines>
          <spPr>
            <a:ln xmlns:a="http://schemas.openxmlformats.org/drawingml/2006/main" w="9360">
              <a:solidFill>
                <a:srgbClr val="D9D9D9"/>
              </a:solidFill>
              <a:prstDash val="solid"/>
              <a:round/>
            </a:ln>
          </spPr>
        </majorGridlines>
        <numFmt formatCode="General" sourceLinked="0"/>
        <majorTickMark val="none"/>
        <minorTickMark val="none"/>
        <tickLblPos val="nextTo"/>
        <spPr>
          <a:ln xmlns:a="http://schemas.openxmlformats.org/drawingml/2006/main" w="9360">
            <a:solidFill>
              <a:srgbClr val="BFBFBF"/>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None</a:t>
            </a:r>
            <a:endParaRPr lang="zh-TW"/>
          </a:p>
        </txPr>
        <crossAx val="25850139"/>
        <crosses val="autoZero"/>
        <crossBetween val="midCat"/>
      </valAx>
      <valAx>
        <axId val="25850139"/>
        <scaling>
          <orientation val="minMax"/>
        </scaling>
        <delete val="0"/>
        <axPos val="l"/>
        <majorGridlines>
          <spPr>
            <a:ln xmlns:a="http://schemas.openxmlformats.org/drawingml/2006/main" w="9360">
              <a:solidFill>
                <a:srgbClr val="D9D9D9"/>
              </a:solidFill>
              <a:prstDash val="solid"/>
              <a:round/>
            </a:ln>
          </spPr>
        </majorGridlines>
        <numFmt formatCode="General" sourceLinked="0"/>
        <majorTickMark val="none"/>
        <minorTickMark val="none"/>
        <tickLblPos val="nextTo"/>
        <spPr>
          <a:ln xmlns:a="http://schemas.openxmlformats.org/drawingml/2006/main" w="9360">
            <a:solidFill>
              <a:srgbClr val="BFBFBF"/>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None</a:t>
            </a:r>
            <a:endParaRPr lang="zh-TW"/>
          </a:p>
        </txPr>
        <crossAx val="34541386"/>
        <crosses val="autoZero"/>
        <crossBetween val="midCat"/>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None</a:t>
          </a:r>
          <a:endParaRPr lang="zh-TW"/>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400" b="1" strike="noStrike" spc="-1">
                <a:solidFill>
                  <a:srgbClr val="FF0000"/>
                </a:solidFill>
                <a:latin typeface="微軟正黑體"/>
                <a:ea typeface="微軟正黑體"/>
              </a:defRPr>
            </a:pPr>
            <a:r>
              <a:rPr sz="1400" b="1" strike="noStrike" spc="-1">
                <a:solidFill>
                  <a:srgbClr val="FF0000"/>
                </a:solidFill>
                <a:latin typeface="微軟正黑體"/>
                <a:ea typeface="微軟正黑體"/>
              </a:rPr>
              <a:t>收單特店家數</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收單特店!$A$2</f>
              <strCache>
                <ptCount val="1"/>
                <pt idx="0">
                  <v xml:space="preserve"> 中信 </v>
                </pt>
              </strCache>
            </strRef>
          </tx>
          <spPr>
            <a:ln xmlns:a="http://schemas.openxmlformats.org/drawingml/2006/main" w="28440" cap="rnd">
              <a:solidFill>
                <a:srgbClr val="00B05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收單特店!$B$2:$F$2</f>
              <numCache>
                <formatCode>_-* #,##0_-;\-* #,##0_-;_-* \-??_-;_-@_-</formatCode>
                <ptCount val="5"/>
                <pt idx="0">
                  <v>96122</v>
                </pt>
                <pt idx="1">
                  <v>102860</v>
                </pt>
                <pt idx="2">
                  <v>102314</v>
                </pt>
                <pt idx="3">
                  <v>105079</v>
                </pt>
                <pt idx="4">
                  <v>106682</v>
                </pt>
              </numCache>
            </numRef>
          </val>
          <smooth val="0"/>
        </ser>
        <ser>
          <idx val="1"/>
          <order val="1"/>
          <tx>
            <strRef>
              <f>收單特店!$A$3</f>
              <strCache>
                <ptCount val="1"/>
                <pt idx="0">
                  <v xml:space="preserve"> 國泰 </v>
                </pt>
              </strCache>
            </strRef>
          </tx>
          <spPr>
            <a:ln xmlns:a="http://schemas.openxmlformats.org/drawingml/2006/main" w="28440" cap="rnd">
              <a:solidFill>
                <a:srgbClr val="FFC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收單特店!$B$3:$F$3</f>
              <numCache>
                <formatCode>_-* #,##0_-;\-* #,##0_-;_-* \-??_-;_-@_-</formatCode>
                <ptCount val="5"/>
                <pt idx="0">
                  <v>22515</v>
                </pt>
                <pt idx="1">
                  <v>25246</v>
                </pt>
                <pt idx="2">
                  <v>44703</v>
                </pt>
                <pt idx="3">
                  <v>52406</v>
                </pt>
                <pt idx="4">
                  <v>62836</v>
                </pt>
              </numCache>
            </numRef>
          </val>
          <smooth val="0"/>
        </ser>
        <ser>
          <idx val="2"/>
          <order val="2"/>
          <tx>
            <strRef>
              <f>收單特店!$A$4</f>
              <strCache>
                <ptCount val="1"/>
                <pt idx="0">
                  <v xml:space="preserve"> 玉山 </v>
                </pt>
              </strCache>
            </strRef>
          </tx>
          <spPr>
            <a:ln xmlns:a="http://schemas.openxmlformats.org/drawingml/2006/main" w="28440" cap="rnd">
              <a:solidFill>
                <a:srgbClr val="A9D1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收單特店!$B$4:$F$4</f>
              <numCache>
                <formatCode>_-* #,##0_-;\-* #,##0_-;_-* \-??_-;_-@_-</formatCode>
                <ptCount val="5"/>
                <pt idx="0">
                  <v>19011</v>
                </pt>
                <pt idx="1">
                  <v>43140</v>
                </pt>
                <pt idx="2">
                  <v>55135</v>
                </pt>
                <pt idx="3">
                  <v>62556</v>
                </pt>
                <pt idx="4">
                  <v>54706</v>
                </pt>
              </numCache>
            </numRef>
          </val>
          <smooth val="0"/>
        </ser>
        <ser>
          <idx val="3"/>
          <order val="3"/>
          <tx>
            <strRef>
              <f>收單特店!$A$5</f>
              <strCache>
                <ptCount val="1"/>
                <pt idx="0">
                  <v xml:space="preserve"> 台新 </v>
                </pt>
              </strCache>
            </strRef>
          </tx>
          <spPr>
            <a:ln xmlns:a="http://schemas.openxmlformats.org/drawingml/2006/main" w="28440" cap="rnd">
              <a:solidFill>
                <a:srgbClr val="C0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收單特店!$B$5:$F$5</f>
              <numCache>
                <formatCode>_-* #,##0_-;\-* #,##0_-;_-* \-??_-;_-@_-</formatCode>
                <ptCount val="5"/>
                <pt idx="0">
                  <v>89072</v>
                </pt>
                <pt idx="1">
                  <v>103323</v>
                </pt>
                <pt idx="2">
                  <v>119607</v>
                </pt>
                <pt idx="3">
                  <v>125870</v>
                </pt>
                <pt idx="4">
                  <v>144565</v>
                </pt>
              </numCache>
            </numRef>
          </val>
          <smooth val="0"/>
        </ser>
        <ser>
          <idx val="4"/>
          <order val="4"/>
          <tx>
            <strRef>
              <f>收單特店!$A$6</f>
              <strCache>
                <ptCount val="1"/>
                <pt idx="0">
                  <v xml:space="preserve"> 富邦 </v>
                </pt>
              </strCache>
            </strRef>
          </tx>
          <spPr>
            <a:ln xmlns:a="http://schemas.openxmlformats.org/drawingml/2006/main" w="28440" cap="rnd">
              <a:solidFill>
                <a:srgbClr val="00B0F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收單特店!$B$6:$F$6</f>
              <numCache>
                <formatCode>_-* #,##0_-;\-* #,##0_-;_-* \-??_-;_-@_-</formatCode>
                <ptCount val="5"/>
                <pt idx="0">
                  <v>697</v>
                </pt>
                <pt idx="1">
                  <v>923</v>
                </pt>
                <pt idx="2">
                  <v>1014</v>
                </pt>
                <pt idx="3">
                  <v>4568</v>
                </pt>
                <pt idx="4">
                  <v>6577</v>
                </pt>
              </numCache>
            </numRef>
          </val>
          <smooth val="0"/>
        </ser>
        <ser>
          <idx val="5"/>
          <order val="5"/>
          <tx>
            <strRef>
              <f>收單特店!$A$7</f>
              <strCache>
                <ptCount val="1"/>
                <pt idx="0">
                  <v xml:space="preserve"> 花旗 </v>
                </pt>
              </strCache>
            </strRef>
          </tx>
          <spPr>
            <a:ln xmlns:a="http://schemas.openxmlformats.org/drawingml/2006/main" w="28440" cap="rnd">
              <a:solidFill>
                <a:srgbClr val="2F5597"/>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收單特店!$B$7:$F$7</f>
              <numCache>
                <formatCode>_-* #,##0_-;\-* #,##0_-;_-* \-??_-;_-@_-</formatCode>
                <ptCount val="5"/>
                <pt idx="0">
                  <v>38268</v>
                </pt>
                <pt idx="1">
                  <v>37512</v>
                </pt>
                <pt idx="2">
                  <v>36722</v>
                </pt>
                <pt idx="3">
                  <v>36580</v>
                </pt>
                <pt idx="4">
                  <v>32677</v>
                </pt>
              </numCache>
            </numRef>
          </val>
          <smooth val="0"/>
        </ser>
        <ser>
          <idx val="6"/>
          <order val="6"/>
          <tx>
            <strRef>
              <f>收單特店!$A$8</f>
              <strCache>
                <ptCount val="1"/>
                <pt idx="0">
                  <v xml:space="preserve"> 聯邦 </v>
                </pt>
              </strCache>
            </strRef>
          </tx>
          <spPr>
            <a:ln xmlns:a="http://schemas.openxmlformats.org/drawingml/2006/main" w="28440" cap="rnd">
              <a:solidFill>
                <a:srgbClr val="385623"/>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收單特店!$B$8:$F$8</f>
              <numCache>
                <formatCode>_-* #,##0_-;\-* #,##0_-;_-* \-??_-;_-@_-</formatCode>
                <ptCount val="5"/>
                <pt idx="0">
                  <v>3577</v>
                </pt>
                <pt idx="1">
                  <v>8775</v>
                </pt>
                <pt idx="2">
                  <v>9672</v>
                </pt>
                <pt idx="3">
                  <v>9646</v>
                </pt>
                <pt idx="4">
                  <v>14236</v>
                </pt>
              </numCache>
            </numRef>
          </val>
          <smooth val="0"/>
        </ser>
        <ser>
          <idx val="7"/>
          <order val="7"/>
          <tx>
            <strRef>
              <f>收單特店!$A$9</f>
              <strCache>
                <ptCount val="1"/>
                <pt idx="0">
                  <v xml:space="preserve"> 永豐 </v>
                </pt>
              </strCache>
            </strRef>
          </tx>
          <spPr>
            <a:ln xmlns:a="http://schemas.openxmlformats.org/drawingml/2006/main" w="28440" cap="rnd">
              <a:solidFill>
                <a:srgbClr val="FF000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收單特店!$B$9:$F$9</f>
              <numCache>
                <formatCode>_-* #,##0_-;\-* #,##0_-;_-* \-??_-;_-@_-</formatCode>
                <ptCount val="5"/>
                <pt idx="0">
                  <v>6309</v>
                </pt>
                <pt idx="1">
                  <v>7853</v>
                </pt>
                <pt idx="2">
                  <v>7409</v>
                </pt>
                <pt idx="3">
                  <v>11482</v>
                </pt>
                <pt idx="4">
                  <v>16003</v>
                </pt>
              </numCache>
            </numRef>
          </val>
          <smooth val="0"/>
        </ser>
        <ser>
          <idx val="8"/>
          <order val="8"/>
          <tx>
            <strRef>
              <f>收單特店!$A$10</f>
              <strCache>
                <ptCount val="1"/>
                <pt idx="0">
                  <v xml:space="preserve"> 遠東 </v>
                </pt>
              </strCache>
            </strRef>
          </tx>
          <spPr>
            <a:ln xmlns:a="http://schemas.openxmlformats.org/drawingml/2006/main" w="28440" cap="rnd">
              <a:solidFill>
                <a:srgbClr val="ED7D3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收單特店!$B$10:$F$10</f>
              <numCache>
                <formatCode>_-* #,##0_-;\-* #,##0_-;_-* \-??_-;_-@_-</formatCode>
                <ptCount val="5"/>
                <pt idx="0">
                  <v>1217</v>
                </pt>
                <pt idx="1">
                  <v>5608</v>
                </pt>
                <pt idx="2">
                  <v>8424</v>
                </pt>
                <pt idx="3">
                  <v>8205</v>
                </pt>
                <pt idx="4">
                  <v>8334</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85078278"/>
        <axId val="76058022"/>
      </lineChart>
      <catAx>
        <axId val="85078278"/>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76058022"/>
        <crosses val="autoZero"/>
        <auto val="1"/>
        <lblAlgn val="ctr"/>
        <lblOffset val="100"/>
        <noMultiLvlLbl val="0"/>
      </catAx>
      <valAx>
        <axId val="76058022"/>
        <scaling>
          <orientation val="minMax"/>
        </scaling>
        <delete val="0"/>
        <axPos val="l"/>
        <majorGridlines>
          <spPr>
            <a:ln xmlns:a="http://schemas.openxmlformats.org/drawingml/2006/main" w="9360">
              <a:solidFill>
                <a:srgbClr val="D9D9D9"/>
              </a:solidFill>
              <a:prstDash val="solid"/>
              <a:round/>
            </a:ln>
          </spPr>
        </majorGridlines>
        <numFmt formatCode="_-* #,##0_-;\-* #,##0_-;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微軟正黑體"/>
                <a:ea typeface="微軟正黑體"/>
              </a:defRPr>
            </a:pPr>
            <a:r>
              <a:t>None</a:t>
            </a:r>
            <a:endParaRPr lang="zh-TW"/>
          </a:p>
        </txPr>
        <crossAx val="8507827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 Type="http://schemas.openxmlformats.org/officeDocument/2006/relationships/chart" Target="/xl/charts/chart7.xml" Id="rId3"/><Relationship Type="http://schemas.openxmlformats.org/officeDocument/2006/relationships/chart" Target="/xl/charts/chart8.xml" Id="rId4"/></Relationships>
</file>

<file path=xl/drawings/_rels/drawing3.xml.rels><Relationships xmlns="http://schemas.openxmlformats.org/package/2006/relationships"><Relationship Type="http://schemas.openxmlformats.org/officeDocument/2006/relationships/chart" Target="/xl/charts/chart9.xml" Id="rId1"/></Relationships>
</file>

<file path=xl/drawings/_rels/drawing4.xml.rels><Relationships xmlns="http://schemas.openxmlformats.org/package/2006/relationships"><Relationship Type="http://schemas.openxmlformats.org/officeDocument/2006/relationships/chart" Target="/xl/charts/chart10.xml" Id="rId1"/></Relationships>
</file>

<file path=xl/drawings/drawing1.xml><?xml version="1.0" encoding="utf-8"?>
<wsDr xmlns="http://schemas.openxmlformats.org/drawingml/2006/spreadsheetDrawing">
  <twoCellAnchor editAs="oneCell">
    <from>
      <col>86</col>
      <colOff>399960</colOff>
      <row>3</row>
      <rowOff>141120</rowOff>
    </from>
    <to>
      <col>95</col>
      <colOff>180600</colOff>
      <row>24</row>
      <rowOff>111350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86</col>
      <colOff>333360</colOff>
      <row>32</row>
      <rowOff>63000</rowOff>
    </from>
    <to>
      <col>95</col>
      <colOff>380520</colOff>
      <row>50</row>
      <rowOff>110470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95</col>
      <colOff>272160</colOff>
      <row>3</row>
      <rowOff>150840</rowOff>
    </from>
    <to>
      <col>104</col>
      <colOff>177620</colOff>
      <row>24</row>
      <rowOff>108830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87</col>
      <colOff>0</colOff>
      <row>59</row>
      <rowOff>101520</rowOff>
    </from>
    <to>
      <col>95</col>
      <colOff>370960</colOff>
      <row>80</row>
      <rowOff>89520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22</col>
      <colOff>399960</colOff>
      <row>3</row>
      <rowOff>141120</rowOff>
    </from>
    <to>
      <col>31</col>
      <colOff>180600</colOff>
      <row>24</row>
      <rowOff>111350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22</col>
      <colOff>333360</colOff>
      <row>32</row>
      <rowOff>63000</rowOff>
    </from>
    <to>
      <col>31</col>
      <colOff>380520</colOff>
      <row>50</row>
      <rowOff>110470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31</col>
      <colOff>272160</colOff>
      <row>3</row>
      <rowOff>150840</rowOff>
    </from>
    <to>
      <col>40</col>
      <colOff>177620</colOff>
      <row>24</row>
      <rowOff>108830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23</col>
      <colOff>0</colOff>
      <row>59</row>
      <rowOff>101520</rowOff>
    </from>
    <to>
      <col>31</col>
      <colOff>370960</colOff>
      <row>80</row>
      <rowOff>89520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3.xml><?xml version="1.0" encoding="utf-8"?>
<wsDr xmlns="http://schemas.openxmlformats.org/drawingml/2006/spreadsheetDrawing">
  <twoCellAnchor editAs="oneCell">
    <from>
      <col>9</col>
      <colOff>38160</colOff>
      <row>11</row>
      <rowOff>45720</rowOff>
    </from>
    <to>
      <col>15</col>
      <colOff>495000</colOff>
      <row>24</row>
      <rowOff>132120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editAs="oneCell">
    <from>
      <col>0</col>
      <colOff>0</colOff>
      <row>11</row>
      <rowOff>0</rowOff>
    </from>
    <to>
      <col>4</col>
      <colOff>772560</colOff>
      <row>24</row>
      <rowOff>18720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Date="0" createdVersion="3" recordCount="518" r:id="rId1">
  <cacheSource type="worksheet">
    <worksheetSource ref="A1:S519" sheet="年收消費RAW"/>
  </cacheSource>
  <cacheFields count="19">
    <cacheField name="年" uniqueList="1" numFmtId="0" sqlType="0" hierarchy="0" level="0" databaseField="1">
      <sharedItems count="7">
        <s v="103年"/>
        <s v="104年"/>
        <s v="105年"/>
        <s v="106年"/>
        <s v="107年"/>
        <s v="108年"/>
        <s v="109年"/>
      </sharedItems>
    </cacheField>
    <cacheField name="月" uniqueList="1" numFmtId="0" sqlType="0" hierarchy="0" level="0" databaseField="1">
      <sharedItems count="12">
        <s v="01月"/>
        <s v="02月"/>
        <s v="03月"/>
        <s v="04月"/>
        <s v="05月"/>
        <s v="06月"/>
        <s v="07月"/>
        <s v="08月"/>
        <s v="09月"/>
        <s v="10月"/>
        <s v="11月"/>
        <s v="12月"/>
      </sharedItems>
    </cacheField>
    <cacheField name="類別" uniqueList="1" numFmtId="0" sqlType="0" hierarchy="0" level="0" databaseField="1">
      <sharedItems count="7">
        <s v="住"/>
        <s v="其他"/>
        <s v="文教康樂"/>
        <s v="百貨"/>
        <s v="行"/>
        <s v="衣"/>
        <s v="食"/>
      </sharedItems>
    </cacheField>
    <cacheField name="未達50萬[筆數]" uniqueList="1" numFmtId="0" sqlType="0" hierarchy="0" level="0" databaseField="1">
      <sharedItems count="518" containsInteger="1" containsNumber="1" containsSemiMixedTypes="0" containsString="0" minValue="838494" maxValue="14752155">
        <n v="838494"/>
        <n v="854886"/>
        <n v="861846"/>
        <n v="862866"/>
        <n v="872190"/>
        <n v="885461"/>
        <n v="888850"/>
        <n v="890132"/>
        <n v="895917"/>
        <n v="897618"/>
        <n v="912536"/>
        <n v="915115"/>
        <n v="931800"/>
        <n v="932506"/>
        <n v="934553"/>
        <n v="939931"/>
        <n v="940102"/>
        <n v="940961"/>
        <n v="944228"/>
        <n v="950063"/>
        <n v="951187"/>
        <n v="959345"/>
        <n v="959855"/>
        <n v="959899"/>
        <n v="963364"/>
        <n v="966826"/>
        <n v="971765"/>
        <n v="973434"/>
        <n v="978535"/>
        <n v="983353"/>
        <n v="984840"/>
        <n v="987988"/>
        <n v="990586"/>
        <n v="992377"/>
        <n v="997461"/>
        <n v="1000671"/>
        <n v="1000916"/>
        <n v="1004032"/>
        <n v="1004871"/>
        <n v="1007166"/>
        <n v="1008001"/>
        <n v="1010577"/>
        <n v="1010929"/>
        <n v="1018511"/>
        <n v="1023667"/>
        <n v="1034262"/>
        <n v="1036754"/>
        <n v="1039203"/>
        <n v="1040249"/>
        <n v="1040772"/>
        <n v="1041366"/>
        <n v="1053973"/>
        <n v="1054189"/>
        <n v="1060269"/>
        <n v="1060612"/>
        <n v="1061742"/>
        <n v="1063348"/>
        <n v="1063982"/>
        <n v="1064552"/>
        <n v="1065654"/>
        <n v="1067708"/>
        <n v="1070264"/>
        <n v="1071023"/>
        <n v="1071671"/>
        <n v="1071723"/>
        <n v="1075613"/>
        <n v="1076366"/>
        <n v="1081656"/>
        <n v="1084479"/>
        <n v="1085083"/>
        <n v="1085554"/>
        <n v="1089613"/>
        <n v="1091685"/>
        <n v="1102232"/>
        <n v="1105617"/>
        <n v="1109246"/>
        <n v="1113671"/>
        <n v="1122933"/>
        <n v="1125789"/>
        <n v="1128421"/>
        <n v="1135847"/>
        <n v="1138085"/>
        <n v="1140237"/>
        <n v="1145514"/>
        <n v="1146592"/>
        <n v="1150763"/>
        <n v="1151090"/>
        <n v="1152744"/>
        <n v="1153496"/>
        <n v="1157029"/>
        <n v="1157084"/>
        <n v="1165531"/>
        <n v="1169974"/>
        <n v="1175808"/>
        <n v="1182641"/>
        <n v="1188030"/>
        <n v="1191493"/>
        <n v="1195040"/>
        <n v="1200810"/>
        <n v="1202119"/>
        <n v="1205215"/>
        <n v="1209330"/>
        <n v="1211781"/>
        <n v="1214810"/>
        <n v="1217948"/>
        <n v="1219564"/>
        <n v="1222064"/>
        <n v="1222275"/>
        <n v="1226010"/>
        <n v="1237785"/>
        <n v="1238603"/>
        <n v="1239597"/>
        <n v="1246617"/>
        <n v="1247293"/>
        <n v="1248317"/>
        <n v="1248356"/>
        <n v="1250913"/>
        <n v="1265161"/>
        <n v="1265808"/>
        <n v="1268019"/>
        <n v="1278744"/>
        <n v="1281517"/>
        <n v="1301684"/>
        <n v="1304529"/>
        <n v="1307771"/>
        <n v="1307986"/>
        <n v="1314106"/>
        <n v="1317656"/>
        <n v="1325925"/>
        <n v="1330153"/>
        <n v="1345239"/>
        <n v="1359161"/>
        <n v="1377593"/>
        <n v="1385744"/>
        <n v="1391400"/>
        <n v="1391760"/>
        <n v="1397733"/>
        <n v="1404739"/>
        <n v="1406851"/>
        <n v="1464663"/>
        <n v="1482562"/>
        <n v="1490705"/>
        <n v="1498302"/>
        <n v="1498509"/>
        <n v="1504244"/>
        <n v="1507160"/>
        <n v="1532615"/>
        <n v="1553366"/>
        <n v="1833683"/>
        <n v="1836314"/>
        <n v="1909468"/>
        <n v="1925858"/>
        <n v="1934290"/>
        <n v="1943999"/>
        <n v="1967508"/>
        <n v="2008708"/>
        <n v="2057092"/>
        <n v="2079635"/>
        <n v="2137531"/>
        <n v="2164102"/>
        <n v="2172653"/>
        <n v="2200517"/>
        <n v="2219268"/>
        <n v="2233362"/>
        <n v="2266662"/>
        <n v="2296662"/>
        <n v="2303723"/>
        <n v="2343181"/>
        <n v="2360283"/>
        <n v="2366105"/>
        <n v="2373996"/>
        <n v="2406240"/>
        <n v="2413380"/>
        <n v="2429149"/>
        <n v="2451239"/>
        <n v="2467899"/>
        <n v="2479042"/>
        <n v="2479674"/>
        <n v="2504777"/>
        <n v="2514021"/>
        <n v="2519022"/>
        <n v="2520671"/>
        <n v="2527060"/>
        <n v="2528574"/>
        <n v="2558702"/>
        <n v="2559075"/>
        <n v="2567940"/>
        <n v="2585027"/>
        <n v="2599200"/>
        <n v="2605217"/>
        <n v="2608241"/>
        <n v="2610041"/>
        <n v="2636017"/>
        <n v="2651246"/>
        <n v="2661570"/>
        <n v="2682807"/>
        <n v="2698689"/>
        <n v="2711180"/>
        <n v="2719034"/>
        <n v="2733832"/>
        <n v="2749828"/>
        <n v="2749865"/>
        <n v="2758320"/>
        <n v="2759824"/>
        <n v="2791812"/>
        <n v="2792647"/>
        <n v="2799825"/>
        <n v="2843530"/>
        <n v="2848806"/>
        <n v="2885385"/>
        <n v="2887017"/>
        <n v="2903865"/>
        <n v="2926373"/>
        <n v="2933817"/>
        <n v="2963791"/>
        <n v="2973882"/>
        <n v="3014379"/>
        <n v="3031196"/>
        <n v="3035413"/>
        <n v="3066187"/>
        <n v="3070177"/>
        <n v="3070723"/>
        <n v="3080845"/>
        <n v="3091914"/>
        <n v="3100986"/>
        <n v="3132178"/>
        <n v="3176216"/>
        <n v="3181925"/>
        <n v="3195685"/>
        <n v="3239423"/>
        <n v="3246153"/>
        <n v="3255454"/>
        <n v="3255751"/>
        <n v="3259018"/>
        <n v="3280339"/>
        <n v="3296679"/>
        <n v="3298793"/>
        <n v="3331395"/>
        <n v="3335492"/>
        <n v="3338202"/>
        <n v="3365267"/>
        <n v="3369008"/>
        <n v="3384726"/>
        <n v="3391280"/>
        <n v="3403441"/>
        <n v="3418578"/>
        <n v="3421138"/>
        <n v="3422210"/>
        <n v="3428524"/>
        <n v="3449181"/>
        <n v="3484925"/>
        <n v="3496729"/>
        <n v="3498621"/>
        <n v="3520558"/>
        <n v="3522519"/>
        <n v="3524353"/>
        <n v="3524640"/>
        <n v="3528622"/>
        <n v="3530812"/>
        <n v="3532064"/>
        <n v="3532542"/>
        <n v="3533805"/>
        <n v="3550605"/>
        <n v="3591307"/>
        <n v="3602689"/>
        <n v="3606008"/>
        <n v="3622925"/>
        <n v="3623812"/>
        <n v="3641085"/>
        <n v="3650800"/>
        <n v="3684460"/>
        <n v="3699786"/>
        <n v="3726982"/>
        <n v="3770649"/>
        <n v="3895872"/>
        <n v="3897325"/>
        <n v="3977368"/>
        <n v="4009288"/>
        <n v="4011316"/>
        <n v="4031281"/>
        <n v="4036393"/>
        <n v="4041294"/>
        <n v="4065746"/>
        <n v="4122374"/>
        <n v="4127565"/>
        <n v="4143776"/>
        <n v="4176274"/>
        <n v="4208445"/>
        <n v="4233263"/>
        <n v="4255741"/>
        <n v="4349655"/>
        <n v="4371961"/>
        <n v="4382936"/>
        <n v="4419164"/>
        <n v="4498847"/>
        <n v="4732819"/>
        <n v="5399487"/>
        <n v="5892666"/>
        <n v="6020223"/>
        <n v="6117996"/>
        <n v="6140730"/>
        <n v="6226627"/>
        <n v="6231943"/>
        <n v="6242918"/>
        <n v="6355652"/>
        <n v="6487041"/>
        <n v="6555345"/>
        <n v="6576984"/>
        <n v="6619367"/>
        <n v="6663893"/>
        <n v="6666724"/>
        <n v="6713009"/>
        <n v="6715305"/>
        <n v="6731611"/>
        <n v="6733182"/>
        <n v="6734103"/>
        <n v="6822834"/>
        <n v="6837139"/>
        <n v="6858805"/>
        <n v="6896101"/>
        <n v="6941307"/>
        <n v="6943842"/>
        <n v="6957929"/>
        <n v="6968893"/>
        <n v="6970115"/>
        <n v="6982991"/>
        <n v="7010358"/>
        <n v="7027584"/>
        <n v="7053997"/>
        <n v="7058648"/>
        <n v="7066723"/>
        <n v="7068126"/>
        <n v="7114253"/>
        <n v="7135592"/>
        <n v="7155337"/>
        <n v="7162245"/>
        <n v="7165647"/>
        <n v="7190218"/>
        <n v="7209145"/>
        <n v="7229565"/>
        <n v="7231421"/>
        <n v="7232134"/>
        <n v="7234549"/>
        <n v="7251440"/>
        <n v="7253388"/>
        <n v="7284267"/>
        <n v="7300999"/>
        <n v="7361116"/>
        <n v="7374564"/>
        <n v="7387965"/>
        <n v="7394248"/>
        <n v="7402908"/>
        <n v="7423546"/>
        <n v="7440210"/>
        <n v="7448952"/>
        <n v="7451732"/>
        <n v="7481368"/>
        <n v="7487606"/>
        <n v="7488043"/>
        <n v="7490490"/>
        <n v="7496980"/>
        <n v="7497471"/>
        <n v="7500136"/>
        <n v="7508901"/>
        <n v="7525906"/>
        <n v="7526768"/>
        <n v="7541004"/>
        <n v="7543503"/>
        <n v="7554348"/>
        <n v="7554445"/>
        <n v="7570348"/>
        <n v="7576302"/>
        <n v="7592718"/>
        <n v="7607143"/>
        <n v="7614912"/>
        <n v="7630685"/>
        <n v="7653928"/>
        <n v="7663979"/>
        <n v="7698441"/>
        <n v="7710537"/>
        <n v="7714603"/>
        <n v="7716046"/>
        <n v="7726801"/>
        <n v="7734192"/>
        <n v="7761723"/>
        <n v="7767411"/>
        <n v="7773822"/>
        <n v="7781302"/>
        <n v="7801358"/>
        <n v="7804991"/>
        <n v="7810049"/>
        <n v="7824964"/>
        <n v="7826892"/>
        <n v="7829426"/>
        <n v="7840561"/>
        <n v="7852982"/>
        <n v="7895946"/>
        <n v="7915024"/>
        <n v="7937776"/>
        <n v="7951746"/>
        <n v="7979587"/>
        <n v="7983762"/>
        <n v="7991563"/>
        <n v="7994774"/>
        <n v="8003218"/>
        <n v="8012700"/>
        <n v="8015720"/>
        <n v="8067553"/>
        <n v="8089535"/>
        <n v="8098782"/>
        <n v="8100712"/>
        <n v="8132479"/>
        <n v="8140667"/>
        <n v="8146585"/>
        <n v="8152720"/>
        <n v="8159216"/>
        <n v="8163178"/>
        <n v="8181924"/>
        <n v="8203362"/>
        <n v="8210505"/>
        <n v="8238098"/>
        <n v="8253980"/>
        <n v="8254961"/>
        <n v="8303273"/>
        <n v="8325185"/>
        <n v="8374296"/>
        <n v="8374779"/>
        <n v="8381550"/>
        <n v="8440542"/>
        <n v="8442532"/>
        <n v="8476709"/>
        <n v="8526229"/>
        <n v="8612822"/>
        <n v="8675413"/>
        <n v="8688407"/>
        <n v="8766867"/>
        <n v="8938480"/>
        <n v="8955078"/>
        <n v="9070205"/>
        <n v="9101086"/>
        <n v="9120104"/>
        <n v="9243682"/>
        <n v="9264431"/>
        <n v="9264649"/>
        <n v="9277099"/>
        <n v="9277915"/>
        <n v="9340953"/>
        <n v="9403744"/>
        <n v="9459331"/>
        <n v="9516549"/>
        <n v="9518940"/>
        <n v="9564662"/>
        <n v="9578295"/>
        <n v="9634673"/>
        <n v="9667379"/>
        <n v="9683607"/>
        <n v="9683887"/>
        <n v="9702782"/>
        <n v="9756663"/>
        <n v="9802657"/>
        <n v="9842721"/>
        <n v="9982310"/>
        <n v="10051659"/>
        <n v="10075230"/>
        <n v="10248854"/>
        <n v="10261501"/>
        <n v="10269433"/>
        <n v="10289625"/>
        <n v="10318594"/>
        <n v="10319852"/>
        <n v="10366196"/>
        <n v="10379042"/>
        <n v="10381012"/>
        <n v="10461081"/>
        <n v="10471349"/>
        <n v="10483250"/>
        <n v="10494234"/>
        <n v="10601936"/>
        <n v="10645456"/>
        <n v="10702763"/>
        <n v="10839329"/>
        <n v="10859064"/>
        <n v="10893578"/>
        <n v="10900950"/>
        <n v="10999197"/>
        <n v="11008758"/>
        <n v="11043244"/>
        <n v="11253749"/>
        <n v="11261490"/>
        <n v="11544554"/>
        <n v="11549597"/>
        <n v="11876168"/>
        <n v="12055562"/>
        <n v="12089234"/>
        <n v="12108211"/>
        <n v="12469205"/>
        <n v="12534817"/>
        <n v="12601379"/>
        <n v="12827717"/>
        <n v="12886911"/>
        <n v="12901671"/>
        <n v="12942920"/>
        <n v="12962622"/>
        <n v="12963102"/>
        <n v="13103087"/>
        <n v="13191484"/>
        <n v="13219393"/>
        <n v="13334032"/>
        <n v="13472916"/>
        <n v="13533598"/>
        <n v="13573161"/>
        <n v="13907857"/>
        <n v="13924917"/>
        <n v="13934668"/>
        <n v="13997155"/>
        <n v="14105086"/>
        <n v="14707495"/>
        <n v="14752155"/>
      </sharedItems>
    </cacheField>
    <cacheField name="未達50萬[金額，新台幣]" uniqueList="1" numFmtId="0" sqlType="0" hierarchy="0" level="0" databaseField="1">
      <sharedItems count="518" containsInteger="1" containsNumber="1" containsSemiMixedTypes="0" containsString="0" minValue="2285849264" maxValue="72385805651">
        <n v="2285849264"/>
        <n v="2334121115"/>
        <n v="2364028586"/>
        <n v="2373725401"/>
        <n v="2409448685"/>
        <n v="2439140603"/>
        <n v="2486432806"/>
        <n v="2511109942"/>
        <n v="2521633896"/>
        <n v="2541576471"/>
        <n v="2541699926"/>
        <n v="2553956281"/>
        <n v="2577913637"/>
        <n v="2584073657"/>
        <n v="2586671334"/>
        <n v="2592052285"/>
        <n v="2596078659"/>
        <n v="2601413423"/>
        <n v="2602812033"/>
        <n v="2608034847"/>
        <n v="2616435861"/>
        <n v="2617485807"/>
        <n v="2628149031"/>
        <n v="2628756301"/>
        <n v="2652836615"/>
        <n v="2654718795"/>
        <n v="2683725057"/>
        <n v="2691863029"/>
        <n v="2705178708"/>
        <n v="2715146555"/>
        <n v="2717289755"/>
        <n v="2733088721"/>
        <n v="2734730291"/>
        <n v="2762707189"/>
        <n v="2774326597"/>
        <n v="2777095796"/>
        <n v="2804651127"/>
        <n v="2804713023"/>
        <n v="2807191923"/>
        <n v="2825050176"/>
        <n v="2838249661"/>
        <n v="2838699211"/>
        <n v="2892623917"/>
        <n v="2901116393"/>
        <n v="2914294003"/>
        <n v="2915484375"/>
        <n v="2962950334"/>
        <n v="2976402576"/>
        <n v="2994871683"/>
        <n v="2996108524"/>
        <n v="2998290518"/>
        <n v="3024822608"/>
        <n v="3043023983"/>
        <n v="3054554838"/>
        <n v="3057855285"/>
        <n v="3075788645"/>
        <n v="3116693157"/>
        <n v="3143025188"/>
        <n v="3201533542"/>
        <n v="3278216849"/>
        <n v="3284572349"/>
        <n v="3376699636"/>
        <n v="3403401947"/>
        <n v="3427497153"/>
        <n v="3449668177"/>
        <n v="3508989278"/>
        <n v="3565525144"/>
        <n v="3572624871"/>
        <n v="3616170884"/>
        <n v="3632109241"/>
        <n v="3670139103"/>
        <n v="3759165747"/>
        <n v="3763653507"/>
        <n v="3787422987"/>
        <n v="3787837397"/>
        <n v="3787894763"/>
        <n v="3798223980"/>
        <n v="3813867379"/>
        <n v="3821064061"/>
        <n v="3829141479"/>
        <n v="3836657864"/>
        <n v="3863317450"/>
        <n v="3863407993"/>
        <n v="3878106750"/>
        <n v="3881746619"/>
        <n v="3886875787"/>
        <n v="3977219723"/>
        <n v="3983456170"/>
        <n v="3985532783"/>
        <n v="4025591639"/>
        <n v="4044962837"/>
        <n v="4075690237"/>
        <n v="4087617390"/>
        <n v="4103726776"/>
        <n v="4147843922"/>
        <n v="4148704386"/>
        <n v="4159319702"/>
        <n v="4174474004"/>
        <n v="4191169582"/>
        <n v="4202191522"/>
        <n v="4214396790"/>
        <n v="4273866521"/>
        <n v="4275145122"/>
        <n v="4276372889"/>
        <n v="4354929743"/>
        <n v="4357559657"/>
        <n v="4388887462"/>
        <n v="4389566653"/>
        <n v="4404385122"/>
        <n v="4405863158"/>
        <n v="4418369084"/>
        <n v="4442631387"/>
        <n v="4461911711"/>
        <n v="4471189076"/>
        <n v="4473610742"/>
        <n v="4480614519"/>
        <n v="4495583972"/>
        <n v="4508346391"/>
        <n v="4524535382"/>
        <n v="4528743088"/>
        <n v="4537535471"/>
        <n v="4537710840"/>
        <n v="4554351889"/>
        <n v="4648780978"/>
        <n v="4652776081"/>
        <n v="4670998282"/>
        <n v="4689728163"/>
        <n v="4710192747"/>
        <n v="4711324275"/>
        <n v="4720572350"/>
        <n v="4721042834"/>
        <n v="4723181104"/>
        <n v="4800668627"/>
        <n v="4847412242"/>
        <n v="4859872792"/>
        <n v="4883561507"/>
        <n v="4888088851"/>
        <n v="4938823111"/>
        <n v="4941680467"/>
        <n v="5007493639"/>
        <n v="5034463633"/>
        <n v="5050306512"/>
        <n v="5173508706"/>
        <n v="5200613194"/>
        <n v="5212203523"/>
        <n v="5348124152"/>
        <n v="5398066517"/>
        <n v="5443660802"/>
        <n v="5512865838"/>
        <n v="5555798652"/>
        <n v="5562690671"/>
        <n v="5605433277"/>
        <n v="5693526549"/>
        <n v="5698028115"/>
        <n v="5737114464"/>
        <n v="5827325551"/>
        <n v="5900427906"/>
        <n v="5919575011"/>
        <n v="5963139892"/>
        <n v="6020504483"/>
        <n v="6045619365"/>
        <n v="6107686862"/>
        <n v="6122008220"/>
        <n v="6139673148"/>
        <n v="6155247407"/>
        <n v="6158476066"/>
        <n v="6193281095"/>
        <n v="6222213550"/>
        <n v="6230987529"/>
        <n v="6240120082"/>
        <n v="6259905315"/>
        <n v="6264341655"/>
        <n v="6304556414"/>
        <n v="6312315775"/>
        <n v="6342998481"/>
        <n v="6343616709"/>
        <n v="6370996030"/>
        <n v="6388031058"/>
        <n v="6437172516"/>
        <n v="6450708335"/>
        <n v="6468464895"/>
        <n v="6492490252"/>
        <n v="6554265970"/>
        <n v="6592781094"/>
        <n v="6620909237"/>
        <n v="6649390956"/>
        <n v="6652684267"/>
        <n v="6652818713"/>
        <n v="6663523025"/>
        <n v="6674953904"/>
        <n v="6743425050"/>
        <n v="6756424650"/>
        <n v="6783645183"/>
        <n v="6812312148"/>
        <n v="6816174240"/>
        <n v="6838312886"/>
        <n v="6871852538"/>
        <n v="6894048444"/>
        <n v="6906784854"/>
        <n v="6915743329"/>
        <n v="6932299444"/>
        <n v="6937668070"/>
        <n v="6957162806"/>
        <n v="6977138284"/>
        <n v="6983427485"/>
        <n v="7042088950"/>
        <n v="7109278036"/>
        <n v="7145755719"/>
        <n v="7148196646"/>
        <n v="7151219820"/>
        <n v="7152597029"/>
        <n v="7158843352"/>
        <n v="7170901034"/>
        <n v="7192209716"/>
        <n v="7212274841"/>
        <n v="7267734056"/>
        <n v="7278358374"/>
        <n v="7280205566"/>
        <n v="7301984751"/>
        <n v="7342317845"/>
        <n v="7357622529"/>
        <n v="7406142839"/>
        <n v="7460988209"/>
        <n v="7480613178"/>
        <n v="7505446699"/>
        <n v="7515609223"/>
        <n v="7551401609"/>
        <n v="7569912355"/>
        <n v="7604991271"/>
        <n v="7606589927"/>
        <n v="7609888085"/>
        <n v="7627196714"/>
        <n v="7639609950"/>
        <n v="7645515168"/>
        <n v="7702557001"/>
        <n v="7716946422"/>
        <n v="7727280686"/>
        <n v="7728802030"/>
        <n v="7731069981"/>
        <n v="7747624871"/>
        <n v="7787892225"/>
        <n v="7802333568"/>
        <n v="7817042880"/>
        <n v="7820400355"/>
        <n v="7867188491"/>
        <n v="7901936741"/>
        <n v="7915218265"/>
        <n v="7922901149"/>
        <n v="7936443699"/>
        <n v="7948533050"/>
        <n v="7975904664"/>
        <n v="7984088813"/>
        <n v="8022262764"/>
        <n v="8033223335"/>
        <n v="8055095500"/>
        <n v="8087481412"/>
        <n v="8088242149"/>
        <n v="8093367500"/>
        <n v="8098225031"/>
        <n v="8125044407"/>
        <n v="8127563816"/>
        <n v="8175106606"/>
        <n v="8189816644"/>
        <n v="8221320419"/>
        <n v="8223019185"/>
        <n v="8265520893"/>
        <n v="8280556467"/>
        <n v="8315369213"/>
        <n v="8317376215"/>
        <n v="8336102720"/>
        <n v="8395478512"/>
        <n v="8396588851"/>
        <n v="8496451039"/>
        <n v="8524756386"/>
        <n v="8547343599"/>
        <n v="8567936625"/>
        <n v="8575976720"/>
        <n v="8583298808"/>
        <n v="8586630570"/>
        <n v="8605055682"/>
        <n v="8608124860"/>
        <n v="8617148153"/>
        <n v="8623458592"/>
        <n v="8623625144"/>
        <n v="8624298298"/>
        <n v="8648639373"/>
        <n v="8698011473"/>
        <n v="8705672890"/>
        <n v="8706237744"/>
        <n v="8730334714"/>
        <n v="8788954849"/>
        <n v="8812178742"/>
        <n v="8817716227"/>
        <n v="8855781077"/>
        <n v="8882690937"/>
        <n v="8955604466"/>
        <n v="9013611397"/>
        <n v="9054664040"/>
        <n v="9066831239"/>
        <n v="9073223439"/>
        <n v="9076188618"/>
        <n v="9114259531"/>
        <n v="9129391093"/>
        <n v="9149734878"/>
        <n v="9209780556"/>
        <n v="9214956349"/>
        <n v="9216640050"/>
        <n v="9222976972"/>
        <n v="9230307364"/>
        <n v="9230502953"/>
        <n v="9253238438"/>
        <n v="9253447801"/>
        <n v="9263855243"/>
        <n v="9270407138"/>
        <n v="9276785750"/>
        <n v="9288637243"/>
        <n v="9295065758"/>
        <n v="9299007264"/>
        <n v="9314982672"/>
        <n v="9319580919"/>
        <n v="9330146282"/>
        <n v="9345206249"/>
        <n v="9384025885"/>
        <n v="9386559898"/>
        <n v="9414675261"/>
        <n v="9426043945"/>
        <n v="9518851423"/>
        <n v="9526940543"/>
        <n v="9530238448"/>
        <n v="9546489862"/>
        <n v="9564149667"/>
        <n v="9584096247"/>
        <n v="9588348675"/>
        <n v="9605655473"/>
        <n v="9625150689"/>
        <n v="9637339742"/>
        <n v="9666614162"/>
        <n v="9669373127"/>
        <n v="9670059347"/>
        <n v="9700289331"/>
        <n v="9708415224"/>
        <n v="9714215868"/>
        <n v="9725347539"/>
        <n v="9729814442"/>
        <n v="9738305483"/>
        <n v="9747896677"/>
        <n v="9785228186"/>
        <n v="9869588988"/>
        <n v="9872344777"/>
        <n v="9910168885"/>
        <n v="9912986022"/>
        <n v="9914685665"/>
        <n v="9935216045"/>
        <n v="9942351358"/>
        <n v="9954436060"/>
        <n v="9982484065"/>
        <n v="10009308401"/>
        <n v="10020043607"/>
        <n v="10040390044"/>
        <n v="10045473795"/>
        <n v="10065455569"/>
        <n v="10129275209"/>
        <n v="10131377736"/>
        <n v="10143790150"/>
        <n v="10150312290"/>
        <n v="10172460117"/>
        <n v="10193642518"/>
        <n v="10196373574"/>
        <n v="10205517749"/>
        <n v="10206805401"/>
        <n v="10208689330"/>
        <n v="10228684990"/>
        <n v="10234575879"/>
        <n v="10239346041"/>
        <n v="10276956850"/>
        <n v="10280101303"/>
        <n v="10310854087"/>
        <n v="10312881497"/>
        <n v="10324772682"/>
        <n v="10329598648"/>
        <n v="10343630310"/>
        <n v="10354491373"/>
        <n v="10385127632"/>
        <n v="10409303620"/>
        <n v="10433245239"/>
        <n v="10452080775"/>
        <n v="10471567391"/>
        <n v="10481732619"/>
        <n v="10498661918"/>
        <n v="10540503318"/>
        <n v="10606900169"/>
        <n v="10635352204"/>
        <n v="10694676544"/>
        <n v="10698198867"/>
        <n v="10702699474"/>
        <n v="10709610347"/>
        <n v="10726841550"/>
        <n v="10808588294"/>
        <n v="10810207509"/>
        <n v="10813840691"/>
        <n v="10822004696"/>
        <n v="10845382856"/>
        <n v="10909198651"/>
        <n v="10913632876"/>
        <n v="10919720392"/>
        <n v="10927005728"/>
        <n v="10989050100"/>
        <n v="11179563378"/>
        <n v="11202915041"/>
        <n v="11266069977"/>
        <n v="11276699819"/>
        <n v="11300804841"/>
        <n v="11353182371"/>
        <n v="11443747246"/>
        <n v="11471292467"/>
        <n v="11521925082"/>
        <n v="11579190436"/>
        <n v="11628691590"/>
        <n v="11632080106"/>
        <n v="11650562748"/>
        <n v="11657664726"/>
        <n v="11710637421"/>
        <n v="11794354204"/>
        <n v="11853769983"/>
        <n v="11957885094"/>
        <n v="12006636831"/>
        <n v="12148651861"/>
        <n v="12294551277"/>
        <n v="12376498250"/>
        <n v="12427047323"/>
        <n v="12572101600"/>
        <n v="12576518313"/>
        <n v="12700390334"/>
        <n v="12854014185"/>
        <n v="12858671688"/>
        <n v="12871265804"/>
        <n v="12974174813"/>
        <n v="13167888299"/>
        <n v="13171157420"/>
        <n v="13232341648"/>
        <n v="13246271272"/>
        <n v="13636505850"/>
        <n v="13837691042"/>
        <n v="15501734260"/>
        <n v="20925520815"/>
        <n v="21610374271"/>
        <n v="23142390277"/>
        <n v="23371882185"/>
        <n v="23377804816"/>
        <n v="23867836010"/>
        <n v="23995053694"/>
        <n v="24082680068"/>
        <n v="24119417353"/>
        <n v="24169890669"/>
        <n v="24693188700"/>
        <n v="25187505096"/>
        <n v="26139686303"/>
        <n v="26486294615"/>
        <n v="26506203286"/>
        <n v="26515088408"/>
        <n v="26720710270"/>
        <n v="26780513304"/>
        <n v="26977837748"/>
        <n v="27103846705"/>
        <n v="27320684919"/>
        <n v="27404041598"/>
        <n v="27629834447"/>
        <n v="28195060857"/>
        <n v="28257560434"/>
        <n v="28272864817"/>
        <n v="28302329747"/>
        <n v="28329787819"/>
        <n v="28472775521"/>
        <n v="28763088902"/>
        <n v="28898071551"/>
        <n v="29060296507"/>
        <n v="29182604054"/>
        <n v="29189676038"/>
        <n v="29190461612"/>
        <n v="29323732256"/>
        <n v="29570021807"/>
        <n v="29621655274"/>
        <n v="29920466429"/>
        <n v="29981936194"/>
        <n v="29991190777"/>
        <n v="30466976025"/>
        <n v="30606183614"/>
        <n v="31029009572"/>
        <n v="31121500733"/>
        <n v="31168690690"/>
        <n v="31216564911"/>
        <n v="31447893071"/>
        <n v="31564193152"/>
        <n v="31768961547"/>
        <n v="31856972193"/>
        <n v="31917353977"/>
        <n v="32019595817"/>
        <n v="32203334434"/>
        <n v="32329929755"/>
        <n v="32880832920"/>
        <n v="33314422193"/>
        <n v="33463072743"/>
        <n v="34094212789"/>
        <n v="35207330742"/>
        <n v="35378889465"/>
        <n v="36015228840"/>
        <n v="36098793408"/>
        <n v="36216812196"/>
        <n v="36330636845"/>
        <n v="36414270839"/>
        <n v="38204922817"/>
        <n v="38209550157"/>
        <n v="38315699344"/>
        <n v="39389451773"/>
        <n v="40539523019"/>
        <n v="41413818002"/>
        <n v="42305510356"/>
        <n v="72385805651"/>
      </sharedItems>
    </cacheField>
    <cacheField name="50萬[含]-75萬[筆數]" uniqueList="1" numFmtId="0" sqlType="0" hierarchy="0" level="0" databaseField="1">
      <sharedItems count="518" containsInteger="1" containsNumber="1" containsSemiMixedTypes="0" containsString="0" minValue="385155" maxValue="6937178">
        <n v="385155"/>
        <n v="402776"/>
        <n v="407880"/>
        <n v="411778"/>
        <n v="415136"/>
        <n v="421243"/>
        <n v="424809"/>
        <n v="427288"/>
        <n v="427392"/>
        <n v="430630"/>
        <n v="431796"/>
        <n v="433556"/>
        <n v="443658"/>
        <n v="448763"/>
        <n v="448909"/>
        <n v="451179"/>
        <n v="451219"/>
        <n v="455970"/>
        <n v="457381"/>
        <n v="457875"/>
        <n v="459529"/>
        <n v="460428"/>
        <n v="461044"/>
        <n v="461883"/>
        <n v="462217"/>
        <n v="462773"/>
        <n v="463313"/>
        <n v="463331"/>
        <n v="463627"/>
        <n v="464954"/>
        <n v="465909"/>
        <n v="471943"/>
        <n v="474653"/>
        <n v="474743"/>
        <n v="475457"/>
        <n v="476358"/>
        <n v="480069"/>
        <n v="480486"/>
        <n v="481839"/>
        <n v="482121"/>
        <n v="482246"/>
        <n v="485057"/>
        <n v="485570"/>
        <n v="486447"/>
        <n v="487220"/>
        <n v="488895"/>
        <n v="490174"/>
        <n v="490440"/>
        <n v="492061"/>
        <n v="493664"/>
        <n v="494702"/>
        <n v="494961"/>
        <n v="495326"/>
        <n v="496374"/>
        <n v="497772"/>
        <n v="500912"/>
        <n v="500959"/>
        <n v="501005"/>
        <n v="502005"/>
        <n v="502282"/>
        <n v="503144"/>
        <n v="504158"/>
        <n v="506628"/>
        <n v="506659"/>
        <n v="506704"/>
        <n v="506784"/>
        <n v="506922"/>
        <n v="508788"/>
        <n v="509834"/>
        <n v="510993"/>
        <n v="513834"/>
        <n v="514173"/>
        <n v="514235"/>
        <n v="514819"/>
        <n v="514990"/>
        <n v="516732"/>
        <n v="518839"/>
        <n v="521023"/>
        <n v="522968"/>
        <n v="523388"/>
        <n v="524275"/>
        <n v="524674"/>
        <n v="526505"/>
        <n v="526665"/>
        <n v="526918"/>
        <n v="528707"/>
        <n v="529059"/>
        <n v="529078"/>
        <n v="529517"/>
        <n v="529626"/>
        <n v="530263"/>
        <n v="530832"/>
        <n v="532813"/>
        <n v="536180"/>
        <n v="536207"/>
        <n v="541441"/>
        <n v="541546"/>
        <n v="545817"/>
        <n v="549197"/>
        <n v="549478"/>
        <n v="550067"/>
        <n v="552808"/>
        <n v="554396"/>
        <n v="559019"/>
        <n v="559290"/>
        <n v="559779"/>
        <n v="560601"/>
        <n v="561240"/>
        <n v="562903"/>
        <n v="564597"/>
        <n v="565102"/>
        <n v="566358"/>
        <n v="571652"/>
        <n v="573302"/>
        <n v="576383"/>
        <n v="580321"/>
        <n v="582311"/>
        <n v="582785"/>
        <n v="585107"/>
        <n v="585946"/>
        <n v="586036"/>
        <n v="588027"/>
        <n v="588998"/>
        <n v="590336"/>
        <n v="591835"/>
        <n v="592460"/>
        <n v="596340"/>
        <n v="596690"/>
        <n v="603849"/>
        <n v="604007"/>
        <n v="609903"/>
        <n v="610983"/>
        <n v="612397"/>
        <n v="612666"/>
        <n v="616314"/>
        <n v="620006"/>
        <n v="620497"/>
        <n v="623880"/>
        <n v="636961"/>
        <n v="639060"/>
        <n v="664072"/>
        <n v="667109"/>
        <n v="667883"/>
        <n v="671916"/>
        <n v="685854"/>
        <n v="692245"/>
        <n v="697802"/>
        <n v="718681"/>
        <n v="932958"/>
        <n v="960206"/>
        <n v="982355"/>
        <n v="987156"/>
        <n v="1007446"/>
        <n v="1007888"/>
        <n v="1008456"/>
        <n v="1014743"/>
        <n v="1038146"/>
        <n v="1040054"/>
        <n v="1047879"/>
        <n v="1066894"/>
        <n v="1071463"/>
        <n v="1074336"/>
        <n v="1088036"/>
        <n v="1105319"/>
        <n v="1107887"/>
        <n v="1110507"/>
        <n v="1112934"/>
        <n v="1116971"/>
        <n v="1127612"/>
        <n v="1131425"/>
        <n v="1133376"/>
        <n v="1139141"/>
        <n v="1145262"/>
        <n v="1151937"/>
        <n v="1152057"/>
        <n v="1154068"/>
        <n v="1157170"/>
        <n v="1158336"/>
        <n v="1159629"/>
        <n v="1165688"/>
        <n v="1172425"/>
        <n v="1175015"/>
        <n v="1178487"/>
        <n v="1183705"/>
        <n v="1197246"/>
        <n v="1199407"/>
        <n v="1203445"/>
        <n v="1204272"/>
        <n v="1206521"/>
        <n v="1207833"/>
        <n v="1208791"/>
        <n v="1209975"/>
        <n v="1211628"/>
        <n v="1218113"/>
        <n v="1219687"/>
        <n v="1221241"/>
        <n v="1222428"/>
        <n v="1231226"/>
        <n v="1231590"/>
        <n v="1232577"/>
        <n v="1237230"/>
        <n v="1239182"/>
        <n v="1239970"/>
        <n v="1240625"/>
        <n v="1243604"/>
        <n v="1251434"/>
        <n v="1252935"/>
        <n v="1266397"/>
        <n v="1276744"/>
        <n v="1284579"/>
        <n v="1293760"/>
        <n v="1295418"/>
        <n v="1300365"/>
        <n v="1300528"/>
        <n v="1300854"/>
        <n v="1306486"/>
        <n v="1316890"/>
        <n v="1328128"/>
        <n v="1340412"/>
        <n v="1341503"/>
        <n v="1351077"/>
        <n v="1358348"/>
        <n v="1381505"/>
        <n v="1390288"/>
        <n v="1396903"/>
        <n v="1404392"/>
        <n v="1404825"/>
        <n v="1407362"/>
        <n v="1428851"/>
        <n v="1430119"/>
        <n v="1430581"/>
        <n v="1436912"/>
        <n v="1442005"/>
        <n v="1444383"/>
        <n v="1446017"/>
        <n v="1450391"/>
        <n v="1467998"/>
        <n v="1470184"/>
        <n v="1470918"/>
        <n v="1478921"/>
        <n v="1479365"/>
        <n v="1479412"/>
        <n v="1479879"/>
        <n v="1497410"/>
        <n v="1502740"/>
        <n v="1504690"/>
        <n v="1508106"/>
        <n v="1516570"/>
        <n v="1517997"/>
        <n v="1523405"/>
        <n v="1524874"/>
        <n v="1531058"/>
        <n v="1557017"/>
        <n v="1564064"/>
        <n v="1565489"/>
        <n v="1571204"/>
        <n v="1577199"/>
        <n v="1577533"/>
        <n v="1577910"/>
        <n v="1580998"/>
        <n v="1589932"/>
        <n v="1600448"/>
        <n v="1602201"/>
        <n v="1619638"/>
        <n v="1620306"/>
        <n v="1620763"/>
        <n v="1622930"/>
        <n v="1638682"/>
        <n v="1641803"/>
        <n v="1659153"/>
        <n v="1680541"/>
        <n v="1683005"/>
        <n v="1690045"/>
        <n v="1703359"/>
        <n v="1708009"/>
        <n v="1729764"/>
        <n v="1733078"/>
        <n v="1734404"/>
        <n v="1735443"/>
        <n v="1757023"/>
        <n v="1764345"/>
        <n v="1775904"/>
        <n v="1776092"/>
        <n v="1798218"/>
        <n v="1802695"/>
        <n v="1803183"/>
        <n v="1831736"/>
        <n v="1858233"/>
        <n v="1881072"/>
        <n v="1889296"/>
        <n v="1890389"/>
        <n v="1905359"/>
        <n v="1906216"/>
        <n v="1907618"/>
        <n v="1981601"/>
        <n v="1992672"/>
        <n v="2778935"/>
        <n v="2985192"/>
        <n v="3024003"/>
        <n v="3053153"/>
        <n v="3058407"/>
        <n v="3131071"/>
        <n v="3160186"/>
        <n v="3211690"/>
        <n v="3229271"/>
        <n v="3258715"/>
        <n v="3293492"/>
        <n v="3297787"/>
        <n v="3302329"/>
        <n v="3321215"/>
        <n v="3323699"/>
        <n v="3340261"/>
        <n v="3345516"/>
        <n v="3348114"/>
        <n v="3389587"/>
        <n v="3406756"/>
        <n v="3414126"/>
        <n v="3415418"/>
        <n v="3430166"/>
        <n v="3430372"/>
        <n v="3441636"/>
        <n v="3452454"/>
        <n v="3452981"/>
        <n v="3457183"/>
        <n v="3464328"/>
        <n v="3477396"/>
        <n v="3484839"/>
        <n v="3485859"/>
        <n v="3485995"/>
        <n v="3489446"/>
        <n v="3492862"/>
        <n v="3500367"/>
        <n v="3517270"/>
        <n v="3517892"/>
        <n v="3519756"/>
        <n v="3520437"/>
        <n v="3526052"/>
        <n v="3538721"/>
        <n v="3543135"/>
        <n v="3544312"/>
        <n v="3546172"/>
        <n v="3559709"/>
        <n v="3569092"/>
        <n v="3570114"/>
        <n v="3574706"/>
        <n v="3584284"/>
        <n v="3593957"/>
        <n v="3604709"/>
        <n v="3606116"/>
        <n v="3612143"/>
        <n v="3614882"/>
        <n v="3616079"/>
        <n v="3616435"/>
        <n v="3631403"/>
        <n v="3638316"/>
        <n v="3653334"/>
        <n v="3658983"/>
        <n v="3660257"/>
        <n v="3661285"/>
        <n v="3672927"/>
        <n v="3678658"/>
        <n v="3679118"/>
        <n v="3685616"/>
        <n v="3686153"/>
        <n v="3692219"/>
        <n v="3698993"/>
        <n v="3714722"/>
        <n v="3739918"/>
        <n v="3741971"/>
        <n v="3743114"/>
        <n v="3743423"/>
        <n v="3745088"/>
        <n v="3751015"/>
        <n v="3788710"/>
        <n v="3794877"/>
        <n v="3797722"/>
        <n v="3811080"/>
        <n v="3828484"/>
        <n v="3838650"/>
        <n v="3839883"/>
        <n v="3840277"/>
        <n v="3841883"/>
        <n v="3848189"/>
        <n v="3854796"/>
        <n v="3867122"/>
        <n v="3870683"/>
        <n v="3875986"/>
        <n v="3882611"/>
        <n v="3894774"/>
        <n v="3901796"/>
        <n v="3918245"/>
        <n v="3932038"/>
        <n v="3940511"/>
        <n v="3951290"/>
        <n v="3959572"/>
        <n v="3966158"/>
        <n v="3966892"/>
        <n v="3968054"/>
        <n v="3986820"/>
        <n v="3992308"/>
        <n v="4006805"/>
        <n v="4008133"/>
        <n v="4011370"/>
        <n v="4018789"/>
        <n v="4021293"/>
        <n v="4024068"/>
        <n v="4026305"/>
        <n v="4053654"/>
        <n v="4057065"/>
        <n v="4063347"/>
        <n v="4072280"/>
        <n v="4072603"/>
        <n v="4078297"/>
        <n v="4082377"/>
        <n v="4092878"/>
        <n v="4103941"/>
        <n v="4119429"/>
        <n v="4119864"/>
        <n v="4120482"/>
        <n v="4127387"/>
        <n v="4143422"/>
        <n v="4152618"/>
        <n v="4164742"/>
        <n v="4174341"/>
        <n v="4182826"/>
        <n v="4197056"/>
        <n v="4214244"/>
        <n v="4215115"/>
        <n v="4215951"/>
        <n v="4225079"/>
        <n v="4227625"/>
        <n v="4239284"/>
        <n v="4250888"/>
        <n v="4291900"/>
        <n v="4296476"/>
        <n v="4315244"/>
        <n v="4388027"/>
        <n v="4399620"/>
        <n v="4422013"/>
        <n v="4429994"/>
        <n v="4461135"/>
        <n v="4517143"/>
        <n v="4522734"/>
        <n v="4584512"/>
        <n v="4593584"/>
        <n v="4619486"/>
        <n v="4641157"/>
        <n v="4654204"/>
        <n v="4672342"/>
        <n v="4677546"/>
        <n v="4706617"/>
        <n v="4707794"/>
        <n v="4707802"/>
        <n v="4708100"/>
        <n v="4728668"/>
        <n v="4738552"/>
        <n v="4740815"/>
        <n v="4747853"/>
        <n v="4748638"/>
        <n v="4754740"/>
        <n v="4771501"/>
        <n v="4804795"/>
        <n v="4806564"/>
        <n v="4830810"/>
        <n v="4839321"/>
        <n v="4863117"/>
        <n v="4914642"/>
        <n v="4934595"/>
        <n v="4951644"/>
        <n v="5006011"/>
        <n v="5019558"/>
        <n v="5021740"/>
        <n v="5035564"/>
        <n v="5036965"/>
        <n v="5043697"/>
        <n v="5133235"/>
        <n v="5142175"/>
        <n v="5147017"/>
        <n v="5188854"/>
        <n v="5200206"/>
        <n v="5210515"/>
        <n v="5240096"/>
        <n v="5268820"/>
        <n v="5296021"/>
        <n v="5308444"/>
        <n v="5336221"/>
        <n v="5408120"/>
        <n v="5453248"/>
        <n v="5471897"/>
        <n v="5473402"/>
        <n v="5479299"/>
        <n v="5497071"/>
        <n v="5546646"/>
        <n v="5553414"/>
        <n v="5578453"/>
        <n v="5763455"/>
        <n v="5769992"/>
        <n v="5934093"/>
        <n v="5978015"/>
        <n v="5989912"/>
        <n v="5996125"/>
        <n v="6014743"/>
        <n v="6040474"/>
        <n v="6061559"/>
        <n v="6082857"/>
        <n v="6126311"/>
        <n v="6140621"/>
        <n v="6163278"/>
        <n v="6179785"/>
        <n v="6261965"/>
        <n v="6294253"/>
        <n v="6312037"/>
        <n v="6336531"/>
        <n v="6449635"/>
        <n v="6578826"/>
        <n v="6742821"/>
        <n v="6860931"/>
        <n v="6937178"/>
      </sharedItems>
    </cacheField>
    <cacheField name="50萬[含]-75萬[金額，新台幣]" uniqueList="1" numFmtId="0" sqlType="0" hierarchy="0" level="0" databaseField="1">
      <sharedItems count="518" containsInteger="1" containsNumber="1" containsSemiMixedTypes="0" containsString="0" minValue="1009185332" maxValue="59708685402">
        <n v="1009185332"/>
        <n v="1024137387"/>
        <n v="1031160028"/>
        <n v="1033229224"/>
        <n v="1056319031"/>
        <n v="1066634035"/>
        <n v="1072172739"/>
        <n v="1101346983"/>
        <n v="1103795540"/>
        <n v="1105809739"/>
        <n v="1109255200"/>
        <n v="1112182104"/>
        <n v="1112998963"/>
        <n v="1122646343"/>
        <n v="1125534652"/>
        <n v="1131298193"/>
        <n v="1131750469"/>
        <n v="1132651427"/>
        <n v="1133015710"/>
        <n v="1134009479"/>
        <n v="1139355448"/>
        <n v="1141947517"/>
        <n v="1146300331"/>
        <n v="1149514151"/>
        <n v="1172313673"/>
        <n v="1175773687"/>
        <n v="1182076036"/>
        <n v="1187093485"/>
        <n v="1195883181"/>
        <n v="1196023808"/>
        <n v="1203678402"/>
        <n v="1204068867"/>
        <n v="1205293829"/>
        <n v="1207040832"/>
        <n v="1210004082"/>
        <n v="1210477477"/>
        <n v="1215140622"/>
        <n v="1228275694"/>
        <n v="1235009180"/>
        <n v="1245208206"/>
        <n v="1255981252"/>
        <n v="1258098131"/>
        <n v="1267202611"/>
        <n v="1274341724"/>
        <n v="1284982251"/>
        <n v="1292648036"/>
        <n v="1295345189"/>
        <n v="1299136611"/>
        <n v="1302660611"/>
        <n v="1305152050"/>
        <n v="1305526770"/>
        <n v="1328704820"/>
        <n v="1345356867"/>
        <n v="1348636249"/>
        <n v="1369277510"/>
        <n v="1374281155"/>
        <n v="1377467946"/>
        <n v="1387470770"/>
        <n v="1391762210"/>
        <n v="1407184716"/>
        <n v="1430522441"/>
        <n v="1476527167"/>
        <n v="1498761824"/>
        <n v="1537600216"/>
        <n v="1561518252"/>
        <n v="1562106177"/>
        <n v="1593344814"/>
        <n v="1619689837"/>
        <n v="1639429633"/>
        <n v="1682873445"/>
        <n v="1704957635"/>
        <n v="1712342322"/>
        <n v="1757531268"/>
        <n v="1759034795"/>
        <n v="1888435035"/>
        <n v="1915596533"/>
        <n v="1958440123"/>
        <n v="1962634009"/>
        <n v="1991398833"/>
        <n v="2014817685"/>
        <n v="2057007618"/>
        <n v="2087916928"/>
        <n v="2090401994"/>
        <n v="2107315618"/>
        <n v="2152088962"/>
        <n v="2153717892"/>
        <n v="2169963821"/>
        <n v="2175277319"/>
        <n v="2189389867"/>
        <n v="2195135275"/>
        <n v="2202019118"/>
        <n v="2204578151"/>
        <n v="2208128746"/>
        <n v="2217446916"/>
        <n v="2260234317"/>
        <n v="2267652292"/>
        <n v="2275049095"/>
        <n v="2276555141"/>
        <n v="2291708856"/>
        <n v="2301131560"/>
        <n v="2328974686"/>
        <n v="2332922304"/>
        <n v="2355037416"/>
        <n v="2357697469"/>
        <n v="2365073826"/>
        <n v="2366345155"/>
        <n v="2384577002"/>
        <n v="2387197154"/>
        <n v="2393792944"/>
        <n v="2406153968"/>
        <n v="2418200933"/>
        <n v="2431431566"/>
        <n v="2455045572"/>
        <n v="2459118204"/>
        <n v="2471978387"/>
        <n v="2475457510"/>
        <n v="2494133147"/>
        <n v="2507612671"/>
        <n v="2516746844"/>
        <n v="2516900684"/>
        <n v="2518607666"/>
        <n v="2542203257"/>
        <n v="2542727291"/>
        <n v="2543029584"/>
        <n v="2549116484"/>
        <n v="2555537276"/>
        <n v="2589572122"/>
        <n v="2593180897"/>
        <n v="2594568111"/>
        <n v="2609321114"/>
        <n v="2611780515"/>
        <n v="2627732336"/>
        <n v="2678799008"/>
        <n v="2682334343"/>
        <n v="2688103948"/>
        <n v="2714640776"/>
        <n v="2728384723"/>
        <n v="2734239271"/>
        <n v="2737312153"/>
        <n v="2758795129"/>
        <n v="2765870361"/>
        <n v="2788133711"/>
        <n v="2788140524"/>
        <n v="2796698873"/>
        <n v="2909764535"/>
        <n v="2932494307"/>
        <n v="2950640385"/>
        <n v="2954321842"/>
        <n v="2982070487"/>
        <n v="2987725024"/>
        <n v="2993145617"/>
        <n v="3055977799"/>
        <n v="3058645503"/>
        <n v="3099465104"/>
        <n v="3116184639"/>
        <n v="3163458867"/>
        <n v="3212992093"/>
        <n v="3217275362"/>
        <n v="3219297944"/>
        <n v="3220763977"/>
        <n v="3233874687"/>
        <n v="3234729938"/>
        <n v="3243646247"/>
        <n v="3244909401"/>
        <n v="3261501633"/>
        <n v="3284017200"/>
        <n v="3339355280"/>
        <n v="3340072844"/>
        <n v="3342036803"/>
        <n v="3361321161"/>
        <n v="3363479700"/>
        <n v="3384577522"/>
        <n v="3388879040"/>
        <n v="3393869813"/>
        <n v="3396789846"/>
        <n v="3407042891"/>
        <n v="3407753226"/>
        <n v="3456825982"/>
        <n v="3459958850"/>
        <n v="3469326429"/>
        <n v="3475799751"/>
        <n v="3480750635"/>
        <n v="3482581207"/>
        <n v="3482694234"/>
        <n v="3490112902"/>
        <n v="3493385192"/>
        <n v="3498054814"/>
        <n v="3505762791"/>
        <n v="3519608536"/>
        <n v="3523748408"/>
        <n v="3530802837"/>
        <n v="3545596911"/>
        <n v="3549009043"/>
        <n v="3555321297"/>
        <n v="3555765971"/>
        <n v="3558607767"/>
        <n v="3563411495"/>
        <n v="3611467388"/>
        <n v="3616065502"/>
        <n v="3631633241"/>
        <n v="3633751608"/>
        <n v="3634016126"/>
        <n v="3640461900"/>
        <n v="3654036273"/>
        <n v="3662976562"/>
        <n v="3669185181"/>
        <n v="3671068034"/>
        <n v="3679357656"/>
        <n v="3679506547"/>
        <n v="3683106423"/>
        <n v="3690099818"/>
        <n v="3725944408"/>
        <n v="3734246945"/>
        <n v="3735503348"/>
        <n v="3742656093"/>
        <n v="3742879024"/>
        <n v="3747566570"/>
        <n v="3750951103"/>
        <n v="3758568139"/>
        <n v="3760140476"/>
        <n v="3776962845"/>
        <n v="3777707908"/>
        <n v="3779061516"/>
        <n v="3782567073"/>
        <n v="3783891854"/>
        <n v="3785926759"/>
        <n v="3788284540"/>
        <n v="3796760336"/>
        <n v="3801759978"/>
        <n v="3804058221"/>
        <n v="3806166244"/>
        <n v="3809944559"/>
        <n v="3819556217"/>
        <n v="3845573218"/>
        <n v="3850156374"/>
        <n v="3858004848"/>
        <n v="3859304307"/>
        <n v="3869377480"/>
        <n v="3889695922"/>
        <n v="3891588885"/>
        <n v="3897193834"/>
        <n v="3897360145"/>
        <n v="3900770036"/>
        <n v="3903588675"/>
        <n v="3909331905"/>
        <n v="3917500919"/>
        <n v="3917890482"/>
        <n v="3921842731"/>
        <n v="3951396179"/>
        <n v="3957161347"/>
        <n v="3961891690"/>
        <n v="3970237829"/>
        <n v="3971669160"/>
        <n v="3972829876"/>
        <n v="3974439882"/>
        <n v="3976060981"/>
        <n v="3978378270"/>
        <n v="3980433157"/>
        <n v="3983212681"/>
        <n v="3989440017"/>
        <n v="3991052481"/>
        <n v="4027102147"/>
        <n v="4028007050"/>
        <n v="4036025089"/>
        <n v="4047388244"/>
        <n v="4048150195"/>
        <n v="4068538504"/>
        <n v="4080990774"/>
        <n v="4086626146"/>
        <n v="4096005223"/>
        <n v="4112249354"/>
        <n v="4113560537"/>
        <n v="4134140709"/>
        <n v="4212885926"/>
        <n v="4214956851"/>
        <n v="4238104848"/>
        <n v="4245042791"/>
        <n v="4249728037"/>
        <n v="4250613523"/>
        <n v="4250926619"/>
        <n v="4269848712"/>
        <n v="4286839654"/>
        <n v="4303840610"/>
        <n v="4322190095"/>
        <n v="4322496509"/>
        <n v="4323483457"/>
        <n v="4330684460"/>
        <n v="4355346716"/>
        <n v="4406688038"/>
        <n v="4412314658"/>
        <n v="4420699077"/>
        <n v="4426737997"/>
        <n v="4429566573"/>
        <n v="4436012500"/>
        <n v="4437839551"/>
        <n v="4446334457"/>
        <n v="4505488469"/>
        <n v="4509125145"/>
        <n v="4510754464"/>
        <n v="4522086667"/>
        <n v="4528871013"/>
        <n v="4537904236"/>
        <n v="4547742128"/>
        <n v="4552140199"/>
        <n v="4557077102"/>
        <n v="4563240183"/>
        <n v="4578025716"/>
        <n v="4581593019"/>
        <n v="4608963110"/>
        <n v="4621869202"/>
        <n v="4645689070"/>
        <n v="4646432216"/>
        <n v="4647505240"/>
        <n v="4664055171"/>
        <n v="4665724068"/>
        <n v="4672217381"/>
        <n v="4677905598"/>
        <n v="4712744764"/>
        <n v="4722816414"/>
        <n v="4723778479"/>
        <n v="4747458946"/>
        <n v="4751582905"/>
        <n v="4754736115"/>
        <n v="4764711704"/>
        <n v="4776311581"/>
        <n v="4776934583"/>
        <n v="4778180954"/>
        <n v="4789063220"/>
        <n v="4795622168"/>
        <n v="4799447109"/>
        <n v="4801997501"/>
        <n v="4806331078"/>
        <n v="4822019744"/>
        <n v="4845080603"/>
        <n v="4888789917"/>
        <n v="4893052554"/>
        <n v="4894792310"/>
        <n v="4898244314"/>
        <n v="4906465512"/>
        <n v="4910893958"/>
        <n v="4913737149"/>
        <n v="4933259045"/>
        <n v="4941320927"/>
        <n v="4959024578"/>
        <n v="4960291299"/>
        <n v="4972471243"/>
        <n v="4982771977"/>
        <n v="4988632696"/>
        <n v="4991102239"/>
        <n v="5011098998"/>
        <n v="5049468476"/>
        <n v="5069661521"/>
        <n v="5075205800"/>
        <n v="5077701961"/>
        <n v="5083836813"/>
        <n v="5101283262"/>
        <n v="5119335227"/>
        <n v="5134057941"/>
        <n v="5139945829"/>
        <n v="5155465972"/>
        <n v="5161752477"/>
        <n v="5163965481"/>
        <n v="5167541304"/>
        <n v="5178775610"/>
        <n v="5180175985"/>
        <n v="5181403175"/>
        <n v="5185262461"/>
        <n v="5194771906"/>
        <n v="5198359410"/>
        <n v="5200189306"/>
        <n v="5205842506"/>
        <n v="5216881530"/>
        <n v="5218597186"/>
        <n v="5222673880"/>
        <n v="5241455109"/>
        <n v="5247913456"/>
        <n v="5253820663"/>
        <n v="5273028486"/>
        <n v="5278275890"/>
        <n v="5290233623"/>
        <n v="5313804439"/>
        <n v="5324658714"/>
        <n v="5351724822"/>
        <n v="5352558585"/>
        <n v="5357316677"/>
        <n v="5357992426"/>
        <n v="5385194723"/>
        <n v="5395554170"/>
        <n v="5406721435"/>
        <n v="5410587907"/>
        <n v="5414656682"/>
        <n v="5428967636"/>
        <n v="5450200725"/>
        <n v="5489846637"/>
        <n v="5496886063"/>
        <n v="5497456000"/>
        <n v="5517193568"/>
        <n v="5545064434"/>
        <n v="5546914182"/>
        <n v="5561255435"/>
        <n v="5576027801"/>
        <n v="5584755972"/>
        <n v="5596466786"/>
        <n v="5603550237"/>
        <n v="5637445952"/>
        <n v="5646884283"/>
        <n v="5667264022"/>
        <n v="5679637089"/>
        <n v="5689580800"/>
        <n v="5703792320"/>
        <n v="5703967227"/>
        <n v="5716941504"/>
        <n v="5762662717"/>
        <n v="5804506223"/>
        <n v="5811295878"/>
        <n v="5828525789"/>
        <n v="5867495499"/>
        <n v="5870261388"/>
        <n v="5870726817"/>
        <n v="5872877530"/>
        <n v="5877584291"/>
        <n v="5887899384"/>
        <n v="5901600726"/>
        <n v="5904574054"/>
        <n v="5912381235"/>
        <n v="5956483385"/>
        <n v="5962906437"/>
        <n v="6001367427"/>
        <n v="6018162261"/>
        <n v="6063928582"/>
        <n v="6066500427"/>
        <n v="6119498813"/>
        <n v="6124274667"/>
        <n v="6124968414"/>
        <n v="6215729326"/>
        <n v="6229895334"/>
        <n v="6252378107"/>
        <n v="6368346154"/>
        <n v="6375018551"/>
        <n v="6417108107"/>
        <n v="6495074169"/>
        <n v="6587248920"/>
        <n v="6703424340"/>
        <n v="7352424930"/>
        <n v="10204375541"/>
        <n v="10947603025"/>
        <n v="11725514269"/>
        <n v="11749255495"/>
        <n v="11795310777"/>
        <n v="11850009978"/>
        <n v="12124283683"/>
        <n v="12136389683"/>
        <n v="12213649799"/>
        <n v="12516010567"/>
        <n v="12878963842"/>
        <n v="12926060536"/>
        <n v="13017367026"/>
        <n v="13066250468"/>
        <n v="13088320458"/>
        <n v="13550639967"/>
        <n v="13648725473"/>
        <n v="13727497443"/>
        <n v="13862407612"/>
        <n v="14312403341"/>
        <n v="14360441441"/>
        <n v="14371927544"/>
        <n v="14385429166"/>
        <n v="14444982384"/>
        <n v="14527565679"/>
        <n v="14546223069"/>
        <n v="14594433055"/>
        <n v="14615635571"/>
        <n v="14621170467"/>
        <n v="14710507113"/>
        <n v="14735487070"/>
        <n v="15015229968"/>
        <n v="15104502021"/>
        <n v="15107868947"/>
        <n v="15127045220"/>
        <n v="15254778889"/>
        <n v="15331750241"/>
        <n v="15391307764"/>
        <n v="15446654098"/>
        <n v="15943998082"/>
        <n v="15972471580"/>
        <n v="16036683122"/>
        <n v="16113362169"/>
        <n v="16115571060"/>
        <n v="16291218938"/>
        <n v="16297044342"/>
        <n v="16532388369"/>
        <n v="16679038430"/>
        <n v="16699330771"/>
        <n v="16793360480"/>
        <n v="16889665472"/>
        <n v="17006023607"/>
        <n v="17051568711"/>
        <n v="17214551556"/>
        <n v="17254945863"/>
        <n v="17435096559"/>
        <n v="17483981167"/>
        <n v="18006448212"/>
        <n v="18073389759"/>
        <n v="18135740657"/>
        <n v="18476373279"/>
        <n v="18525760248"/>
        <n v="18836847846"/>
        <n v="18975704240"/>
        <n v="19528756961"/>
        <n v="20385718001"/>
        <n v="20508522634"/>
        <n v="20656382837"/>
        <n v="21916134739"/>
        <n v="22445222559"/>
        <n v="25523393859"/>
        <n v="26893821430"/>
        <n v="27889123594"/>
        <n v="59708685402"/>
      </sharedItems>
    </cacheField>
    <cacheField name="75萬[含]-100萬[筆數]" uniqueList="1" numFmtId="0" sqlType="0" hierarchy="0" level="0" databaseField="1">
      <sharedItems count="518" containsInteger="1" containsNumber="1" containsSemiMixedTypes="0" containsString="0" minValue="120319" maxValue="2803299">
        <n v="120319"/>
        <n v="128844"/>
        <n v="129331"/>
        <n v="130993"/>
        <n v="133168"/>
        <n v="133513"/>
        <n v="133589"/>
        <n v="136836"/>
        <n v="137595"/>
        <n v="138780"/>
        <n v="139104"/>
        <n v="141354"/>
        <n v="141520"/>
        <n v="142367"/>
        <n v="143102"/>
        <n v="143271"/>
        <n v="144178"/>
        <n v="144349"/>
        <n v="145029"/>
        <n v="146148"/>
        <n v="147379"/>
        <n v="148531"/>
        <n v="149573"/>
        <n v="151590"/>
        <n v="151612"/>
        <n v="152407"/>
        <n v="152781"/>
        <n v="153790"/>
        <n v="154127"/>
        <n v="154308"/>
        <n v="154361"/>
        <n v="155018"/>
        <n v="155165"/>
        <n v="155218"/>
        <n v="157749"/>
        <n v="158350"/>
        <n v="158445"/>
        <n v="160035"/>
        <n v="161329"/>
        <n v="162197"/>
        <n v="162713"/>
        <n v="162871"/>
        <n v="163383"/>
        <n v="163817"/>
        <n v="164112"/>
        <n v="164198"/>
        <n v="164816"/>
        <n v="165491"/>
        <n v="166256"/>
        <n v="168425"/>
        <n v="168993"/>
        <n v="169068"/>
        <n v="169402"/>
        <n v="169958"/>
        <n v="170811"/>
        <n v="171373"/>
        <n v="172341"/>
        <n v="172610"/>
        <n v="174246"/>
        <n v="175708"/>
        <n v="176803"/>
        <n v="180093"/>
        <n v="180126"/>
        <n v="181399"/>
        <n v="183226"/>
        <n v="186415"/>
        <n v="186581"/>
        <n v="188139"/>
        <n v="189848"/>
        <n v="191617"/>
        <n v="191793"/>
        <n v="194302"/>
        <n v="194426"/>
        <n v="194624"/>
        <n v="195234"/>
        <n v="196788"/>
        <n v="197297"/>
        <n v="197381"/>
        <n v="197535"/>
        <n v="198312"/>
        <n v="200306"/>
        <n v="200625"/>
        <n v="200717"/>
        <n v="201733"/>
        <n v="202745"/>
        <n v="203087"/>
        <n v="204693"/>
        <n v="205507"/>
        <n v="206176"/>
        <n v="206716"/>
        <n v="207403"/>
        <n v="207958"/>
        <n v="208788"/>
        <n v="209024"/>
        <n v="210146"/>
        <n v="210297"/>
        <n v="210487"/>
        <n v="211681"/>
        <n v="212459"/>
        <n v="212754"/>
        <n v="213210"/>
        <n v="216528"/>
        <n v="216612"/>
        <n v="216927"/>
        <n v="217016"/>
        <n v="217788"/>
        <n v="218103"/>
        <n v="219464"/>
        <n v="220763"/>
        <n v="221182"/>
        <n v="221711"/>
        <n v="226260"/>
        <n v="226346"/>
        <n v="227489"/>
        <n v="227982"/>
        <n v="228707"/>
        <n v="230200"/>
        <n v="231121"/>
        <n v="231219"/>
        <n v="231455"/>
        <n v="232705"/>
        <n v="233011"/>
        <n v="233154"/>
        <n v="233880"/>
        <n v="234991"/>
        <n v="238039"/>
        <n v="238044"/>
        <n v="241147"/>
        <n v="243894"/>
        <n v="246991"/>
        <n v="247617"/>
        <n v="248256"/>
        <n v="248744"/>
        <n v="249544"/>
        <n v="251286"/>
        <n v="251848"/>
        <n v="255305"/>
        <n v="256126"/>
        <n v="256943"/>
        <n v="257505"/>
        <n v="272542"/>
        <n v="274857"/>
        <n v="277223"/>
        <n v="277583"/>
        <n v="279825"/>
        <n v="281473"/>
        <n v="285579"/>
        <n v="300861"/>
        <n v="341080"/>
        <n v="358266"/>
        <n v="361363"/>
        <n v="361567"/>
        <n v="373021"/>
        <n v="374384"/>
        <n v="380170"/>
        <n v="380808"/>
        <n v="390075"/>
        <n v="394682"/>
        <n v="397613"/>
        <n v="400143"/>
        <n v="400280"/>
        <n v="403601"/>
        <n v="406163"/>
        <n v="406692"/>
        <n v="409672"/>
        <n v="413319"/>
        <n v="414905"/>
        <n v="414963"/>
        <n v="415004"/>
        <n v="415949"/>
        <n v="419458"/>
        <n v="421068"/>
        <n v="424143"/>
        <n v="424766"/>
        <n v="426875"/>
        <n v="427814"/>
        <n v="428092"/>
        <n v="428926"/>
        <n v="430054"/>
        <n v="430770"/>
        <n v="431232"/>
        <n v="431626"/>
        <n v="433894"/>
        <n v="439539"/>
        <n v="441881"/>
        <n v="443054"/>
        <n v="443837"/>
        <n v="444056"/>
        <n v="445091"/>
        <n v="446421"/>
        <n v="447144"/>
        <n v="447567"/>
        <n v="448551"/>
        <n v="448706"/>
        <n v="449860"/>
        <n v="450155"/>
        <n v="450625"/>
        <n v="450805"/>
        <n v="454029"/>
        <n v="457013"/>
        <n v="460820"/>
        <n v="461619"/>
        <n v="463315"/>
        <n v="463699"/>
        <n v="466381"/>
        <n v="467401"/>
        <n v="469458"/>
        <n v="470158"/>
        <n v="470547"/>
        <n v="471614"/>
        <n v="476728"/>
        <n v="479756"/>
        <n v="480708"/>
        <n v="481261"/>
        <n v="481325"/>
        <n v="483363"/>
        <n v="484548"/>
        <n v="484903"/>
        <n v="485775"/>
        <n v="487140"/>
        <n v="487429"/>
        <n v="487616"/>
        <n v="490761"/>
        <n v="491621"/>
        <n v="494276"/>
        <n v="494955"/>
        <n v="496918"/>
        <n v="517380"/>
        <n v="519633"/>
        <n v="520326"/>
        <n v="527275"/>
        <n v="530896"/>
        <n v="538381"/>
        <n v="540926"/>
        <n v="540961"/>
        <n v="541498"/>
        <n v="543555"/>
        <n v="543993"/>
        <n v="545517"/>
        <n v="549039"/>
        <n v="550029"/>
        <n v="551778"/>
        <n v="552053"/>
        <n v="552317"/>
        <n v="552575"/>
        <n v="553294"/>
        <n v="553561"/>
        <n v="554751"/>
        <n v="557755"/>
        <n v="558909"/>
        <n v="559500"/>
        <n v="559538"/>
        <n v="559862"/>
        <n v="559923"/>
        <n v="561018"/>
        <n v="561858"/>
        <n v="562908"/>
        <n v="564366"/>
        <n v="565858"/>
        <n v="566701"/>
        <n v="566894"/>
        <n v="577326"/>
        <n v="577879"/>
        <n v="578083"/>
        <n v="580670"/>
        <n v="585567"/>
        <n v="586325"/>
        <n v="586743"/>
        <n v="590760"/>
        <n v="591460"/>
        <n v="594212"/>
        <n v="595165"/>
        <n v="597280"/>
        <n v="600939"/>
        <n v="602319"/>
        <n v="608484"/>
        <n v="609365"/>
        <n v="618221"/>
        <n v="619335"/>
        <n v="621909"/>
        <n v="625909"/>
        <n v="635023"/>
        <n v="637264"/>
        <n v="643633"/>
        <n v="652197"/>
        <n v="654146"/>
        <n v="657347"/>
        <n v="664801"/>
        <n v="666965"/>
        <n v="683992"/>
        <n v="691496"/>
        <n v="695145"/>
        <n v="695443"/>
        <n v="710975"/>
        <n v="744946"/>
        <n v="760520"/>
        <n v="1075246"/>
        <n v="1100172"/>
        <n v="1127017"/>
        <n v="1136288"/>
        <n v="1141428"/>
        <n v="1188384"/>
        <n v="1194509"/>
        <n v="1206330"/>
        <n v="1211960"/>
        <n v="1212121"/>
        <n v="1213139"/>
        <n v="1224302"/>
        <n v="1225834"/>
        <n v="1249690"/>
        <n v="1250470"/>
        <n v="1256539"/>
        <n v="1268501"/>
        <n v="1269288"/>
        <n v="1269409"/>
        <n v="1281326"/>
        <n v="1302329"/>
        <n v="1305450"/>
        <n v="1310422"/>
        <n v="1318362"/>
        <n v="1325342"/>
        <n v="1326547"/>
        <n v="1329797"/>
        <n v="1330584"/>
        <n v="1331233"/>
        <n v="1332365"/>
        <n v="1335055"/>
        <n v="1335173"/>
        <n v="1335445"/>
        <n v="1341320"/>
        <n v="1343726"/>
        <n v="1344009"/>
        <n v="1345082"/>
        <n v="1351793"/>
        <n v="1353819"/>
        <n v="1354176"/>
        <n v="1358875"/>
        <n v="1359045"/>
        <n v="1360018"/>
        <n v="1367236"/>
        <n v="1367524"/>
        <n v="1367837"/>
        <n v="1368471"/>
        <n v="1369111"/>
        <n v="1370317"/>
        <n v="1373462"/>
        <n v="1376153"/>
        <n v="1376541"/>
        <n v="1376745"/>
        <n v="1379494"/>
        <n v="1380847"/>
        <n v="1382069"/>
        <n v="1393920"/>
        <n v="1398508"/>
        <n v="1403838"/>
        <n v="1410405"/>
        <n v="1415581"/>
        <n v="1419742"/>
        <n v="1425886"/>
        <n v="1427477"/>
        <n v="1431353"/>
        <n v="1432831"/>
        <n v="1435225"/>
        <n v="1435969"/>
        <n v="1436589"/>
        <n v="1437252"/>
        <n v="1439637"/>
        <n v="1444707"/>
        <n v="1449863"/>
        <n v="1452931"/>
        <n v="1453222"/>
        <n v="1453462"/>
        <n v="1459105"/>
        <n v="1459261"/>
        <n v="1459440"/>
        <n v="1459681"/>
        <n v="1469300"/>
        <n v="1469937"/>
        <n v="1470749"/>
        <n v="1471168"/>
        <n v="1473726"/>
        <n v="1475870"/>
        <n v="1476456"/>
        <n v="1477220"/>
        <n v="1478128"/>
        <n v="1478953"/>
        <n v="1479814"/>
        <n v="1482001"/>
        <n v="1484330"/>
        <n v="1486979"/>
        <n v="1488634"/>
        <n v="1491613"/>
        <n v="1495384"/>
        <n v="1499902"/>
        <n v="1507413"/>
        <n v="1511031"/>
        <n v="1513666"/>
        <n v="1515651"/>
        <n v="1520072"/>
        <n v="1523707"/>
        <n v="1524078"/>
        <n v="1524498"/>
        <n v="1527041"/>
        <n v="1529818"/>
        <n v="1531458"/>
        <n v="1541267"/>
        <n v="1543501"/>
        <n v="1548457"/>
        <n v="1553348"/>
        <n v="1556667"/>
        <n v="1560360"/>
        <n v="1561197"/>
        <n v="1561628"/>
        <n v="1569320"/>
        <n v="1572479"/>
        <n v="1572786"/>
        <n v="1573258"/>
        <n v="1574298"/>
        <n v="1578387"/>
        <n v="1594792"/>
        <n v="1594928"/>
        <n v="1596158"/>
        <n v="1607600"/>
        <n v="1613034"/>
        <n v="1613037"/>
        <n v="1619525"/>
        <n v="1620254"/>
        <n v="1620307"/>
        <n v="1623510"/>
        <n v="1637661"/>
        <n v="1638881"/>
        <n v="1639592"/>
        <n v="1643103"/>
        <n v="1660182"/>
        <n v="1680163"/>
        <n v="1681106"/>
        <n v="1684291"/>
        <n v="1685805"/>
        <n v="1698126"/>
        <n v="1704770"/>
        <n v="1710676"/>
        <n v="1711721"/>
        <n v="1728026"/>
        <n v="1732200"/>
        <n v="1734678"/>
        <n v="1734694"/>
        <n v="1735383"/>
        <n v="1737264"/>
        <n v="1738942"/>
        <n v="1744633"/>
        <n v="1745105"/>
        <n v="1748820"/>
        <n v="1756280"/>
        <n v="1757297"/>
        <n v="1761075"/>
        <n v="1764024"/>
        <n v="1775602"/>
        <n v="1777308"/>
        <n v="1782923"/>
        <n v="1786150"/>
        <n v="1791165"/>
        <n v="1792097"/>
        <n v="1797574"/>
        <n v="1798885"/>
        <n v="1800427"/>
        <n v="1804606"/>
        <n v="1809322"/>
        <n v="1822099"/>
        <n v="1832735"/>
        <n v="1832988"/>
        <n v="1843879"/>
        <n v="1868905"/>
        <n v="1873020"/>
        <n v="1883986"/>
        <n v="1900697"/>
        <n v="1904789"/>
        <n v="1920115"/>
        <n v="1928672"/>
        <n v="1937763"/>
        <n v="1942129"/>
        <n v="1950816"/>
        <n v="1954479"/>
        <n v="1958259"/>
        <n v="1961161"/>
        <n v="1970356"/>
        <n v="1975672"/>
        <n v="1976092"/>
        <n v="1982571"/>
        <n v="1990680"/>
        <n v="2009533"/>
        <n v="2013262"/>
        <n v="2018964"/>
        <n v="2040211"/>
        <n v="2047876"/>
        <n v="2103484"/>
        <n v="2108119"/>
        <n v="2129149"/>
        <n v="2141631"/>
        <n v="2151230"/>
        <n v="2170212"/>
        <n v="2193238"/>
        <n v="2242090"/>
        <n v="2249509"/>
        <n v="2265558"/>
        <n v="2272226"/>
        <n v="2303388"/>
        <n v="2319401"/>
        <n v="2324877"/>
        <n v="2418557"/>
        <n v="2424225"/>
        <n v="2471544"/>
        <n v="2504810"/>
        <n v="2535420"/>
        <n v="2542793"/>
        <n v="2568442"/>
        <n v="2568707"/>
        <n v="2657861"/>
        <n v="2803299"/>
      </sharedItems>
    </cacheField>
    <cacheField name="75萬[含]-100萬[金額，新台幣]" uniqueList="1" numFmtId="0" sqlType="0" hierarchy="0" level="0" databaseField="1">
      <sharedItems count="518" containsInteger="1" containsNumber="1" containsSemiMixedTypes="0" containsString="0" minValue="360013575" maxValue="27661454635">
        <n v="360013575"/>
        <n v="368007909"/>
        <n v="368083270"/>
        <n v="369125018"/>
        <n v="371864837"/>
        <n v="372014481"/>
        <n v="382459748"/>
        <n v="385021718"/>
        <n v="387017214"/>
        <n v="388182835"/>
        <n v="388416048"/>
        <n v="392068958"/>
        <n v="394852975"/>
        <n v="397570758"/>
        <n v="397979914"/>
        <n v="400586641"/>
        <n v="401096294"/>
        <n v="402042343"/>
        <n v="406855392"/>
        <n v="408984271"/>
        <n v="410584164"/>
        <n v="411543419"/>
        <n v="411813375"/>
        <n v="413149729"/>
        <n v="413510463"/>
        <n v="413790326"/>
        <n v="420271204"/>
        <n v="420316219"/>
        <n v="420589851"/>
        <n v="422871443"/>
        <n v="424608385"/>
        <n v="425664543"/>
        <n v="425690694"/>
        <n v="425908939"/>
        <n v="427829371"/>
        <n v="429473936"/>
        <n v="434120610"/>
        <n v="435039404"/>
        <n v="437598468"/>
        <n v="438606700"/>
        <n v="439676651"/>
        <n v="443142911"/>
        <n v="447638966"/>
        <n v="447713354"/>
        <n v="448510543"/>
        <n v="449926959"/>
        <n v="453462163"/>
        <n v="455526775"/>
        <n v="457504331"/>
        <n v="459620544"/>
        <n v="461125277"/>
        <n v="463824316"/>
        <n v="467292590"/>
        <n v="470579091"/>
        <n v="471228232"/>
        <n v="473464533"/>
        <n v="475099328"/>
        <n v="482123232"/>
        <n v="489359471"/>
        <n v="491758624"/>
        <n v="518174030"/>
        <n v="520647222"/>
        <n v="534159534"/>
        <n v="545029823"/>
        <n v="558947784"/>
        <n v="560021692"/>
        <n v="562862140"/>
        <n v="568922544"/>
        <n v="573482893"/>
        <n v="586471981"/>
        <n v="586923949"/>
        <n v="592419127"/>
        <n v="595903342"/>
        <n v="597849368"/>
        <n v="844016277"/>
        <n v="853727829"/>
        <n v="865209688"/>
        <n v="884480294"/>
        <n v="894670470"/>
        <n v="905105018"/>
        <n v="927967653"/>
        <n v="932264884"/>
        <n v="933882980"/>
        <n v="933936281"/>
        <n v="954588324"/>
        <n v="957553364"/>
        <n v="963207165"/>
        <n v="964502665"/>
        <n v="968412775"/>
        <n v="971837202"/>
        <n v="972495718"/>
        <n v="982736714"/>
        <n v="992280984"/>
        <n v="994442435"/>
        <n v="995824521"/>
        <n v="1004746023"/>
        <n v="1022109492"/>
        <n v="1022939426"/>
        <n v="1028476326"/>
        <n v="1030444332"/>
        <n v="1053295510"/>
        <n v="1054235084"/>
        <n v="1057009344"/>
        <n v="1063222555"/>
        <n v="1064779956"/>
        <n v="1066610749"/>
        <n v="1070713638"/>
        <n v="1075522339"/>
        <n v="1079372699"/>
        <n v="1086068995"/>
        <n v="1088797296"/>
        <n v="1098886537"/>
        <n v="1099524924"/>
        <n v="1110239644"/>
        <n v="1120325191"/>
        <n v="1123299038"/>
        <n v="1124249501"/>
        <n v="1128812165"/>
        <n v="1132743648"/>
        <n v="1133136546"/>
        <n v="1135692194"/>
        <n v="1138864052"/>
        <n v="1141541943"/>
        <n v="1142873142"/>
        <n v="1150091194"/>
        <n v="1160632840"/>
        <n v="1161603156"/>
        <n v="1163571193"/>
        <n v="1171311729"/>
        <n v="1172243701"/>
        <n v="1175342841"/>
        <n v="1183500408"/>
        <n v="1183506214"/>
        <n v="1185197001"/>
        <n v="1194468753"/>
        <n v="1207012735"/>
        <n v="1213365814"/>
        <n v="1217980898"/>
        <n v="1225033124"/>
        <n v="1227572075"/>
        <n v="1230804928"/>
        <n v="1233017792"/>
        <n v="1242106501"/>
        <n v="1254097928"/>
        <n v="1257477334"/>
        <n v="1258636709"/>
        <n v="1261032029"/>
        <n v="1269691031"/>
        <n v="1272435825"/>
        <n v="1287642253"/>
        <n v="1303325013"/>
        <n v="1305118557"/>
        <n v="1310143458"/>
        <n v="1320462950"/>
        <n v="1320866443"/>
        <n v="1322817834"/>
        <n v="1334418324"/>
        <n v="1334471847"/>
        <n v="1343134334"/>
        <n v="1344009485"/>
        <n v="1345128487"/>
        <n v="1365095112"/>
        <n v="1373390735"/>
        <n v="1376605759"/>
        <n v="1378659384"/>
        <n v="1379009826"/>
        <n v="1380323210"/>
        <n v="1381023949"/>
        <n v="1382839199"/>
        <n v="1383830288"/>
        <n v="1386656216"/>
        <n v="1390299533"/>
        <n v="1391411124"/>
        <n v="1392888691"/>
        <n v="1395599993"/>
        <n v="1401101228"/>
        <n v="1403140946"/>
        <n v="1404588169"/>
        <n v="1409349805"/>
        <n v="1418742238"/>
        <n v="1420687202"/>
        <n v="1424619341"/>
        <n v="1428553765"/>
        <n v="1432545392"/>
        <n v="1433865661"/>
        <n v="1435077617"/>
        <n v="1435863818"/>
        <n v="1437497684"/>
        <n v="1438000371"/>
        <n v="1441729290"/>
        <n v="1442027735"/>
        <n v="1448507107"/>
        <n v="1452301390"/>
        <n v="1456050902"/>
        <n v="1459216804"/>
        <n v="1464187125"/>
        <n v="1471130282"/>
        <n v="1478229420"/>
        <n v="1479225053"/>
        <n v="1482099265"/>
        <n v="1487565301"/>
        <n v="1489427637"/>
        <n v="1490220602"/>
        <n v="1496238200"/>
        <n v="1496597387"/>
        <n v="1496647788"/>
        <n v="1498030771"/>
        <n v="1501238188"/>
        <n v="1501533430"/>
        <n v="1503392933"/>
        <n v="1504451488"/>
        <n v="1504837013"/>
        <n v="1506346341"/>
        <n v="1508047058"/>
        <n v="1509733574"/>
        <n v="1511788235"/>
        <n v="1516855276"/>
        <n v="1519260445"/>
        <n v="1524462386"/>
        <n v="1526879312"/>
        <n v="1529343047"/>
        <n v="1533007619"/>
        <n v="1534264613"/>
        <n v="1535786825"/>
        <n v="1537006748"/>
        <n v="1550899824"/>
        <n v="1553265418"/>
        <n v="1558166581"/>
        <n v="1558422951"/>
        <n v="1558535975"/>
        <n v="1559325596"/>
        <n v="1565319027"/>
        <n v="1565827719"/>
        <n v="1569053293"/>
        <n v="1569366866"/>
        <n v="1569544111"/>
        <n v="1570717283"/>
        <n v="1573810024"/>
        <n v="1578441422"/>
        <n v="1578860148"/>
        <n v="1579081833"/>
        <n v="1580437201"/>
        <n v="1581684944"/>
        <n v="1594547598"/>
        <n v="1599287764"/>
        <n v="1610053899"/>
        <n v="1612880893"/>
        <n v="1615527695"/>
        <n v="1622493193"/>
        <n v="1623471770"/>
        <n v="1624367869"/>
        <n v="1626537326"/>
        <n v="1630075758"/>
        <n v="1635445152"/>
        <n v="1635654072"/>
        <n v="1637443629"/>
        <n v="1644675855"/>
        <n v="1648518897"/>
        <n v="1653642706"/>
        <n v="1654240791"/>
        <n v="1657392710"/>
        <n v="1661082585"/>
        <n v="1662884829"/>
        <n v="1663800620"/>
        <n v="1666209063"/>
        <n v="1669273133"/>
        <n v="1673446139"/>
        <n v="1673570233"/>
        <n v="1675948791"/>
        <n v="1679057931"/>
        <n v="1680051890"/>
        <n v="1686636730"/>
        <n v="1687103416"/>
        <n v="1687798701"/>
        <n v="1688076968"/>
        <n v="1691872723"/>
        <n v="1707464061"/>
        <n v="1710757169"/>
        <n v="1715263708"/>
        <n v="1715794575"/>
        <n v="1722553333"/>
        <n v="1731191921"/>
        <n v="1731678836"/>
        <n v="1738387950"/>
        <n v="1745861485"/>
        <n v="1750123368"/>
        <n v="1752660252"/>
        <n v="1759288285"/>
        <n v="1760230695"/>
        <n v="1760293622"/>
        <n v="1765802831"/>
        <n v="1769708516"/>
        <n v="1772267715"/>
        <n v="1774383068"/>
        <n v="1774866170"/>
        <n v="1780045206"/>
        <n v="1784425164"/>
        <n v="1801668653"/>
        <n v="1808904173"/>
        <n v="1827582111"/>
        <n v="1838513331"/>
        <n v="1854419042"/>
        <n v="1875813515"/>
        <n v="1879566724"/>
        <n v="1879926482"/>
        <n v="1891355635"/>
        <n v="1896616343"/>
        <n v="1898981351"/>
        <n v="1902087678"/>
        <n v="1908128231"/>
        <n v="1910254947"/>
        <n v="1912614326"/>
        <n v="1913254476"/>
        <n v="1916295687"/>
        <n v="1924078554"/>
        <n v="1930805383"/>
        <n v="1935412265"/>
        <n v="1937988853"/>
        <n v="1945897699"/>
        <n v="1964111202"/>
        <n v="1971083760"/>
        <n v="1996535313"/>
        <n v="1996608771"/>
        <n v="2005653360"/>
        <n v="2008964777"/>
        <n v="2013671987"/>
        <n v="2040221770"/>
        <n v="2041265736"/>
        <n v="2050669552"/>
        <n v="2058537729"/>
        <n v="2058882731"/>
        <n v="2062770506"/>
        <n v="2068591722"/>
        <n v="2069688273"/>
        <n v="2069898745"/>
        <n v="2097231108"/>
        <n v="2099971614"/>
        <n v="2105175427"/>
        <n v="2107930221"/>
        <n v="2120425386"/>
        <n v="2120954281"/>
        <n v="2127196972"/>
        <n v="2127711863"/>
        <n v="2129991487"/>
        <n v="2133430139"/>
        <n v="2133731074"/>
        <n v="2138852633"/>
        <n v="2141939152"/>
        <n v="2165334713"/>
        <n v="2170305754"/>
        <n v="2171001439"/>
        <n v="2190857007"/>
        <n v="2196439229"/>
        <n v="2203458797"/>
        <n v="2209685962"/>
        <n v="2210654836"/>
        <n v="2214422081"/>
        <n v="2220808630"/>
        <n v="2225181465"/>
        <n v="2227736958"/>
        <n v="2230478118"/>
        <n v="2237283327"/>
        <n v="2238582873"/>
        <n v="2239299797"/>
        <n v="2249995136"/>
        <n v="2253039505"/>
        <n v="2263787660"/>
        <n v="2265476965"/>
        <n v="2274156913"/>
        <n v="2275793141"/>
        <n v="2282318453"/>
        <n v="2284002136"/>
        <n v="2285157294"/>
        <n v="2288992157"/>
        <n v="2290962209"/>
        <n v="2291211025"/>
        <n v="2295505920"/>
        <n v="2295996883"/>
        <n v="2309271591"/>
        <n v="2311157602"/>
        <n v="2312877839"/>
        <n v="2323202662"/>
        <n v="2328305854"/>
        <n v="2333718354"/>
        <n v="2337378691"/>
        <n v="2341931306"/>
        <n v="2350449374"/>
        <n v="2358499496"/>
        <n v="2366913454"/>
        <n v="2373713238"/>
        <n v="2379609660"/>
        <n v="2381988452"/>
        <n v="2382191101"/>
        <n v="2382336894"/>
        <n v="2386685809"/>
        <n v="2388145552"/>
        <n v="2411877082"/>
        <n v="2419542449"/>
        <n v="2425189582"/>
        <n v="2427157450"/>
        <n v="2428336569"/>
        <n v="2432012866"/>
        <n v="2447102362"/>
        <n v="2449235883"/>
        <n v="2461583837"/>
        <n v="2465004761"/>
        <n v="2467453174"/>
        <n v="2467550602"/>
        <n v="2480254699"/>
        <n v="2485002996"/>
        <n v="2485376854"/>
        <n v="2500778136"/>
        <n v="2500817304"/>
        <n v="2524223456"/>
        <n v="2531502693"/>
        <n v="2536682365"/>
        <n v="2550031245"/>
        <n v="2551006935"/>
        <n v="2558408932"/>
        <n v="2572893039"/>
        <n v="2578726745"/>
        <n v="2606881377"/>
        <n v="2607958530"/>
        <n v="2614579746"/>
        <n v="2620555846"/>
        <n v="2624968588"/>
        <n v="2625815174"/>
        <n v="2637494372"/>
        <n v="2640751017"/>
        <n v="2647417325"/>
        <n v="2670181488"/>
        <n v="2684850243"/>
        <n v="2702928439"/>
        <n v="2716104982"/>
        <n v="2718881013"/>
        <n v="2770521093"/>
        <n v="2780488413"/>
        <n v="2795704941"/>
        <n v="2811957212"/>
        <n v="2822143577"/>
        <n v="2856957360"/>
        <n v="2925695222"/>
        <n v="2982451524"/>
        <n v="3377821444"/>
        <n v="4088531365"/>
        <n v="4373872482"/>
        <n v="4658658999"/>
        <n v="4717546646"/>
        <n v="4727066868"/>
        <n v="4760543353"/>
        <n v="4871619417"/>
        <n v="4882003232"/>
        <n v="4927173134"/>
        <n v="4933100364"/>
        <n v="5095202290"/>
        <n v="5223790913"/>
        <n v="5242111875"/>
        <n v="5250325353"/>
        <n v="5432030594"/>
        <n v="5434406206"/>
        <n v="5564989554"/>
        <n v="5598299684"/>
        <n v="5623101135"/>
        <n v="5645076089"/>
        <n v="5702510043"/>
        <n v="5775525984"/>
        <n v="5810636268"/>
        <n v="5871309047"/>
        <n v="5892517734"/>
        <n v="5916792642"/>
        <n v="5928457917"/>
        <n v="5937058529"/>
        <n v="5941578603"/>
        <n v="5954595126"/>
        <n v="5961702249"/>
        <n v="5970260296"/>
        <n v="6004833280"/>
        <n v="6062546709"/>
        <n v="6149962918"/>
        <n v="6195165093"/>
        <n v="6245862173"/>
        <n v="6258440103"/>
        <n v="6334048220"/>
        <n v="6403843285"/>
        <n v="6412806870"/>
        <n v="6425088460"/>
        <n v="6486493105"/>
        <n v="6495332926"/>
        <n v="6638644221"/>
        <n v="6642900288"/>
        <n v="6765408651"/>
        <n v="6768327280"/>
        <n v="6779420247"/>
        <n v="6807862616"/>
        <n v="6818350303"/>
        <n v="6843902004"/>
        <n v="6882327364"/>
        <n v="6966296350"/>
        <n v="7020306452"/>
        <n v="7098349350"/>
        <n v="7133155092"/>
        <n v="7339555849"/>
        <n v="7396697911"/>
        <n v="7506939196"/>
        <n v="7576738200"/>
        <n v="7606674389"/>
        <n v="7832957131"/>
        <n v="8015971010"/>
        <n v="8023695144"/>
        <n v="8288669003"/>
        <n v="8324640560"/>
        <n v="8665255261"/>
        <n v="9273107278"/>
        <n v="9796201954"/>
        <n v="10989323713"/>
        <n v="11856425626"/>
        <n v="12926005733"/>
        <n v="27661454635"/>
      </sharedItems>
    </cacheField>
    <cacheField name="100萬[含]-125萬[筆數]" uniqueList="1" numFmtId="0" sqlType="0" hierarchy="0" level="0" databaseField="1">
      <sharedItems count="517" containsInteger="1" containsNumber="1" containsSemiMixedTypes="0" containsString="0" minValue="66557" maxValue="1549332">
        <n v="66557"/>
        <n v="69044"/>
        <n v="69534"/>
        <n v="69874"/>
        <n v="70416"/>
        <n v="70869"/>
        <n v="71124"/>
        <n v="72971"/>
        <n v="73290"/>
        <n v="73695"/>
        <n v="73718"/>
        <n v="74154"/>
        <n v="75713"/>
        <n v="76030"/>
        <n v="76455"/>
        <n v="76521"/>
        <n v="76549"/>
        <n v="76951"/>
        <n v="77268"/>
        <n v="77569"/>
        <n v="77920"/>
        <n v="78542"/>
        <n v="78621"/>
        <n v="79479"/>
        <n v="79830"/>
        <n v="80046"/>
        <n v="80103"/>
        <n v="80248"/>
        <n v="80697"/>
        <n v="80827"/>
        <n v="82072"/>
        <n v="82278"/>
        <n v="82349"/>
        <n v="82750"/>
        <n v="83377"/>
        <n v="84016"/>
        <n v="84304"/>
        <n v="84735"/>
        <n v="84744"/>
        <n v="84799"/>
        <n v="84868"/>
        <n v="85084"/>
        <n v="85502"/>
        <n v="86042"/>
        <n v="86198"/>
        <n v="86870"/>
        <n v="86879"/>
        <n v="88404"/>
        <n v="89018"/>
        <n v="89237"/>
        <n v="89787"/>
        <n v="89941"/>
        <n v="90288"/>
        <n v="90538"/>
        <n v="91011"/>
        <n v="91100"/>
        <n v="91566"/>
        <n v="91609"/>
        <n v="92257"/>
        <n v="92325"/>
        <n v="92680"/>
        <n v="92988"/>
        <n v="93159"/>
        <n v="94080"/>
        <n v="98913"/>
        <n v="100618"/>
        <n v="101147"/>
        <n v="102285"/>
        <n v="102946"/>
        <n v="103305"/>
        <n v="103313"/>
        <n v="103966"/>
        <n v="104190"/>
        <n v="106733"/>
        <n v="116293"/>
        <n v="118974"/>
        <n v="120267"/>
        <n v="120706"/>
        <n v="121979"/>
        <n v="122512"/>
        <n v="122650"/>
        <n v="123543"/>
        <n v="125639"/>
        <n v="125679"/>
        <n v="127021"/>
        <n v="127495"/>
        <n v="127919"/>
        <n v="128103"/>
        <n v="130164"/>
        <n v="130614"/>
        <n v="130651"/>
        <n v="130766"/>
        <n v="130864"/>
        <n v="130888"/>
        <n v="130948"/>
        <n v="131473"/>
        <n v="131847"/>
        <n v="131855"/>
        <n v="133525"/>
        <n v="133550"/>
        <n v="133609"/>
        <n v="134044"/>
        <n v="135787"/>
        <n v="135911"/>
        <n v="136472"/>
        <n v="137385"/>
        <n v="137427"/>
        <n v="138342"/>
        <n v="138510"/>
        <n v="138806"/>
        <n v="138822"/>
        <n v="139041"/>
        <n v="139141"/>
        <n v="139964"/>
        <n v="139995"/>
        <n v="142334"/>
        <n v="143100"/>
        <n v="143807"/>
        <n v="144149"/>
        <n v="144450"/>
        <n v="145332"/>
        <n v="146032"/>
        <n v="146714"/>
        <n v="148487"/>
        <n v="149034"/>
        <n v="149126"/>
        <n v="149363"/>
        <n v="149771"/>
        <n v="151005"/>
        <n v="151385"/>
        <n v="152295"/>
        <n v="153224"/>
        <n v="154857"/>
        <n v="154876"/>
        <n v="156454"/>
        <n v="156636"/>
        <n v="157178"/>
        <n v="158258"/>
        <n v="158312"/>
        <n v="158579"/>
        <n v="159127"/>
        <n v="159380"/>
        <n v="159815"/>
        <n v="159989"/>
        <n v="161669"/>
        <n v="166532"/>
        <n v="167494"/>
        <n v="172707"/>
        <n v="221865"/>
        <n v="230151"/>
        <n v="235166"/>
        <n v="238211"/>
        <n v="238259"/>
        <n v="238541"/>
        <n v="243282"/>
        <n v="243370"/>
        <n v="243566"/>
        <n v="244274"/>
        <n v="246899"/>
        <n v="249000"/>
        <n v="250648"/>
        <n v="251174"/>
        <n v="252984"/>
        <n v="253083"/>
        <n v="254700"/>
        <n v="255399"/>
        <n v="256057"/>
        <n v="256969"/>
        <n v="258062"/>
        <n v="258212"/>
        <n v="259736"/>
        <n v="260164"/>
        <n v="262826"/>
        <n v="264515"/>
        <n v="264726"/>
        <n v="264770"/>
        <n v="264893"/>
        <n v="265147"/>
        <n v="265740"/>
        <n v="265974"/>
        <n v="267254"/>
        <n v="269619"/>
        <n v="269817"/>
        <n v="271100"/>
        <n v="271213"/>
        <n v="273786"/>
        <n v="273988"/>
        <n v="274537"/>
        <n v="274796"/>
        <n v="275121"/>
        <n v="275210"/>
        <n v="275580"/>
        <n v="276313"/>
        <n v="276897"/>
        <n v="277736"/>
        <n v="278670"/>
        <n v="278697"/>
        <n v="279594"/>
        <n v="279863"/>
        <n v="280960"/>
        <n v="281597"/>
        <n v="281672"/>
        <n v="281998"/>
        <n v="282201"/>
        <n v="282293"/>
        <n v="282440"/>
        <n v="282926"/>
        <n v="283493"/>
        <n v="284838"/>
        <n v="285867"/>
        <n v="286132"/>
        <n v="286995"/>
        <n v="287422"/>
        <n v="287908"/>
        <n v="288258"/>
        <n v="289738"/>
        <n v="292038"/>
        <n v="293136"/>
        <n v="294192"/>
        <n v="295742"/>
        <n v="296829"/>
        <n v="297247"/>
        <n v="300699"/>
        <n v="300941"/>
        <n v="301090"/>
        <n v="301310"/>
        <n v="306593"/>
        <n v="308916"/>
        <n v="309169"/>
        <n v="314428"/>
        <n v="314776"/>
        <n v="315643"/>
        <n v="316625"/>
        <n v="317072"/>
        <n v="319520"/>
        <n v="320443"/>
        <n v="321026"/>
        <n v="321824"/>
        <n v="322272"/>
        <n v="322462"/>
        <n v="323078"/>
        <n v="324363"/>
        <n v="324435"/>
        <n v="326053"/>
        <n v="326518"/>
        <n v="327048"/>
        <n v="327305"/>
        <n v="327669"/>
        <n v="328283"/>
        <n v="331327"/>
        <n v="333637"/>
        <n v="334778"/>
        <n v="335373"/>
        <n v="335552"/>
        <n v="337217"/>
        <n v="337611"/>
        <n v="338221"/>
        <n v="338893"/>
        <n v="339678"/>
        <n v="340081"/>
        <n v="341243"/>
        <n v="342610"/>
        <n v="343124"/>
        <n v="345058"/>
        <n v="346131"/>
        <n v="347122"/>
        <n v="347737"/>
        <n v="348702"/>
        <n v="352963"/>
        <n v="355420"/>
        <n v="355476"/>
        <n v="357395"/>
        <n v="362283"/>
        <n v="363261"/>
        <n v="365591"/>
        <n v="367400"/>
        <n v="367666"/>
        <n v="374218"/>
        <n v="376093"/>
        <n v="377422"/>
        <n v="378849"/>
        <n v="379039"/>
        <n v="379148"/>
        <n v="379653"/>
        <n v="383290"/>
        <n v="386039"/>
        <n v="389231"/>
        <n v="389939"/>
        <n v="396612"/>
        <n v="401850"/>
        <n v="401861"/>
        <n v="405435"/>
        <n v="408587"/>
        <n v="421205"/>
        <n v="430286"/>
        <n v="652936"/>
        <n v="657326"/>
        <n v="657541"/>
        <n v="672851"/>
        <n v="690943"/>
        <n v="691162"/>
        <n v="696316"/>
        <n v="696890"/>
        <n v="697010"/>
        <n v="702053"/>
        <n v="707646"/>
        <n v="717017"/>
        <n v="723119"/>
        <n v="725966"/>
        <n v="733383"/>
        <n v="734704"/>
        <n v="735840"/>
        <n v="746514"/>
        <n v="747106"/>
        <n v="747899"/>
        <n v="748531"/>
        <n v="749393"/>
        <n v="750043"/>
        <n v="752195"/>
        <n v="752508"/>
        <n v="754176"/>
        <n v="754823"/>
        <n v="755166"/>
        <n v="755233"/>
        <n v="756062"/>
        <n v="756916"/>
        <n v="758580"/>
        <n v="758588"/>
        <n v="758597"/>
        <n v="764404"/>
        <n v="766026"/>
        <n v="766610"/>
        <n v="767032"/>
        <n v="770654"/>
        <n v="772599"/>
        <n v="774584"/>
        <n v="774601"/>
        <n v="774815"/>
        <n v="774978"/>
        <n v="775647"/>
        <n v="776567"/>
        <n v="777018"/>
        <n v="777228"/>
        <n v="779529"/>
        <n v="781017"/>
        <n v="781226"/>
        <n v="784186"/>
        <n v="784625"/>
        <n v="787335"/>
        <n v="788464"/>
        <n v="788969"/>
        <n v="789418"/>
        <n v="790042"/>
        <n v="791030"/>
        <n v="791993"/>
        <n v="793716"/>
        <n v="794339"/>
        <n v="795794"/>
        <n v="797850"/>
        <n v="798355"/>
        <n v="799414"/>
        <n v="799732"/>
        <n v="802789"/>
        <n v="805968"/>
        <n v="807169"/>
        <n v="810044"/>
        <n v="810406"/>
        <n v="810501"/>
        <n v="812085"/>
        <n v="815309"/>
        <n v="819500"/>
        <n v="821224"/>
        <n v="821797"/>
        <n v="829517"/>
        <n v="830445"/>
        <n v="830645"/>
        <n v="831250"/>
        <n v="831460"/>
        <n v="833648"/>
        <n v="835367"/>
        <n v="836667"/>
        <n v="837297"/>
        <n v="838167"/>
        <n v="838604"/>
        <n v="841588"/>
        <n v="846235"/>
        <n v="846846"/>
        <n v="855437"/>
        <n v="855736"/>
        <n v="856361"/>
        <n v="859312"/>
        <n v="860309"/>
        <n v="861916"/>
        <n v="871081"/>
        <n v="874210"/>
        <n v="875166"/>
        <n v="877227"/>
        <n v="878063"/>
        <n v="880281"/>
        <n v="880419"/>
        <n v="882845"/>
        <n v="882857"/>
        <n v="886300"/>
        <n v="886361"/>
        <n v="887283"/>
        <n v="888428"/>
        <n v="888867"/>
        <n v="893585"/>
        <n v="894312"/>
        <n v="896889"/>
        <n v="898639"/>
        <n v="898667"/>
        <n v="899875"/>
        <n v="903272"/>
        <n v="906480"/>
        <n v="908146"/>
        <n v="909200"/>
        <n v="911679"/>
        <n v="912760"/>
        <n v="913637"/>
        <n v="918273"/>
        <n v="918400"/>
        <n v="920688"/>
        <n v="927427"/>
        <n v="932053"/>
        <n v="933283"/>
        <n v="933536"/>
        <n v="937904"/>
        <n v="942656"/>
        <n v="942710"/>
        <n v="943203"/>
        <n v="957533"/>
        <n v="958349"/>
        <n v="958475"/>
        <n v="961628"/>
        <n v="969315"/>
        <n v="969476"/>
        <n v="978762"/>
        <n v="982433"/>
        <n v="983467"/>
        <n v="990524"/>
        <n v="997797"/>
        <n v="1002066"/>
        <n v="1003709"/>
        <n v="1003769"/>
        <n v="1009379"/>
        <n v="1010163"/>
        <n v="1011796"/>
        <n v="1012680"/>
        <n v="1016007"/>
        <n v="1019406"/>
        <n v="1021886"/>
        <n v="1025348"/>
        <n v="1025538"/>
        <n v="1029585"/>
        <n v="1035094"/>
        <n v="1040925"/>
        <n v="1041310"/>
        <n v="1046080"/>
        <n v="1048811"/>
        <n v="1051885"/>
        <n v="1056409"/>
        <n v="1063052"/>
        <n v="1065755"/>
        <n v="1071187"/>
        <n v="1074955"/>
        <n v="1075420"/>
        <n v="1084211"/>
        <n v="1086437"/>
        <n v="1090905"/>
        <n v="1096124"/>
        <n v="1096991"/>
        <n v="1098433"/>
        <n v="1107275"/>
        <n v="1107583"/>
        <n v="1110048"/>
        <n v="1119827"/>
        <n v="1122143"/>
        <n v="1122397"/>
        <n v="1133593"/>
        <n v="1144241"/>
        <n v="1145074"/>
        <n v="1145302"/>
        <n v="1150271"/>
        <n v="1152721"/>
        <n v="1165534"/>
        <n v="1169920"/>
        <n v="1176728"/>
        <n v="1180122"/>
        <n v="1180439"/>
        <n v="1195341"/>
        <n v="1195971"/>
        <n v="1207918"/>
        <n v="1209718"/>
        <n v="1240900"/>
        <n v="1245583"/>
        <n v="1267269"/>
        <n v="1271052"/>
        <n v="1276669"/>
        <n v="1282145"/>
        <n v="1288071"/>
        <n v="1301673"/>
        <n v="1307055"/>
        <n v="1319662"/>
        <n v="1323312"/>
        <n v="1339512"/>
        <n v="1339813"/>
        <n v="1345397"/>
        <n v="1355619"/>
        <n v="1393636"/>
        <n v="1395933"/>
        <n v="1399344"/>
        <n v="1410399"/>
        <n v="1447319"/>
        <n v="1456963"/>
        <n v="1531749"/>
        <n v="1549332"/>
      </sharedItems>
    </cacheField>
    <cacheField name="100萬[含]-125萬[金額，新台幣]" uniqueList="1" numFmtId="0" sqlType="0" hierarchy="0" level="0" databaseField="1">
      <sharedItems count="518" containsInteger="1" containsNumber="1" containsSemiMixedTypes="0" containsString="0" minValue="208116866" maxValue="24836399550">
        <n v="208116866"/>
        <n v="215825437"/>
        <n v="218029307"/>
        <n v="220775339"/>
        <n v="222703263"/>
        <n v="233082625"/>
        <n v="233395712"/>
        <n v="235090198"/>
        <n v="236047381"/>
        <n v="236362452"/>
        <n v="236385025"/>
        <n v="236478871"/>
        <n v="239694196"/>
        <n v="240427283"/>
        <n v="241791565"/>
        <n v="242341809"/>
        <n v="242393762"/>
        <n v="242725328"/>
        <n v="243636681"/>
        <n v="244423628"/>
        <n v="244655422"/>
        <n v="248089690"/>
        <n v="249101234"/>
        <n v="249963325"/>
        <n v="251195790"/>
        <n v="252956508"/>
        <n v="254195311"/>
        <n v="254320629"/>
        <n v="255969944"/>
        <n v="256792556"/>
        <n v="258187965"/>
        <n v="260034890"/>
        <n v="260349065"/>
        <n v="260877745"/>
        <n v="262151179"/>
        <n v="262693100"/>
        <n v="263292785"/>
        <n v="263295423"/>
        <n v="264561436"/>
        <n v="265341061"/>
        <n v="267123835"/>
        <n v="269133111"/>
        <n v="273217878"/>
        <n v="273706864"/>
        <n v="274389957"/>
        <n v="275187299"/>
        <n v="276431340"/>
        <n v="279275214"/>
        <n v="279441021"/>
        <n v="280243939"/>
        <n v="281196225"/>
        <n v="282335019"/>
        <n v="283593203"/>
        <n v="288162433"/>
        <n v="289333435"/>
        <n v="293794757"/>
        <n v="293858722"/>
        <n v="294180462"/>
        <n v="295577711"/>
        <n v="297351006"/>
        <n v="299887795"/>
        <n v="302253637"/>
        <n v="315297201"/>
        <n v="319749871"/>
        <n v="323883718"/>
        <n v="326658560"/>
        <n v="335633207"/>
        <n v="337249814"/>
        <n v="350669742"/>
        <n v="354522330"/>
        <n v="356294826"/>
        <n v="356794780"/>
        <n v="369273475"/>
        <n v="373747457"/>
        <n v="619538089"/>
        <n v="619581321"/>
        <n v="624868481"/>
        <n v="651268480"/>
        <n v="655012673"/>
        <n v="660556951"/>
        <n v="667284697"/>
        <n v="678931393"/>
        <n v="692401140"/>
        <n v="693374111"/>
        <n v="706488437"/>
        <n v="712047408"/>
        <n v="712921373"/>
        <n v="713358703"/>
        <n v="718455575"/>
        <n v="718572532"/>
        <n v="720448516"/>
        <n v="726617517"/>
        <n v="727048926"/>
        <n v="727160554"/>
        <n v="727251940"/>
        <n v="737089131"/>
        <n v="737530087"/>
        <n v="739952960"/>
        <n v="743003319"/>
        <n v="743346294"/>
        <n v="747406560"/>
        <n v="747773341"/>
        <n v="753975399"/>
        <n v="760128291"/>
        <n v="760937814"/>
        <n v="760979617"/>
        <n v="771969717"/>
        <n v="772862157"/>
        <n v="775331394"/>
        <n v="776469658"/>
        <n v="778784445"/>
        <n v="781632398"/>
        <n v="781791242"/>
        <n v="783124979"/>
        <n v="786335725"/>
        <n v="787681176"/>
        <n v="788436422"/>
        <n v="792397745"/>
        <n v="794762918"/>
        <n v="797367773"/>
        <n v="799651078"/>
        <n v="802428132"/>
        <n v="802428370"/>
        <n v="805546543"/>
        <n v="805698793"/>
        <n v="811365515"/>
        <n v="811814842"/>
        <n v="825260977"/>
        <n v="825882248"/>
        <n v="826883518"/>
        <n v="828219518"/>
        <n v="830074900"/>
        <n v="835244592"/>
        <n v="839350504"/>
        <n v="840480892"/>
        <n v="845601745"/>
        <n v="848429369"/>
        <n v="852186774"/>
        <n v="853810395"/>
        <n v="855733751"/>
        <n v="856070498"/>
        <n v="860436365"/>
        <n v="868086730"/>
        <n v="869772148"/>
        <n v="873877517"/>
        <n v="873939715"/>
        <n v="875026363"/>
        <n v="876290433"/>
        <n v="876408921"/>
        <n v="878902982"/>
        <n v="880878440"/>
        <n v="881701831"/>
        <n v="883830269"/>
        <n v="886340489"/>
        <n v="886379242"/>
        <n v="886482429"/>
        <n v="888352623"/>
        <n v="890494029"/>
        <n v="890790592"/>
        <n v="890969459"/>
        <n v="893159320"/>
        <n v="894004002"/>
        <n v="894479125"/>
        <n v="899528758"/>
        <n v="899860168"/>
        <n v="901716061"/>
        <n v="904180875"/>
        <n v="906029873"/>
        <n v="907414178"/>
        <n v="908870844"/>
        <n v="911247199"/>
        <n v="911982293"/>
        <n v="914361956"/>
        <n v="917891347"/>
        <n v="918295562"/>
        <n v="921746067"/>
        <n v="923021455"/>
        <n v="923199285"/>
        <n v="925825177"/>
        <n v="926697144"/>
        <n v="927483152"/>
        <n v="931771385"/>
        <n v="932062514"/>
        <n v="933928593"/>
        <n v="936629098"/>
        <n v="938190323"/>
        <n v="942556847"/>
        <n v="944212106"/>
        <n v="945073825"/>
        <n v="947862992"/>
        <n v="951506085"/>
        <n v="953476883"/>
        <n v="957318006"/>
        <n v="959641591"/>
        <n v="959701081"/>
        <n v="963771864"/>
        <n v="965100045"/>
        <n v="966075762"/>
        <n v="967021579"/>
        <n v="968148331"/>
        <n v="977071429"/>
        <n v="979016571"/>
        <n v="983014891"/>
        <n v="984042493"/>
        <n v="984129296"/>
        <n v="988284948"/>
        <n v="993893436"/>
        <n v="995107037"/>
        <n v="995398844"/>
        <n v="995604263"/>
        <n v="997006566"/>
        <n v="997448670"/>
        <n v="1001330037"/>
        <n v="1005096739"/>
        <n v="1005981444"/>
        <n v="1006864598"/>
        <n v="1010257603"/>
        <n v="1013947146"/>
        <n v="1014009447"/>
        <n v="1015135418"/>
        <n v="1015549515"/>
        <n v="1018164070"/>
        <n v="1018449511"/>
        <n v="1018502737"/>
        <n v="1019905478"/>
        <n v="1021864334"/>
        <n v="1022240436"/>
        <n v="1022559057"/>
        <n v="1028540523"/>
        <n v="1030764119"/>
        <n v="1031405757"/>
        <n v="1031873097"/>
        <n v="1032647610"/>
        <n v="1033152367"/>
        <n v="1036912393"/>
        <n v="1038605080"/>
        <n v="1043029931"/>
        <n v="1045132667"/>
        <n v="1045303156"/>
        <n v="1045429277"/>
        <n v="1045460093"/>
        <n v="1046020624"/>
        <n v="1047592523"/>
        <n v="1048136048"/>
        <n v="1054080483"/>
        <n v="1056592910"/>
        <n v="1058307258"/>
        <n v="1058629251"/>
        <n v="1059448046"/>
        <n v="1061416413"/>
        <n v="1067142781"/>
        <n v="1067256618"/>
        <n v="1067424823"/>
        <n v="1067993600"/>
        <n v="1070903636"/>
        <n v="1082563260"/>
        <n v="1085014124"/>
        <n v="1085062334"/>
        <n v="1086405323"/>
        <n v="1086827780"/>
        <n v="1088467366"/>
        <n v="1097846223"/>
        <n v="1101483117"/>
        <n v="1101719022"/>
        <n v="1103152853"/>
        <n v="1116100972"/>
        <n v="1116666248"/>
        <n v="1117110955"/>
        <n v="1118908006"/>
        <n v="1122959490"/>
        <n v="1127752859"/>
        <n v="1127821310"/>
        <n v="1131260269"/>
        <n v="1135606347"/>
        <n v="1138265775"/>
        <n v="1139921389"/>
        <n v="1140806792"/>
        <n v="1142909500"/>
        <n v="1143295762"/>
        <n v="1144392266"/>
        <n v="1146144845"/>
        <n v="1152777166"/>
        <n v="1153767979"/>
        <n v="1155916341"/>
        <n v="1156565751"/>
        <n v="1167116783"/>
        <n v="1170166942"/>
        <n v="1175536209"/>
        <n v="1179781260"/>
        <n v="1182555303"/>
        <n v="1182917982"/>
        <n v="1185118334"/>
        <n v="1186939500"/>
        <n v="1192222089"/>
        <n v="1194870036"/>
        <n v="1201272497"/>
        <n v="1209622682"/>
        <n v="1213909566"/>
        <n v="1214490567"/>
        <n v="1219180790"/>
        <n v="1224947635"/>
        <n v="1226210159"/>
        <n v="1226629834"/>
        <n v="1228366678"/>
        <n v="1236480259"/>
        <n v="1237201831"/>
        <n v="1237448755"/>
        <n v="1239887562"/>
        <n v="1243097080"/>
        <n v="1249191094"/>
        <n v="1256746207"/>
        <n v="1256794601"/>
        <n v="1261125673"/>
        <n v="1261567544"/>
        <n v="1265218286"/>
        <n v="1270455388"/>
        <n v="1273646242"/>
        <n v="1276220503"/>
        <n v="1277538439"/>
        <n v="1282467247"/>
        <n v="1290848171"/>
        <n v="1295071879"/>
        <n v="1308571211"/>
        <n v="1321141271"/>
        <n v="1326718871"/>
        <n v="1330658454"/>
        <n v="1331096129"/>
        <n v="1342824171"/>
        <n v="1343172350"/>
        <n v="1344511495"/>
        <n v="1345763203"/>
        <n v="1347251390"/>
        <n v="1351282911"/>
        <n v="1360313564"/>
        <n v="1366249613"/>
        <n v="1370502722"/>
        <n v="1376671572"/>
        <n v="1380059513"/>
        <n v="1389563115"/>
        <n v="1399222100"/>
        <n v="1400079328"/>
        <n v="1405548508"/>
        <n v="1422467404"/>
        <n v="1426096177"/>
        <n v="1434449174"/>
        <n v="1435086577"/>
        <n v="1450919399"/>
        <n v="1452514073"/>
        <n v="1471497033"/>
        <n v="1474154544"/>
        <n v="1477976296"/>
        <n v="1478611037"/>
        <n v="1489008008"/>
        <n v="1505264925"/>
        <n v="1509505514"/>
        <n v="1509860288"/>
        <n v="1514070986"/>
        <n v="1516602591"/>
        <n v="1517334037"/>
        <n v="1524295942"/>
        <n v="1545659265"/>
        <n v="1546600203"/>
        <n v="1547736446"/>
        <n v="1551554908"/>
        <n v="1565618997"/>
        <n v="1566945009"/>
        <n v="1569587650"/>
        <n v="1572828775"/>
        <n v="1574294885"/>
        <n v="1575645152"/>
        <n v="1578979795"/>
        <n v="1580523770"/>
        <n v="1583061582"/>
        <n v="1588191975"/>
        <n v="1601946271"/>
        <n v="1603055230"/>
        <n v="1603064274"/>
        <n v="1612652251"/>
        <n v="1618861193"/>
        <n v="1619048583"/>
        <n v="1626205306"/>
        <n v="1631939225"/>
        <n v="1639944453"/>
        <n v="1646474722"/>
        <n v="1651893351"/>
        <n v="1653925868"/>
        <n v="1660232947"/>
        <n v="1661465066"/>
        <n v="1671236300"/>
        <n v="1678085194"/>
        <n v="1682689363"/>
        <n v="1683297535"/>
        <n v="1683497642"/>
        <n v="1683825175"/>
        <n v="1684734208"/>
        <n v="1692855865"/>
        <n v="1702671668"/>
        <n v="1718965955"/>
        <n v="1723634925"/>
        <n v="1726283989"/>
        <n v="1730304252"/>
        <n v="1747444538"/>
        <n v="1747530062"/>
        <n v="1749707538"/>
        <n v="1751674234"/>
        <n v="1751999756"/>
        <n v="1789410902"/>
        <n v="1791094528"/>
        <n v="1797405441"/>
        <n v="1798398843"/>
        <n v="1799305202"/>
        <n v="1821211546"/>
        <n v="1822403456"/>
        <n v="1830475479"/>
        <n v="1831834768"/>
        <n v="1837185340"/>
        <n v="1838511893"/>
        <n v="1847888124"/>
        <n v="1859982883"/>
        <n v="1865324811"/>
        <n v="1877606797"/>
        <n v="1880242057"/>
        <n v="1901193387"/>
        <n v="1913243647"/>
        <n v="1919858541"/>
        <n v="1921923156"/>
        <n v="1953352562"/>
        <n v="1959325817"/>
        <n v="1960352106"/>
        <n v="1964751872"/>
        <n v="1971407751"/>
        <n v="1999810512"/>
        <n v="2004107862"/>
        <n v="2029500204"/>
        <n v="2033043404"/>
        <n v="2037039405"/>
        <n v="2038557223"/>
        <n v="2060276886"/>
        <n v="2072844807"/>
        <n v="2078741041"/>
        <n v="2086191223"/>
        <n v="2125118466"/>
        <n v="2176146726"/>
        <n v="2187992922"/>
        <n v="2980924611"/>
        <n v="3120883914"/>
        <n v="3429651427"/>
        <n v="3436285809"/>
        <n v="3439204021"/>
        <n v="3463824637"/>
        <n v="3499380869"/>
        <n v="3576287989"/>
        <n v="3633792908"/>
        <n v="3668065516"/>
        <n v="3754921563"/>
        <n v="3756644965"/>
        <n v="3893400896"/>
        <n v="3943526706"/>
        <n v="4025561855"/>
        <n v="4092501832"/>
        <n v="4122995008"/>
        <n v="4169757286"/>
        <n v="4179401264"/>
        <n v="4256725258"/>
        <n v="4270731326"/>
        <n v="4278555544"/>
        <n v="4281021545"/>
        <n v="4368311150"/>
        <n v="4393365080"/>
        <n v="4398505919"/>
        <n v="4461986222"/>
        <n v="4496932441"/>
        <n v="4574280644"/>
        <n v="4590941061"/>
        <n v="4627164548"/>
        <n v="4634158094"/>
        <n v="4685060443"/>
        <n v="4743733298"/>
        <n v="4755013139"/>
        <n v="4816093273"/>
        <n v="4852818310"/>
        <n v="4868533579"/>
        <n v="4910251052"/>
        <n v="4918976863"/>
        <n v="4955285932"/>
        <n v="4959858178"/>
        <n v="5069310566"/>
        <n v="5097428771"/>
        <n v="5139467728"/>
        <n v="5148402102"/>
        <n v="5209060609"/>
        <n v="5209840226"/>
        <n v="5222272732"/>
        <n v="5223417984"/>
        <n v="5224845952"/>
        <n v="5379004365"/>
        <n v="5436966152"/>
        <n v="5471569580"/>
        <n v="5638949008"/>
        <n v="5641310699"/>
        <n v="5776876683"/>
        <n v="5824318965"/>
        <n v="5842706261"/>
        <n v="5859960595"/>
        <n v="5901713190"/>
        <n v="6000110283"/>
        <n v="6034605678"/>
        <n v="6201868961"/>
        <n v="6572519320"/>
        <n v="6647530084"/>
        <n v="6836333299"/>
        <n v="6880293250"/>
        <n v="6908142225"/>
        <n v="8383062063"/>
        <n v="9497003133"/>
        <n v="10447322913"/>
        <n v="10927475241"/>
        <n v="24836399550"/>
      </sharedItems>
    </cacheField>
    <cacheField name="125萬[含]-150萬[筆數]" uniqueList="1" numFmtId="0" sqlType="0" hierarchy="0" level="0" databaseField="1">
      <sharedItems count="516" containsInteger="1" containsNumber="1" containsSemiMixedTypes="0" containsString="0" minValue="22164" maxValue="733047">
        <n v="22164"/>
        <n v="24887"/>
        <n v="25055"/>
        <n v="25254"/>
        <n v="26661"/>
        <n v="27370"/>
        <n v="27441"/>
        <n v="27445"/>
        <n v="27979"/>
        <n v="28288"/>
        <n v="28379"/>
        <n v="28542"/>
        <n v="28648"/>
        <n v="29058"/>
        <n v="29292"/>
        <n v="29475"/>
        <n v="29826"/>
        <n v="29872"/>
        <n v="29957"/>
        <n v="30049"/>
        <n v="30122"/>
        <n v="30155"/>
        <n v="30867"/>
        <n v="30980"/>
        <n v="31008"/>
        <n v="31295"/>
        <n v="31779"/>
        <n v="31916"/>
        <n v="31921"/>
        <n v="31932"/>
        <n v="32148"/>
        <n v="32289"/>
        <n v="32380"/>
        <n v="32498"/>
        <n v="32557"/>
        <n v="32611"/>
        <n v="32748"/>
        <n v="32818"/>
        <n v="32985"/>
        <n v="33109"/>
        <n v="33161"/>
        <n v="33162"/>
        <n v="33246"/>
        <n v="33357"/>
        <n v="33396"/>
        <n v="33752"/>
        <n v="34168"/>
        <n v="34184"/>
        <n v="34264"/>
        <n v="34271"/>
        <n v="34327"/>
        <n v="35243"/>
        <n v="35277"/>
        <n v="35330"/>
        <n v="35375"/>
        <n v="35413"/>
        <n v="35521"/>
        <n v="35857"/>
        <n v="36123"/>
        <n v="36180"/>
        <n v="36234"/>
        <n v="36855"/>
        <n v="37194"/>
        <n v="37428"/>
        <n v="37741"/>
        <n v="38045"/>
        <n v="38484"/>
        <n v="40490"/>
        <n v="40739"/>
        <n v="40972"/>
        <n v="41664"/>
        <n v="42501"/>
        <n v="42624"/>
        <n v="42881"/>
        <n v="43336"/>
        <n v="44434"/>
        <n v="44811"/>
        <n v="45139"/>
        <n v="46212"/>
        <n v="46520"/>
        <n v="46802"/>
        <n v="46941"/>
        <n v="47246"/>
        <n v="47396"/>
        <n v="48077"/>
        <n v="48158"/>
        <n v="48257"/>
        <n v="48558"/>
        <n v="48573"/>
        <n v="48749"/>
        <n v="49155"/>
        <n v="49624"/>
        <n v="49636"/>
        <n v="50118"/>
        <n v="50425"/>
        <n v="50725"/>
        <n v="51001"/>
        <n v="51348"/>
        <n v="51510"/>
        <n v="51722"/>
        <n v="52346"/>
        <n v="52379"/>
        <n v="52461"/>
        <n v="52642"/>
        <n v="52665"/>
        <n v="52677"/>
        <n v="52811"/>
        <n v="53429"/>
        <n v="53437"/>
        <n v="53822"/>
        <n v="53835"/>
        <n v="54219"/>
        <n v="54391"/>
        <n v="54650"/>
        <n v="54750"/>
        <n v="54771"/>
        <n v="54944"/>
        <n v="55122"/>
        <n v="55471"/>
        <n v="55698"/>
        <n v="55705"/>
        <n v="55914"/>
        <n v="55958"/>
        <n v="56055"/>
        <n v="56075"/>
        <n v="56154"/>
        <n v="56161"/>
        <n v="56590"/>
        <n v="56626"/>
        <n v="56894"/>
        <n v="57303"/>
        <n v="57402"/>
        <n v="58092"/>
        <n v="58637"/>
        <n v="59030"/>
        <n v="59134"/>
        <n v="60712"/>
        <n v="60786"/>
        <n v="62536"/>
        <n v="64145"/>
        <n v="66977"/>
        <n v="67342"/>
        <n v="67406"/>
        <n v="67876"/>
        <n v="70633"/>
        <n v="70706"/>
        <n v="74818"/>
        <n v="76167"/>
        <n v="76719"/>
        <n v="78327"/>
        <n v="79023"/>
        <n v="80691"/>
        <n v="82142"/>
        <n v="83650"/>
        <n v="84629"/>
        <n v="85392"/>
        <n v="88189"/>
        <n v="90055"/>
        <n v="90752"/>
        <n v="91115"/>
        <n v="91572"/>
        <n v="91963"/>
        <n v="92149"/>
        <n v="92511"/>
        <n v="93873"/>
        <n v="94818"/>
        <n v="95016"/>
        <n v="95351"/>
        <n v="95737"/>
        <n v="98444"/>
        <n v="98564"/>
        <n v="98815"/>
        <n v="98873"/>
        <n v="99207"/>
        <n v="99813"/>
        <n v="99870"/>
        <n v="100155"/>
        <n v="100833"/>
        <n v="100968"/>
        <n v="101933"/>
        <n v="102439"/>
        <n v="102475"/>
        <n v="102494"/>
        <n v="102683"/>
        <n v="102769"/>
        <n v="103338"/>
        <n v="104066"/>
        <n v="104156"/>
        <n v="104189"/>
        <n v="105252"/>
        <n v="105412"/>
        <n v="105683"/>
        <n v="106360"/>
        <n v="106711"/>
        <n v="106722"/>
        <n v="106799"/>
        <n v="107381"/>
        <n v="107849"/>
        <n v="107991"/>
        <n v="108023"/>
        <n v="108463"/>
        <n v="108687"/>
        <n v="109329"/>
        <n v="109585"/>
        <n v="109599"/>
        <n v="109625"/>
        <n v="109647"/>
        <n v="109652"/>
        <n v="109890"/>
        <n v="111990"/>
        <n v="112037"/>
        <n v="112253"/>
        <n v="112822"/>
        <n v="113486"/>
        <n v="113648"/>
        <n v="113961"/>
        <n v="115475"/>
        <n v="115992"/>
        <n v="116033"/>
        <n v="116192"/>
        <n v="116528"/>
        <n v="117094"/>
        <n v="117285"/>
        <n v="117436"/>
        <n v="118253"/>
        <n v="118502"/>
        <n v="118804"/>
        <n v="119423"/>
        <n v="120284"/>
        <n v="120651"/>
        <n v="121076"/>
        <n v="121458"/>
        <n v="121720"/>
        <n v="122146"/>
        <n v="122466"/>
        <n v="123462"/>
        <n v="123827"/>
        <n v="124984"/>
        <n v="125249"/>
        <n v="125578"/>
        <n v="126553"/>
        <n v="127783"/>
        <n v="128178"/>
        <n v="128807"/>
        <n v="128852"/>
        <n v="129444"/>
        <n v="130319"/>
        <n v="130705"/>
        <n v="131693"/>
        <n v="131862"/>
        <n v="132985"/>
        <n v="134009"/>
        <n v="134078"/>
        <n v="135123"/>
        <n v="136310"/>
        <n v="136611"/>
        <n v="136636"/>
        <n v="137301"/>
        <n v="137848"/>
        <n v="138553"/>
        <n v="138652"/>
        <n v="138964"/>
        <n v="139114"/>
        <n v="139264"/>
        <n v="139546"/>
        <n v="141079"/>
        <n v="141194"/>
        <n v="141204"/>
        <n v="141536"/>
        <n v="142698"/>
        <n v="142922"/>
        <n v="143421"/>
        <n v="144525"/>
        <n v="144739"/>
        <n v="145067"/>
        <n v="145442"/>
        <n v="145564"/>
        <n v="146394"/>
        <n v="146939"/>
        <n v="147317"/>
        <n v="147523"/>
        <n v="147543"/>
        <n v="147703"/>
        <n v="148165"/>
        <n v="151035"/>
        <n v="153628"/>
        <n v="156489"/>
        <n v="158426"/>
        <n v="168932"/>
        <n v="171129"/>
        <n v="174478"/>
        <n v="181186"/>
        <n v="183248"/>
        <n v="191998"/>
        <n v="197888"/>
        <n v="224428"/>
        <n v="233245"/>
        <n v="246610"/>
        <n v="250038"/>
        <n v="250786"/>
        <n v="251012"/>
        <n v="254556"/>
        <n v="257337"/>
        <n v="259316"/>
        <n v="260101"/>
        <n v="260219"/>
        <n v="261600"/>
        <n v="262094"/>
        <n v="263454"/>
        <n v="266978"/>
        <n v="267534"/>
        <n v="268725"/>
        <n v="271921"/>
        <n v="272198"/>
        <n v="275324"/>
        <n v="276106"/>
        <n v="276127"/>
        <n v="276763"/>
        <n v="276903"/>
        <n v="277701"/>
        <n v="279123"/>
        <n v="280256"/>
        <n v="283731"/>
        <n v="284128"/>
        <n v="284684"/>
        <n v="284958"/>
        <n v="286160"/>
        <n v="286818"/>
        <n v="287627"/>
        <n v="288826"/>
        <n v="288999"/>
        <n v="289204"/>
        <n v="289344"/>
        <n v="290030"/>
        <n v="291318"/>
        <n v="291821"/>
        <n v="294784"/>
        <n v="295163"/>
        <n v="296623"/>
        <n v="298021"/>
        <n v="298603"/>
        <n v="298675"/>
        <n v="299306"/>
        <n v="299341"/>
        <n v="300952"/>
        <n v="301117"/>
        <n v="302451"/>
        <n v="303527"/>
        <n v="305460"/>
        <n v="306473"/>
        <n v="306617"/>
        <n v="311186"/>
        <n v="311863"/>
        <n v="312979"/>
        <n v="313275"/>
        <n v="314696"/>
        <n v="315183"/>
        <n v="316811"/>
        <n v="318012"/>
        <n v="318081"/>
        <n v="321538"/>
        <n v="324919"/>
        <n v="327147"/>
        <n v="330789"/>
        <n v="331132"/>
        <n v="334103"/>
        <n v="334443"/>
        <n v="336026"/>
        <n v="339727"/>
        <n v="339763"/>
        <n v="340639"/>
        <n v="341140"/>
        <n v="342456"/>
        <n v="342872"/>
        <n v="343839"/>
        <n v="344163"/>
        <n v="344428"/>
        <n v="346529"/>
        <n v="347506"/>
        <n v="347546"/>
        <n v="347857"/>
        <n v="348623"/>
        <n v="348706"/>
        <n v="349028"/>
        <n v="349886"/>
        <n v="350874"/>
        <n v="351793"/>
        <n v="352446"/>
        <n v="354684"/>
        <n v="355770"/>
        <n v="357672"/>
        <n v="358182"/>
        <n v="358352"/>
        <n v="358394"/>
        <n v="359436"/>
        <n v="362902"/>
        <n v="363701"/>
        <n v="365552"/>
        <n v="365601"/>
        <n v="367023"/>
        <n v="367057"/>
        <n v="367760"/>
        <n v="370596"/>
        <n v="370604"/>
        <n v="372008"/>
        <n v="372412"/>
        <n v="376457"/>
        <n v="378134"/>
        <n v="380830"/>
        <n v="382080"/>
        <n v="382134"/>
        <n v="382387"/>
        <n v="382894"/>
        <n v="384512"/>
        <n v="386107"/>
        <n v="386435"/>
        <n v="386913"/>
        <n v="388271"/>
        <n v="388508"/>
        <n v="388570"/>
        <n v="390656"/>
        <n v="390912"/>
        <n v="392136"/>
        <n v="392193"/>
        <n v="394563"/>
        <n v="395453"/>
        <n v="396502"/>
        <n v="397953"/>
        <n v="398769"/>
        <n v="399044"/>
        <n v="399076"/>
        <n v="399911"/>
        <n v="400713"/>
        <n v="402127"/>
        <n v="402661"/>
        <n v="402885"/>
        <n v="403874"/>
        <n v="404614"/>
        <n v="405440"/>
        <n v="405591"/>
        <n v="406410"/>
        <n v="407031"/>
        <n v="408306"/>
        <n v="408379"/>
        <n v="409237"/>
        <n v="413084"/>
        <n v="414371"/>
        <n v="414932"/>
        <n v="416518"/>
        <n v="416682"/>
        <n v="420263"/>
        <n v="421478"/>
        <n v="423168"/>
        <n v="423623"/>
        <n v="423812"/>
        <n v="423933"/>
        <n v="426119"/>
        <n v="427703"/>
        <n v="430474"/>
        <n v="432613"/>
        <n v="433358"/>
        <n v="434119"/>
        <n v="435911"/>
        <n v="438312"/>
        <n v="438564"/>
        <n v="439575"/>
        <n v="440221"/>
        <n v="440824"/>
        <n v="443003"/>
        <n v="445114"/>
        <n v="445193"/>
        <n v="448147"/>
        <n v="448998"/>
        <n v="449707"/>
        <n v="449723"/>
        <n v="454905"/>
        <n v="454936"/>
        <n v="454971"/>
        <n v="455317"/>
        <n v="455798"/>
        <n v="460030"/>
        <n v="460952"/>
        <n v="474154"/>
        <n v="474263"/>
        <n v="476759"/>
        <n v="478494"/>
        <n v="481820"/>
        <n v="481983"/>
        <n v="482817"/>
        <n v="483729"/>
        <n v="484770"/>
        <n v="487788"/>
        <n v="488770"/>
        <n v="490831"/>
        <n v="492228"/>
        <n v="496013"/>
        <n v="497532"/>
        <n v="514826"/>
        <n v="517467"/>
        <n v="522866"/>
        <n v="529110"/>
        <n v="529618"/>
        <n v="537220"/>
        <n v="547532"/>
        <n v="556934"/>
        <n v="571544"/>
        <n v="576000"/>
        <n v="590104"/>
        <n v="591164"/>
        <n v="633452"/>
        <n v="647050"/>
        <n v="651398"/>
        <n v="667921"/>
        <n v="673655"/>
        <n v="691884"/>
        <n v="733047"/>
      </sharedItems>
    </cacheField>
    <cacheField name="125萬[含]-150萬[金額，新台幣]" uniqueList="1" numFmtId="0" sqlType="0" hierarchy="0" level="0" databaseField="1">
      <sharedItems count="518" containsInteger="1" containsNumber="1" containsSemiMixedTypes="0" containsString="0" minValue="76660791" maxValue="12452617984">
        <n v="76660791"/>
        <n v="86967322"/>
        <n v="88427543"/>
        <n v="89380712"/>
        <n v="90246834"/>
        <n v="90332827"/>
        <n v="90722616"/>
        <n v="92852493"/>
        <n v="93786991"/>
        <n v="93975346"/>
        <n v="94035893"/>
        <n v="94464502"/>
        <n v="94847969"/>
        <n v="94979796"/>
        <n v="96004308"/>
        <n v="97506483"/>
        <n v="97521867"/>
        <n v="98043659"/>
        <n v="98377083"/>
        <n v="99262831"/>
        <n v="99541200"/>
        <n v="99793876"/>
        <n v="100090013"/>
        <n v="101189633"/>
        <n v="101298021"/>
        <n v="101355849"/>
        <n v="101451021"/>
        <n v="101662164"/>
        <n v="102128224"/>
        <n v="102212158"/>
        <n v="102427510"/>
        <n v="102510609"/>
        <n v="102664147"/>
        <n v="103013943"/>
        <n v="103490780"/>
        <n v="104113229"/>
        <n v="104302866"/>
        <n v="105309131"/>
        <n v="105788366"/>
        <n v="105999971"/>
        <n v="106566819"/>
        <n v="107071361"/>
        <n v="107367593"/>
        <n v="107555658"/>
        <n v="107572833"/>
        <n v="108311452"/>
        <n v="108673320"/>
        <n v="108819800"/>
        <n v="109616091"/>
        <n v="110446600"/>
        <n v="111052241"/>
        <n v="111983446"/>
        <n v="113201783"/>
        <n v="113382541"/>
        <n v="113901727"/>
        <n v="114408553"/>
        <n v="114909500"/>
        <n v="115646671"/>
        <n v="116591194"/>
        <n v="117394430"/>
        <n v="117590933"/>
        <n v="121393919"/>
        <n v="123871329"/>
        <n v="125831980"/>
        <n v="133598287"/>
        <n v="133867671"/>
        <n v="133998056"/>
        <n v="136098482"/>
        <n v="139958582"/>
        <n v="140723523"/>
        <n v="140783917"/>
        <n v="142918954"/>
        <n v="143869173"/>
        <n v="146886254"/>
        <n v="222345031"/>
        <n v="237488994"/>
        <n v="238297012"/>
        <n v="252532789"/>
        <n v="255228000"/>
        <n v="258557247"/>
        <n v="260193310"/>
        <n v="260889695"/>
        <n v="261092374"/>
        <n v="265541449"/>
        <n v="265799885"/>
        <n v="267222192"/>
        <n v="267347423"/>
        <n v="267894700"/>
        <n v="268659992"/>
        <n v="268983564"/>
        <n v="269374679"/>
        <n v="273170657"/>
        <n v="276928992"/>
        <n v="277016567"/>
        <n v="277198437"/>
        <n v="277414263"/>
        <n v="277854708"/>
        <n v="285199228"/>
        <n v="286414925"/>
        <n v="286460545"/>
        <n v="290910731"/>
        <n v="291968815"/>
        <n v="292263261"/>
        <n v="293374415"/>
        <n v="294764140"/>
        <n v="294912462"/>
        <n v="297047885"/>
        <n v="298696189"/>
        <n v="301035486"/>
        <n v="301923805"/>
        <n v="303483261"/>
        <n v="307130165"/>
        <n v="307620188"/>
        <n v="308763436"/>
        <n v="309885477"/>
        <n v="311493567"/>
        <n v="311956168"/>
        <n v="313007544"/>
        <n v="314408715"/>
        <n v="315682860"/>
        <n v="315799830"/>
        <n v="316019102"/>
        <n v="316710374"/>
        <n v="317338502"/>
        <n v="317580641"/>
        <n v="317748781"/>
        <n v="317998242"/>
        <n v="319382268"/>
        <n v="319879960"/>
        <n v="320162162"/>
        <n v="320233128"/>
        <n v="320713648"/>
        <n v="322446131"/>
        <n v="323605909"/>
        <n v="324108143"/>
        <n v="325885854"/>
        <n v="326168956"/>
        <n v="327094132"/>
        <n v="329256315"/>
        <n v="331578448"/>
        <n v="332339206"/>
        <n v="333231645"/>
        <n v="334235096"/>
        <n v="337010507"/>
        <n v="337749330"/>
        <n v="337757518"/>
        <n v="338140453"/>
        <n v="339250925"/>
        <n v="341531110"/>
        <n v="341668648"/>
        <n v="342051918"/>
        <n v="342389417"/>
        <n v="343514303"/>
        <n v="343773850"/>
        <n v="347489339"/>
        <n v="348125343"/>
        <n v="348812948"/>
        <n v="349768444"/>
        <n v="350543096"/>
        <n v="351070377"/>
        <n v="351423045"/>
        <n v="352415896"/>
        <n v="356572313"/>
        <n v="356775226"/>
        <n v="356846091"/>
        <n v="357754041"/>
        <n v="357862173"/>
        <n v="359879671"/>
        <n v="361734061"/>
        <n v="362318868"/>
        <n v="363448332"/>
        <n v="364277934"/>
        <n v="365558212"/>
        <n v="371747412"/>
        <n v="377148661"/>
        <n v="380850600"/>
        <n v="381000428"/>
        <n v="382143699"/>
        <n v="382634575"/>
        <n v="384722524"/>
        <n v="385391842"/>
        <n v="386744876"/>
        <n v="387381195"/>
        <n v="387422582"/>
        <n v="388179821"/>
        <n v="388377360"/>
        <n v="390093178"/>
        <n v="393142769"/>
        <n v="393569419"/>
        <n v="394583488"/>
        <n v="394866311"/>
        <n v="397462171"/>
        <n v="400641468"/>
        <n v="400736622"/>
        <n v="401376757"/>
        <n v="401510465"/>
        <n v="403899634"/>
        <n v="407716400"/>
        <n v="408588322"/>
        <n v="409516837"/>
        <n v="410094793"/>
        <n v="410166417"/>
        <n v="410496084"/>
        <n v="417295821"/>
        <n v="420671208"/>
        <n v="426005678"/>
        <n v="426242029"/>
        <n v="427396296"/>
        <n v="429693226"/>
        <n v="429737648"/>
        <n v="430624176"/>
        <n v="431456999"/>
        <n v="432719681"/>
        <n v="435112227"/>
        <n v="435397633"/>
        <n v="435998533"/>
        <n v="437695648"/>
        <n v="438308553"/>
        <n v="440303036"/>
        <n v="440381652"/>
        <n v="443962339"/>
        <n v="443977180"/>
        <n v="445447753"/>
        <n v="445991619"/>
        <n v="447332847"/>
        <n v="449863445"/>
        <n v="450935583"/>
        <n v="452362862"/>
        <n v="453003510"/>
        <n v="454049853"/>
        <n v="454532265"/>
        <n v="455181026"/>
        <n v="456585710"/>
        <n v="456671280"/>
        <n v="456804435"/>
        <n v="458848402"/>
        <n v="458879365"/>
        <n v="459973046"/>
        <n v="461765950"/>
        <n v="462858379"/>
        <n v="463133324"/>
        <n v="464106803"/>
        <n v="464336833"/>
        <n v="466833503"/>
        <n v="467621201"/>
        <n v="468252868"/>
        <n v="469232320"/>
        <n v="471002847"/>
        <n v="472546922"/>
        <n v="475146117"/>
        <n v="475305763"/>
        <n v="475671604"/>
        <n v="475831172"/>
        <n v="476937747"/>
        <n v="478004457"/>
        <n v="478949451"/>
        <n v="479148910"/>
        <n v="480172545"/>
        <n v="480540319"/>
        <n v="480834907"/>
        <n v="483156622"/>
        <n v="483418915"/>
        <n v="484262479"/>
        <n v="484687688"/>
        <n v="484810459"/>
        <n v="485274925"/>
        <n v="487435777"/>
        <n v="487999273"/>
        <n v="488039510"/>
        <n v="488304895"/>
        <n v="489682489"/>
        <n v="490509905"/>
        <n v="491124391"/>
        <n v="492204093"/>
        <n v="495275864"/>
        <n v="495769348"/>
        <n v="495812917"/>
        <n v="496851036"/>
        <n v="497217251"/>
        <n v="498056536"/>
        <n v="498633103"/>
        <n v="501056182"/>
        <n v="502667448"/>
        <n v="506520087"/>
        <n v="506782356"/>
        <n v="509933168"/>
        <n v="509939522"/>
        <n v="512101823"/>
        <n v="512454827"/>
        <n v="513043009"/>
        <n v="514231015"/>
        <n v="514387388"/>
        <n v="514818016"/>
        <n v="517638836"/>
        <n v="518013431"/>
        <n v="520085950"/>
        <n v="521277730"/>
        <n v="522847500"/>
        <n v="522943867"/>
        <n v="523748943"/>
        <n v="523881081"/>
        <n v="528420741"/>
        <n v="529404548"/>
        <n v="529515223"/>
        <n v="530945446"/>
        <n v="531568153"/>
        <n v="531710745"/>
        <n v="534359478"/>
        <n v="534484287"/>
        <n v="535499216"/>
        <n v="538677592"/>
        <n v="539406118"/>
        <n v="542774471"/>
        <n v="545129311"/>
        <n v="545710040"/>
        <n v="546422588"/>
        <n v="548079108"/>
        <n v="551354986"/>
        <n v="553256805"/>
        <n v="554465690"/>
        <n v="556107453"/>
        <n v="557309486"/>
        <n v="569810612"/>
        <n v="572136383"/>
        <n v="573280499"/>
        <n v="577394085"/>
        <n v="580414523"/>
        <n v="583617952"/>
        <n v="585158153"/>
        <n v="587308932"/>
        <n v="588878495"/>
        <n v="591883286"/>
        <n v="596640830"/>
        <n v="597044766"/>
        <n v="600150471"/>
        <n v="603592044"/>
        <n v="607033974"/>
        <n v="607036776"/>
        <n v="607281130"/>
        <n v="609719540"/>
        <n v="610036521"/>
        <n v="612113855"/>
        <n v="613153474"/>
        <n v="613948395"/>
        <n v="616209857"/>
        <n v="617653108"/>
        <n v="621116318"/>
        <n v="624843912"/>
        <n v="626147358"/>
        <n v="626941273"/>
        <n v="627695677"/>
        <n v="628459800"/>
        <n v="632373398"/>
        <n v="632558310"/>
        <n v="635615043"/>
        <n v="638692630"/>
        <n v="638864324"/>
        <n v="642884858"/>
        <n v="643620179"/>
        <n v="647245222"/>
        <n v="648084647"/>
        <n v="649463115"/>
        <n v="656303023"/>
        <n v="656981472"/>
        <n v="657896876"/>
        <n v="660002689"/>
        <n v="660097027"/>
        <n v="662492288"/>
        <n v="664668092"/>
        <n v="665282431"/>
        <n v="670111590"/>
        <n v="672832872"/>
        <n v="678640541"/>
        <n v="681264237"/>
        <n v="684646308"/>
        <n v="685414573"/>
        <n v="686856481"/>
        <n v="689905314"/>
        <n v="690898752"/>
        <n v="690939091"/>
        <n v="692329484"/>
        <n v="693889887"/>
        <n v="694114867"/>
        <n v="694215628"/>
        <n v="696332083"/>
        <n v="698546062"/>
        <n v="699012100"/>
        <n v="703973027"/>
        <n v="704282907"/>
        <n v="705092812"/>
        <n v="706137381"/>
        <n v="707816044"/>
        <n v="710193735"/>
        <n v="715152507"/>
        <n v="716698841"/>
        <n v="717601573"/>
        <n v="718635651"/>
        <n v="720215955"/>
        <n v="722652145"/>
        <n v="726849802"/>
        <n v="727107109"/>
        <n v="728177934"/>
        <n v="728298261"/>
        <n v="729377680"/>
        <n v="729748409"/>
        <n v="732887480"/>
        <n v="736418750"/>
        <n v="738931987"/>
        <n v="739947377"/>
        <n v="740677793"/>
        <n v="746203514"/>
        <n v="747289448"/>
        <n v="748587916"/>
        <n v="748975594"/>
        <n v="749021789"/>
        <n v="758012818"/>
        <n v="768110092"/>
        <n v="768603259"/>
        <n v="773156630"/>
        <n v="774641903"/>
        <n v="774898485"/>
        <n v="777524141"/>
        <n v="779960652"/>
        <n v="790485756"/>
        <n v="797142949"/>
        <n v="803988723"/>
        <n v="808739967"/>
        <n v="812955112"/>
        <n v="813238245"/>
        <n v="813516963"/>
        <n v="815079841"/>
        <n v="823701679"/>
        <n v="825431390"/>
        <n v="825552970"/>
        <n v="831897054"/>
        <n v="840574937"/>
        <n v="841281249"/>
        <n v="847081604"/>
        <n v="847372245"/>
        <n v="859193644"/>
        <n v="860676116"/>
        <n v="883784629"/>
        <n v="924747070"/>
        <n v="951356044"/>
        <n v="1043752985"/>
        <n v="1046528409"/>
        <n v="1083373635"/>
        <n v="1129878971"/>
        <n v="1144367350"/>
        <n v="1151609990"/>
        <n v="1178050317"/>
        <n v="1187400076"/>
        <n v="1223377857"/>
        <n v="1225564484"/>
        <n v="1237602265"/>
        <n v="1246567904"/>
        <n v="1281334020"/>
        <n v="1356983150"/>
        <n v="1359888493"/>
        <n v="1363965037"/>
        <n v="1420809946"/>
        <n v="1422545528"/>
        <n v="1469524014"/>
        <n v="1479683601"/>
        <n v="1497678788"/>
        <n v="1503315033"/>
        <n v="1512609724"/>
        <n v="1513412888"/>
        <n v="1523164822"/>
        <n v="1533787301"/>
        <n v="1549822859"/>
        <n v="1550792230"/>
        <n v="1552087716"/>
        <n v="1565048425"/>
        <n v="1590110296"/>
        <n v="1601897987"/>
        <n v="1618214469"/>
        <n v="1619205548"/>
        <n v="1621001055"/>
        <n v="1622294175"/>
        <n v="1623851282"/>
        <n v="1690199232"/>
        <n v="1714737896"/>
        <n v="1727585573"/>
        <n v="1734595572"/>
        <n v="1740531703"/>
        <n v="1754026546"/>
        <n v="1796970022"/>
        <n v="1814000631"/>
        <n v="1835930482"/>
        <n v="1849263072"/>
        <n v="1903702256"/>
        <n v="1924212626"/>
        <n v="1947619337"/>
        <n v="2031895796"/>
        <n v="2062704445"/>
        <n v="2078976452"/>
        <n v="2086669815"/>
        <n v="2089265754"/>
        <n v="2092641321"/>
        <n v="2124780126"/>
        <n v="2127257878"/>
        <n v="2235878480"/>
        <n v="2267982288"/>
        <n v="2357664656"/>
        <n v="2358887854"/>
        <n v="2427496104"/>
        <n v="2441257445"/>
        <n v="2526862146"/>
        <n v="2610083847"/>
        <n v="2613792619"/>
        <n v="2747745323"/>
        <n v="2876286697"/>
        <n v="3458813971"/>
        <n v="4068718395"/>
        <n v="4603922824"/>
        <n v="4784210964"/>
        <n v="12452617984"/>
      </sharedItems>
    </cacheField>
    <cacheField name="150萬[含]-175萬[筆數]" uniqueList="1" numFmtId="0" sqlType="0" hierarchy="0" level="0" databaseField="1">
      <sharedItems count="517" containsInteger="1" containsNumber="1" containsSemiMixedTypes="0" containsString="0" minValue="18434" maxValue="607026">
        <n v="18434"/>
        <n v="20446"/>
        <n v="20541"/>
        <n v="20633"/>
        <n v="21374"/>
        <n v="22005"/>
        <n v="22136"/>
        <n v="22232"/>
        <n v="22365"/>
        <n v="22382"/>
        <n v="22507"/>
        <n v="22736"/>
        <n v="22849"/>
        <n v="22859"/>
        <n v="23009"/>
        <n v="23031"/>
        <n v="23217"/>
        <n v="23381"/>
        <n v="23448"/>
        <n v="23513"/>
        <n v="23573"/>
        <n v="23585"/>
        <n v="24055"/>
        <n v="24471"/>
        <n v="24642"/>
        <n v="24678"/>
        <n v="24872"/>
        <n v="24898"/>
        <n v="24992"/>
        <n v="25231"/>
        <n v="25426"/>
        <n v="25448"/>
        <n v="25476"/>
        <n v="25568"/>
        <n v="25729"/>
        <n v="25873"/>
        <n v="26052"/>
        <n v="26181"/>
        <n v="26206"/>
        <n v="26290"/>
        <n v="26308"/>
        <n v="26329"/>
        <n v="26331"/>
        <n v="26362"/>
        <n v="26372"/>
        <n v="26405"/>
        <n v="26512"/>
        <n v="26593"/>
        <n v="26727"/>
        <n v="26878"/>
        <n v="27021"/>
        <n v="27363"/>
        <n v="27605"/>
        <n v="27764"/>
        <n v="28002"/>
        <n v="28142"/>
        <n v="28203"/>
        <n v="28230"/>
        <n v="28240"/>
        <n v="28698"/>
        <n v="28721"/>
        <n v="28733"/>
        <n v="28845"/>
        <n v="28991"/>
        <n v="29678"/>
        <n v="30928"/>
        <n v="30931"/>
        <n v="31187"/>
        <n v="31535"/>
        <n v="31741"/>
        <n v="32285"/>
        <n v="32357"/>
        <n v="34065"/>
        <n v="34784"/>
        <n v="37446"/>
        <n v="38634"/>
        <n v="38836"/>
        <n v="39082"/>
        <n v="39086"/>
        <n v="39399"/>
        <n v="39413"/>
        <n v="39583"/>
        <n v="40632"/>
        <n v="40670"/>
        <n v="41207"/>
        <n v="41293"/>
        <n v="41493"/>
        <n v="41593"/>
        <n v="41634"/>
        <n v="41757"/>
        <n v="41813"/>
        <n v="42203"/>
        <n v="42332"/>
        <n v="42334"/>
        <n v="42409"/>
        <n v="42497"/>
        <n v="42581"/>
        <n v="42615"/>
        <n v="42719"/>
        <n v="42921"/>
        <n v="43007"/>
        <n v="43049"/>
        <n v="43110"/>
        <n v="43166"/>
        <n v="43624"/>
        <n v="43657"/>
        <n v="43770"/>
        <n v="43861"/>
        <n v="44446"/>
        <n v="44560"/>
        <n v="44804"/>
        <n v="45043"/>
        <n v="45147"/>
        <n v="45360"/>
        <n v="45494"/>
        <n v="45708"/>
        <n v="45854"/>
        <n v="46203"/>
        <n v="46304"/>
        <n v="46362"/>
        <n v="46577"/>
        <n v="46628"/>
        <n v="46659"/>
        <n v="46764"/>
        <n v="46781"/>
        <n v="46856"/>
        <n v="46863"/>
        <n v="47033"/>
        <n v="47363"/>
        <n v="47411"/>
        <n v="47898"/>
        <n v="48058"/>
        <n v="48482"/>
        <n v="48625"/>
        <n v="48774"/>
        <n v="48778"/>
        <n v="49446"/>
        <n v="49592"/>
        <n v="49811"/>
        <n v="51162"/>
        <n v="52417"/>
        <n v="53146"/>
        <n v="53555"/>
        <n v="54414"/>
        <n v="55661"/>
        <n v="56147"/>
        <n v="59965"/>
        <n v="66102"/>
        <n v="68605"/>
        <n v="69022"/>
        <n v="70182"/>
        <n v="70629"/>
        <n v="71272"/>
        <n v="72260"/>
        <n v="72732"/>
        <n v="73472"/>
        <n v="74787"/>
        <n v="77010"/>
        <n v="77591"/>
        <n v="78014"/>
        <n v="78172"/>
        <n v="78708"/>
        <n v="78738"/>
        <n v="79130"/>
        <n v="79192"/>
        <n v="79410"/>
        <n v="80603"/>
        <n v="80610"/>
        <n v="80678"/>
        <n v="80820"/>
        <n v="82120"/>
        <n v="82826"/>
        <n v="82973"/>
        <n v="82993"/>
        <n v="83917"/>
        <n v="84110"/>
        <n v="84326"/>
        <n v="84414"/>
        <n v="84500"/>
        <n v="84951"/>
        <n v="85043"/>
        <n v="85130"/>
        <n v="85142"/>
        <n v="85658"/>
        <n v="86470"/>
        <n v="86527"/>
        <n v="86852"/>
        <n v="87624"/>
        <n v="87885"/>
        <n v="88265"/>
        <n v="88271"/>
        <n v="88272"/>
        <n v="88287"/>
        <n v="88647"/>
        <n v="89302"/>
        <n v="89391"/>
        <n v="89509"/>
        <n v="89537"/>
        <n v="89838"/>
        <n v="89865"/>
        <n v="89937"/>
        <n v="90828"/>
        <n v="91673"/>
        <n v="92033"/>
        <n v="92271"/>
        <n v="92400"/>
        <n v="92442"/>
        <n v="92525"/>
        <n v="92630"/>
        <n v="92669"/>
        <n v="92705"/>
        <n v="92745"/>
        <n v="93038"/>
        <n v="93770"/>
        <n v="93802"/>
        <n v="94258"/>
        <n v="94558"/>
        <n v="94560"/>
        <n v="94565"/>
        <n v="95042"/>
        <n v="95616"/>
        <n v="95859"/>
        <n v="96361"/>
        <n v="97788"/>
        <n v="97897"/>
        <n v="98305"/>
        <n v="98577"/>
        <n v="98777"/>
        <n v="99519"/>
        <n v="100209"/>
        <n v="101012"/>
        <n v="101804"/>
        <n v="102363"/>
        <n v="102510"/>
        <n v="103006"/>
        <n v="103128"/>
        <n v="103279"/>
        <n v="103861"/>
        <n v="104856"/>
        <n v="105324"/>
        <n v="105843"/>
        <n v="106669"/>
        <n v="106685"/>
        <n v="106811"/>
        <n v="107268"/>
        <n v="107591"/>
        <n v="108170"/>
        <n v="108304"/>
        <n v="108658"/>
        <n v="108990"/>
        <n v="109583"/>
        <n v="109815"/>
        <n v="110522"/>
        <n v="111521"/>
        <n v="112161"/>
        <n v="112373"/>
        <n v="112798"/>
        <n v="113051"/>
        <n v="113052"/>
        <n v="113175"/>
        <n v="113385"/>
        <n v="113759"/>
        <n v="113795"/>
        <n v="114208"/>
        <n v="115169"/>
        <n v="116221"/>
        <n v="116658"/>
        <n v="117609"/>
        <n v="118399"/>
        <n v="118430"/>
        <n v="118684"/>
        <n v="120170"/>
        <n v="120669"/>
        <n v="120768"/>
        <n v="120795"/>
        <n v="120853"/>
        <n v="121025"/>
        <n v="121332"/>
        <n v="121715"/>
        <n v="122160"/>
        <n v="122242"/>
        <n v="122393"/>
        <n v="123015"/>
        <n v="125818"/>
        <n v="126244"/>
        <n v="126701"/>
        <n v="126949"/>
        <n v="132928"/>
        <n v="138674"/>
        <n v="140852"/>
        <n v="141961"/>
        <n v="147421"/>
        <n v="150921"/>
        <n v="158054"/>
        <n v="163740"/>
        <n v="169218"/>
        <n v="181030"/>
        <n v="183046"/>
        <n v="188103"/>
        <n v="188537"/>
        <n v="191733"/>
        <n v="192516"/>
        <n v="192670"/>
        <n v="192713"/>
        <n v="193505"/>
        <n v="193530"/>
        <n v="198259"/>
        <n v="198420"/>
        <n v="198462"/>
        <n v="199295"/>
        <n v="202906"/>
        <n v="203663"/>
        <n v="204012"/>
        <n v="204292"/>
        <n v="204642"/>
        <n v="204976"/>
        <n v="205263"/>
        <n v="206755"/>
        <n v="207402"/>
        <n v="207452"/>
        <n v="209961"/>
        <n v="210316"/>
        <n v="210760"/>
        <n v="210794"/>
        <n v="211335"/>
        <n v="211697"/>
        <n v="213093"/>
        <n v="213197"/>
        <n v="215758"/>
        <n v="215767"/>
        <n v="216907"/>
        <n v="216918"/>
        <n v="217877"/>
        <n v="218257"/>
        <n v="218713"/>
        <n v="219544"/>
        <n v="220257"/>
        <n v="221246"/>
        <n v="222344"/>
        <n v="222532"/>
        <n v="223150"/>
        <n v="225023"/>
        <n v="225127"/>
        <n v="225258"/>
        <n v="225375"/>
        <n v="225619"/>
        <n v="227312"/>
        <n v="227822"/>
        <n v="228500"/>
        <n v="229689"/>
        <n v="230242"/>
        <n v="230635"/>
        <n v="231097"/>
        <n v="231306"/>
        <n v="231416"/>
        <n v="232403"/>
        <n v="234124"/>
        <n v="234483"/>
        <n v="235434"/>
        <n v="235982"/>
        <n v="236033"/>
        <n v="236612"/>
        <n v="237309"/>
        <n v="237579"/>
        <n v="239480"/>
        <n v="240511"/>
        <n v="240607"/>
        <n v="242333"/>
        <n v="244340"/>
        <n v="245657"/>
        <n v="246363"/>
        <n v="246577"/>
        <n v="247401"/>
        <n v="248571"/>
        <n v="249022"/>
        <n v="249598"/>
        <n v="249906"/>
        <n v="250280"/>
        <n v="251172"/>
        <n v="251642"/>
        <n v="252143"/>
        <n v="252241"/>
        <n v="252395"/>
        <n v="253312"/>
        <n v="254278"/>
        <n v="254908"/>
        <n v="254941"/>
        <n v="255065"/>
        <n v="256145"/>
        <n v="256402"/>
        <n v="256678"/>
        <n v="257024"/>
        <n v="257387"/>
        <n v="258370"/>
        <n v="258554"/>
        <n v="259645"/>
        <n v="261615"/>
        <n v="263501"/>
        <n v="263756"/>
        <n v="264202"/>
        <n v="264449"/>
        <n v="264676"/>
        <n v="264694"/>
        <n v="265468"/>
        <n v="265733"/>
        <n v="266196"/>
        <n v="266341"/>
        <n v="267738"/>
        <n v="267981"/>
        <n v="269638"/>
        <n v="270635"/>
        <n v="270981"/>
        <n v="271588"/>
        <n v="272227"/>
        <n v="272298"/>
        <n v="273304"/>
        <n v="273766"/>
        <n v="274252"/>
        <n v="274320"/>
        <n v="275736"/>
        <n v="276389"/>
        <n v="276652"/>
        <n v="277177"/>
        <n v="277403"/>
        <n v="278092"/>
        <n v="278603"/>
        <n v="278624"/>
        <n v="278865"/>
        <n v="280935"/>
        <n v="280958"/>
        <n v="282059"/>
        <n v="282408"/>
        <n v="284223"/>
        <n v="284347"/>
        <n v="284807"/>
        <n v="286070"/>
        <n v="289974"/>
        <n v="290815"/>
        <n v="291001"/>
        <n v="291604"/>
        <n v="292748"/>
        <n v="293259"/>
        <n v="294231"/>
        <n v="295410"/>
        <n v="296203"/>
        <n v="297444"/>
        <n v="298792"/>
        <n v="299366"/>
        <n v="299798"/>
        <n v="299868"/>
        <n v="300784"/>
        <n v="303329"/>
        <n v="303443"/>
        <n v="303620"/>
        <n v="304876"/>
        <n v="305168"/>
        <n v="308902"/>
        <n v="311350"/>
        <n v="312258"/>
        <n v="315850"/>
        <n v="316066"/>
        <n v="317444"/>
        <n v="317542"/>
        <n v="318804"/>
        <n v="325248"/>
        <n v="325275"/>
        <n v="326574"/>
        <n v="328546"/>
        <n v="329190"/>
        <n v="333700"/>
        <n v="335857"/>
        <n v="336796"/>
        <n v="340083"/>
        <n v="340578"/>
        <n v="345354"/>
        <n v="345457"/>
        <n v="346356"/>
        <n v="356476"/>
        <n v="357550"/>
        <n v="363192"/>
        <n v="367581"/>
        <n v="368215"/>
        <n v="369939"/>
        <n v="374120"/>
        <n v="380079"/>
        <n v="380520"/>
        <n v="382221"/>
        <n v="383948"/>
        <n v="384333"/>
        <n v="387960"/>
        <n v="388247"/>
        <n v="393411"/>
        <n v="405670"/>
        <n v="405873"/>
        <n v="407389"/>
        <n v="409830"/>
        <n v="410588"/>
        <n v="412425"/>
        <n v="414346"/>
        <n v="415404"/>
        <n v="417928"/>
        <n v="418094"/>
        <n v="429487"/>
        <n v="431350"/>
        <n v="432841"/>
        <n v="434148"/>
        <n v="446580"/>
        <n v="451942"/>
        <n v="460453"/>
        <n v="485011"/>
        <n v="534889"/>
        <n v="538763"/>
        <n v="541580"/>
        <n v="552776"/>
        <n v="555730"/>
        <n v="572121"/>
        <n v="607026"/>
      </sharedItems>
    </cacheField>
    <cacheField name="150萬[含]-175萬[金額，新台幣]" uniqueList="1" numFmtId="0" sqlType="0" hierarchy="0" level="0" databaseField="1">
      <sharedItems count="518" containsInteger="1" containsNumber="1" containsSemiMixedTypes="0" containsString="0" minValue="73304559" maxValue="13455013466">
        <n v="73304559"/>
        <n v="73427404"/>
        <n v="75149574"/>
        <n v="78498806"/>
        <n v="78582602"/>
        <n v="78616686"/>
        <n v="78658158"/>
        <n v="78950915"/>
        <n v="79206956"/>
        <n v="79240030"/>
        <n v="81093091"/>
        <n v="81688186"/>
        <n v="83091483"/>
        <n v="83335085"/>
        <n v="83405789"/>
        <n v="83605554"/>
        <n v="83703722"/>
        <n v="84254862"/>
        <n v="84704157"/>
        <n v="84719733"/>
        <n v="85097994"/>
        <n v="85198118"/>
        <n v="85419309"/>
        <n v="86601384"/>
        <n v="87078920"/>
        <n v="88099675"/>
        <n v="88157231"/>
        <n v="88209563"/>
        <n v="89057028"/>
        <n v="89205382"/>
        <n v="89211605"/>
        <n v="89682548"/>
        <n v="89717770"/>
        <n v="89737152"/>
        <n v="89824267"/>
        <n v="90248587"/>
        <n v="90610990"/>
        <n v="90909476"/>
        <n v="91784340"/>
        <n v="92066981"/>
        <n v="92794848"/>
        <n v="93082110"/>
        <n v="93496554"/>
        <n v="94049180"/>
        <n v="94552039"/>
        <n v="94732897"/>
        <n v="95105021"/>
        <n v="95223473"/>
        <n v="95317201"/>
        <n v="96136979"/>
        <n v="96497657"/>
        <n v="96506113"/>
        <n v="96841321"/>
        <n v="98044862"/>
        <n v="98074833"/>
        <n v="98439188"/>
        <n v="99193472"/>
        <n v="99315734"/>
        <n v="100024320"/>
        <n v="100860182"/>
        <n v="104059193"/>
        <n v="104673448"/>
        <n v="108614123"/>
        <n v="108785931"/>
        <n v="110262435"/>
        <n v="113360282"/>
        <n v="113800575"/>
        <n v="113962418"/>
        <n v="116553256"/>
        <n v="120185929"/>
        <n v="120211093"/>
        <n v="121647620"/>
        <n v="122289103"/>
        <n v="123293936"/>
        <n v="215693496"/>
        <n v="229021139"/>
        <n v="230434831"/>
        <n v="232329172"/>
        <n v="238331300"/>
        <n v="238472566"/>
        <n v="241986084"/>
        <n v="242878638"/>
        <n v="243153686"/>
        <n v="243324577"/>
        <n v="243468869"/>
        <n v="244669010"/>
        <n v="245802122"/>
        <n v="247847322"/>
        <n v="249174183"/>
        <n v="249433808"/>
        <n v="250712277"/>
        <n v="251955506"/>
        <n v="252784882"/>
        <n v="254509514"/>
        <n v="256295974"/>
        <n v="257169241"/>
        <n v="257371919"/>
        <n v="258088070"/>
        <n v="258169158"/>
        <n v="258757940"/>
        <n v="260193080"/>
        <n v="260196901"/>
        <n v="260659032"/>
        <n v="260812536"/>
        <n v="261530984"/>
        <n v="262333737"/>
        <n v="263421022"/>
        <n v="264687752"/>
        <n v="264769837"/>
        <n v="265051345"/>
        <n v="265512844"/>
        <n v="266336265"/>
        <n v="266414508"/>
        <n v="268170716"/>
        <n v="268788103"/>
        <n v="269654316"/>
        <n v="270094602"/>
        <n v="270177348"/>
        <n v="270835437"/>
        <n v="271967450"/>
        <n v="273130424"/>
        <n v="273859447"/>
        <n v="274139985"/>
        <n v="274543446"/>
        <n v="275097696"/>
        <n v="275457730"/>
        <n v="275542605"/>
        <n v="276546765"/>
        <n v="277874452"/>
        <n v="277882537"/>
        <n v="278106708"/>
        <n v="278957089"/>
        <n v="279041376"/>
        <n v="279263472"/>
        <n v="279544820"/>
        <n v="280123777"/>
        <n v="280294902"/>
        <n v="281227613"/>
        <n v="281767257"/>
        <n v="282469881"/>
        <n v="283046317"/>
        <n v="283078615"/>
        <n v="283432618"/>
        <n v="284152407"/>
        <n v="284620453"/>
        <n v="285603957"/>
        <n v="286109132"/>
        <n v="286420486"/>
        <n v="286622778"/>
        <n v="286970321"/>
        <n v="287123544"/>
        <n v="287178998"/>
        <n v="287486111"/>
        <n v="287731475"/>
        <n v="288360165"/>
        <n v="288743230"/>
        <n v="289238163"/>
        <n v="289252505"/>
        <n v="289789245"/>
        <n v="290935397"/>
        <n v="291437742"/>
        <n v="291592182"/>
        <n v="293056479"/>
        <n v="293146081"/>
        <n v="294394895"/>
        <n v="296889629"/>
        <n v="297713069"/>
        <n v="298384905"/>
        <n v="298648153"/>
        <n v="298804862"/>
        <n v="302436835"/>
        <n v="302725211"/>
        <n v="302849744"/>
        <n v="303695005"/>
        <n v="304258852"/>
        <n v="304751535"/>
        <n v="305778686"/>
        <n v="305931041"/>
        <n v="306930264"/>
        <n v="310860254"/>
        <n v="315116447"/>
        <n v="315523310"/>
        <n v="316135746"/>
        <n v="316265266"/>
        <n v="316276768"/>
        <n v="317097689"/>
        <n v="319174045"/>
        <n v="322028470"/>
        <n v="322886056"/>
        <n v="323966383"/>
        <n v="324094470"/>
        <n v="325835374"/>
        <n v="325921930"/>
        <n v="326369408"/>
        <n v="327448906"/>
        <n v="329463133"/>
        <n v="329465053"/>
        <n v="329748773"/>
        <n v="329788942"/>
        <n v="331298812"/>
        <n v="331444889"/>
        <n v="333658626"/>
        <n v="333803655"/>
        <n v="334587903"/>
        <n v="334814547"/>
        <n v="335211818"/>
        <n v="337058119"/>
        <n v="337248349"/>
        <n v="338269868"/>
        <n v="340576409"/>
        <n v="342981968"/>
        <n v="343406677"/>
        <n v="345165578"/>
        <n v="345436134"/>
        <n v="347200830"/>
        <n v="348404043"/>
        <n v="349520809"/>
        <n v="350236589"/>
        <n v="350333398"/>
        <n v="351881069"/>
        <n v="352691316"/>
        <n v="354355805"/>
        <n v="355002408"/>
        <n v="355517445"/>
        <n v="356052165"/>
        <n v="356268482"/>
        <n v="356991837"/>
        <n v="358421515"/>
        <n v="359809928"/>
        <n v="359852525"/>
        <n v="360027956"/>
        <n v="363263067"/>
        <n v="363874794"/>
        <n v="364781947"/>
        <n v="365544217"/>
        <n v="365733047"/>
        <n v="366062531"/>
        <n v="366243680"/>
        <n v="367377098"/>
        <n v="369837375"/>
        <n v="370662153"/>
        <n v="372233180"/>
        <n v="372453866"/>
        <n v="373371236"/>
        <n v="374276004"/>
        <n v="376051187"/>
        <n v="376681151"/>
        <n v="378556403"/>
        <n v="378593418"/>
        <n v="379039030"/>
        <n v="382093192"/>
        <n v="385291034"/>
        <n v="385962400"/>
        <n v="387564674"/>
        <n v="387934990"/>
        <n v="389219754"/>
        <n v="389484602"/>
        <n v="390455329"/>
        <n v="392446195"/>
        <n v="393068801"/>
        <n v="394316480"/>
        <n v="395110813"/>
        <n v="395790466"/>
        <n v="396594084"/>
        <n v="397927210"/>
        <n v="399598451"/>
        <n v="403276001"/>
        <n v="405812628"/>
        <n v="408633997"/>
        <n v="409624429"/>
        <n v="411286717"/>
        <n v="412867432"/>
        <n v="414423883"/>
        <n v="417709512"/>
        <n v="418035628"/>
        <n v="419321309"/>
        <n v="420351207"/>
        <n v="420832257"/>
        <n v="421297739"/>
        <n v="421423633"/>
        <n v="422119413"/>
        <n v="423095131"/>
        <n v="426409070"/>
        <n v="426975009"/>
        <n v="427428668"/>
        <n v="428240704"/>
        <n v="431363736"/>
        <n v="435905720"/>
        <n v="436146813"/>
        <n v="436708775"/>
        <n v="436810150"/>
        <n v="439440173"/>
        <n v="442803185"/>
        <n v="443122063"/>
        <n v="444283148"/>
        <n v="444741678"/>
        <n v="449565971"/>
        <n v="450802625"/>
        <n v="451370760"/>
        <n v="451672959"/>
        <n v="456011133"/>
        <n v="456938795"/>
        <n v="456991268"/>
        <n v="462041285"/>
        <n v="463490816"/>
        <n v="465129556"/>
        <n v="473836321"/>
        <n v="477530575"/>
        <n v="479443859"/>
        <n v="489550594"/>
        <n v="504485947"/>
        <n v="504616557"/>
        <n v="506376144"/>
        <n v="510343315"/>
        <n v="514281302"/>
        <n v="517257111"/>
        <n v="518003528"/>
        <n v="519344385"/>
        <n v="520878186"/>
        <n v="520983662"/>
        <n v="521176626"/>
        <n v="521975784"/>
        <n v="528370730"/>
        <n v="528464239"/>
        <n v="530427277"/>
        <n v="532829709"/>
        <n v="533095576"/>
        <n v="533683966"/>
        <n v="541627934"/>
        <n v="541793879"/>
        <n v="545325951"/>
        <n v="546625357"/>
        <n v="552983198"/>
        <n v="555252560"/>
        <n v="557669757"/>
        <n v="562081439"/>
        <n v="562674158"/>
        <n v="565039164"/>
        <n v="566307385"/>
        <n v="568667286"/>
        <n v="570647769"/>
        <n v="574243448"/>
        <n v="575607062"/>
        <n v="576932159"/>
        <n v="577206871"/>
        <n v="580596045"/>
        <n v="581562171"/>
        <n v="584491558"/>
        <n v="584756650"/>
        <n v="584773077"/>
        <n v="588966456"/>
        <n v="590726114"/>
        <n v="591820307"/>
        <n v="594748661"/>
        <n v="595907557"/>
        <n v="598023768"/>
        <n v="598788741"/>
        <n v="599248614"/>
        <n v="600719151"/>
        <n v="605183277"/>
        <n v="607526891"/>
        <n v="610494398"/>
        <n v="610627311"/>
        <n v="614993268"/>
        <n v="614998384"/>
        <n v="615728687"/>
        <n v="617395235"/>
        <n v="620327715"/>
        <n v="624088487"/>
        <n v="624099375"/>
        <n v="626542360"/>
        <n v="626913520"/>
        <n v="627342555"/>
        <n v="633076417"/>
        <n v="633403531"/>
        <n v="638434523"/>
        <n v="639131957"/>
        <n v="640123648"/>
        <n v="641119048"/>
        <n v="641305255"/>
        <n v="643498564"/>
        <n v="645186292"/>
        <n v="645353879"/>
        <n v="648280658"/>
        <n v="650742441"/>
        <n v="651886716"/>
        <n v="654053361"/>
        <n v="656475583"/>
        <n v="657190718"/>
        <n v="658397103"/>
        <n v="659681361"/>
        <n v="660123680"/>
        <n v="660698209"/>
        <n v="662023731"/>
        <n v="664736641"/>
        <n v="668891122"/>
        <n v="669242919"/>
        <n v="671023901"/>
        <n v="673402906"/>
        <n v="677454723"/>
        <n v="677712959"/>
        <n v="684090700"/>
        <n v="684892467"/>
        <n v="685204881"/>
        <n v="692664246"/>
        <n v="693799097"/>
        <n v="694083165"/>
        <n v="697726104"/>
        <n v="697976119"/>
        <n v="698223033"/>
        <n v="699087663"/>
        <n v="700181477"/>
        <n v="700541385"/>
        <n v="703431289"/>
        <n v="703616179"/>
        <n v="704744133"/>
        <n v="705114018"/>
        <n v="706837391"/>
        <n v="709961115"/>
        <n v="712377184"/>
        <n v="720911569"/>
        <n v="724481985"/>
        <n v="725840263"/>
        <n v="727762641"/>
        <n v="738339248"/>
        <n v="738522812"/>
        <n v="753709532"/>
        <n v="755886033"/>
        <n v="770712125"/>
        <n v="772317707"/>
        <n v="775824209"/>
        <n v="776175313"/>
        <n v="779115053"/>
        <n v="781522627"/>
        <n v="783085485"/>
        <n v="784411328"/>
        <n v="788532281"/>
        <n v="792411691"/>
        <n v="801469852"/>
        <n v="804155207"/>
        <n v="810940379"/>
        <n v="824511947"/>
        <n v="855627041"/>
        <n v="961036534"/>
        <n v="983873218"/>
        <n v="1015828674"/>
        <n v="1134855622"/>
        <n v="1145311433"/>
        <n v="1147643565"/>
        <n v="1156190322"/>
        <n v="1157260381"/>
        <n v="1160881373"/>
        <n v="1178502389"/>
        <n v="1240876462"/>
        <n v="1259813845"/>
        <n v="1263059819"/>
        <n v="1315593737"/>
        <n v="1389195339"/>
        <n v="1402559804"/>
        <n v="1427407489"/>
        <n v="1427711067"/>
        <n v="1514564607"/>
        <n v="1515427210"/>
        <n v="1526294968"/>
        <n v="1531925828"/>
        <n v="1552692458"/>
        <n v="1570785275"/>
        <n v="1578038962"/>
        <n v="1589431413"/>
        <n v="1594711194"/>
        <n v="1595605738"/>
        <n v="1601512501"/>
        <n v="1653753941"/>
        <n v="1671075574"/>
        <n v="1672591854"/>
        <n v="1679941524"/>
        <n v="1700142358"/>
        <n v="1718381856"/>
        <n v="1766647791"/>
        <n v="1777013242"/>
        <n v="1777715792"/>
        <n v="1781209328"/>
        <n v="1792402577"/>
        <n v="1832883982"/>
        <n v="1851720206"/>
        <n v="1854674784"/>
        <n v="1878837828"/>
        <n v="1886242279"/>
        <n v="1909221818"/>
        <n v="1979424568"/>
        <n v="2004489811"/>
        <n v="2093292481"/>
        <n v="2152831226"/>
        <n v="2193242407"/>
        <n v="2210573150"/>
        <n v="2221142056"/>
        <n v="2254669772"/>
        <n v="2274980694"/>
        <n v="2285862127"/>
        <n v="2310140209"/>
        <n v="2378716541"/>
        <n v="2399226214"/>
        <n v="2446360451"/>
        <n v="2493557840"/>
        <n v="2651615915"/>
        <n v="2696171591"/>
        <n v="2781284080"/>
        <n v="2869050103"/>
        <n v="2884933383"/>
        <n v="2923476477"/>
        <n v="3055161236"/>
        <n v="3284443601"/>
        <n v="3308197995"/>
        <n v="3728658151"/>
        <n v="4445979630"/>
        <n v="4684887569"/>
        <n v="5251393337"/>
        <n v="13455013466"/>
      </sharedItems>
    </cacheField>
    <cacheField name="175萬[含]-200萬[筆數]" uniqueList="1" numFmtId="0" sqlType="0" hierarchy="0" level="0" databaseField="1">
      <sharedItems count="517" containsInteger="1" containsNumber="1" containsSemiMixedTypes="0" containsString="0" minValue="8882" maxValue="329839">
        <n v="8882"/>
        <n v="9905"/>
        <n v="10132"/>
        <n v="10158"/>
        <n v="10888"/>
        <n v="11033"/>
        <n v="11114"/>
        <n v="11166"/>
        <n v="11326"/>
        <n v="11384"/>
        <n v="11456"/>
        <n v="11576"/>
        <n v="11826"/>
        <n v="11859"/>
        <n v="11892"/>
        <n v="11932"/>
        <n v="12067"/>
        <n v="12118"/>
        <n v="12121"/>
        <n v="12140"/>
        <n v="12438"/>
        <n v="12465"/>
        <n v="12471"/>
        <n v="12673"/>
        <n v="12780"/>
        <n v="12848"/>
        <n v="12941"/>
        <n v="13062"/>
        <n v="13113"/>
        <n v="13115"/>
        <n v="13146"/>
        <n v="13221"/>
        <n v="13306"/>
        <n v="13363"/>
        <n v="13412"/>
        <n v="13441"/>
        <n v="13548"/>
        <n v="13604"/>
        <n v="13619"/>
        <n v="13716"/>
        <n v="13743"/>
        <n v="13765"/>
        <n v="13776"/>
        <n v="13803"/>
        <n v="14001"/>
        <n v="14096"/>
        <n v="14099"/>
        <n v="14273"/>
        <n v="14374"/>
        <n v="14392"/>
        <n v="14456"/>
        <n v="14544"/>
        <n v="14569"/>
        <n v="14599"/>
        <n v="14698"/>
        <n v="14713"/>
        <n v="14724"/>
        <n v="14980"/>
        <n v="15169"/>
        <n v="15479"/>
        <n v="15560"/>
        <n v="15573"/>
        <n v="15580"/>
        <n v="15618"/>
        <n v="15762"/>
        <n v="15767"/>
        <n v="15813"/>
        <n v="15817"/>
        <n v="16141"/>
        <n v="16997"/>
        <n v="17494"/>
        <n v="17866"/>
        <n v="19294"/>
        <n v="19331"/>
        <n v="19393"/>
        <n v="19566"/>
        <n v="20188"/>
        <n v="20790"/>
        <n v="21079"/>
        <n v="21175"/>
        <n v="21345"/>
        <n v="21454"/>
        <n v="21661"/>
        <n v="21740"/>
        <n v="21918"/>
        <n v="22181"/>
        <n v="22186"/>
        <n v="22238"/>
        <n v="22241"/>
        <n v="22369"/>
        <n v="22411"/>
        <n v="22760"/>
        <n v="22780"/>
        <n v="22807"/>
        <n v="22926"/>
        <n v="23020"/>
        <n v="23057"/>
        <n v="23164"/>
        <n v="23190"/>
        <n v="23191"/>
        <n v="23244"/>
        <n v="23311"/>
        <n v="23535"/>
        <n v="23848"/>
        <n v="23900"/>
        <n v="23936"/>
        <n v="23962"/>
        <n v="24181"/>
        <n v="24427"/>
        <n v="24447"/>
        <n v="24549"/>
        <n v="24565"/>
        <n v="24665"/>
        <n v="24768"/>
        <n v="24806"/>
        <n v="24942"/>
        <n v="24980"/>
        <n v="25013"/>
        <n v="25095"/>
        <n v="25153"/>
        <n v="25281"/>
        <n v="25306"/>
        <n v="25319"/>
        <n v="25491"/>
        <n v="25508"/>
        <n v="25531"/>
        <n v="25553"/>
        <n v="25589"/>
        <n v="25770"/>
        <n v="25785"/>
        <n v="25814"/>
        <n v="25851"/>
        <n v="26112"/>
        <n v="26267"/>
        <n v="26406"/>
        <n v="27069"/>
        <n v="27170"/>
        <n v="27777"/>
        <n v="28362"/>
        <n v="28839"/>
        <n v="29316"/>
        <n v="30113"/>
        <n v="31164"/>
        <n v="31323"/>
        <n v="31903"/>
        <n v="32154"/>
        <n v="32624"/>
        <n v="35256"/>
        <n v="35782"/>
        <n v="37069"/>
        <n v="37180"/>
        <n v="37190"/>
        <n v="38377"/>
        <n v="39194"/>
        <n v="40051"/>
        <n v="40204"/>
        <n v="40541"/>
        <n v="41987"/>
        <n v="42870"/>
        <n v="42911"/>
        <n v="43282"/>
        <n v="44169"/>
        <n v="44207"/>
        <n v="44269"/>
        <n v="44663"/>
        <n v="44758"/>
        <n v="44869"/>
        <n v="45130"/>
        <n v="45216"/>
        <n v="45502"/>
        <n v="45577"/>
        <n v="45598"/>
        <n v="46528"/>
        <n v="46622"/>
        <n v="46671"/>
        <n v="46693"/>
        <n v="46913"/>
        <n v="46944"/>
        <n v="46960"/>
        <n v="46977"/>
        <n v="47013"/>
        <n v="47566"/>
        <n v="47752"/>
        <n v="47974"/>
        <n v="47981"/>
        <n v="48270"/>
        <n v="48291"/>
        <n v="48315"/>
        <n v="48367"/>
        <n v="48532"/>
        <n v="48589"/>
        <n v="48628"/>
        <n v="48672"/>
        <n v="48835"/>
        <n v="49478"/>
        <n v="49498"/>
        <n v="49741"/>
        <n v="49826"/>
        <n v="50138"/>
        <n v="50185"/>
        <n v="50204"/>
        <n v="50321"/>
        <n v="50358"/>
        <n v="50620"/>
        <n v="50647"/>
        <n v="50919"/>
        <n v="51340"/>
        <n v="51363"/>
        <n v="51462"/>
        <n v="51633"/>
        <n v="51789"/>
        <n v="52512"/>
        <n v="52624"/>
        <n v="52675"/>
        <n v="52692"/>
        <n v="52739"/>
        <n v="53068"/>
        <n v="53247"/>
        <n v="53474"/>
        <n v="54176"/>
        <n v="54603"/>
        <n v="54653"/>
        <n v="54745"/>
        <n v="54976"/>
        <n v="55584"/>
        <n v="55627"/>
        <n v="55725"/>
        <n v="55737"/>
        <n v="55816"/>
        <n v="56151"/>
        <n v="56183"/>
        <n v="56575"/>
        <n v="56608"/>
        <n v="56727"/>
        <n v="57172"/>
        <n v="57722"/>
        <n v="57907"/>
        <n v="58045"/>
        <n v="58116"/>
        <n v="58131"/>
        <n v="58250"/>
        <n v="58377"/>
        <n v="58875"/>
        <n v="59060"/>
        <n v="59248"/>
        <n v="59433"/>
        <n v="59754"/>
        <n v="60263"/>
        <n v="60345"/>
        <n v="61583"/>
        <n v="61716"/>
        <n v="61723"/>
        <n v="61769"/>
        <n v="62342"/>
        <n v="62828"/>
        <n v="62882"/>
        <n v="63240"/>
        <n v="63965"/>
        <n v="64148"/>
        <n v="64206"/>
        <n v="64234"/>
        <n v="64301"/>
        <n v="64424"/>
        <n v="64573"/>
        <n v="64857"/>
        <n v="65053"/>
        <n v="65077"/>
        <n v="65386"/>
        <n v="66057"/>
        <n v="66060"/>
        <n v="66122"/>
        <n v="66487"/>
        <n v="67027"/>
        <n v="67185"/>
        <n v="67244"/>
        <n v="67687"/>
        <n v="67770"/>
        <n v="67944"/>
        <n v="68156"/>
        <n v="68362"/>
        <n v="68823"/>
        <n v="68829"/>
        <n v="69058"/>
        <n v="69489"/>
        <n v="70734"/>
        <n v="71678"/>
        <n v="72869"/>
        <n v="75749"/>
        <n v="79201"/>
        <n v="80427"/>
        <n v="81873"/>
        <n v="85691"/>
        <n v="86617"/>
        <n v="89086"/>
        <n v="90065"/>
        <n v="91810"/>
        <n v="93171"/>
        <n v="93257"/>
        <n v="94787"/>
        <n v="96183"/>
        <n v="96796"/>
        <n v="99264"/>
        <n v="99515"/>
        <n v="100519"/>
        <n v="100932"/>
        <n v="101096"/>
        <n v="101908"/>
        <n v="102414"/>
        <n v="102523"/>
        <n v="103491"/>
        <n v="103565"/>
        <n v="103666"/>
        <n v="103847"/>
        <n v="103913"/>
        <n v="104281"/>
        <n v="104981"/>
        <n v="105138"/>
        <n v="106455"/>
        <n v="107202"/>
        <n v="107344"/>
        <n v="108332"/>
        <n v="108583"/>
        <n v="108944"/>
        <n v="109009"/>
        <n v="110172"/>
        <n v="110897"/>
        <n v="111102"/>
        <n v="111227"/>
        <n v="111774"/>
        <n v="111886"/>
        <n v="112879"/>
        <n v="112977"/>
        <n v="113077"/>
        <n v="113440"/>
        <n v="114284"/>
        <n v="114462"/>
        <n v="114702"/>
        <n v="114791"/>
        <n v="115337"/>
        <n v="115348"/>
        <n v="116782"/>
        <n v="116820"/>
        <n v="117994"/>
        <n v="118080"/>
        <n v="118491"/>
        <n v="119181"/>
        <n v="119264"/>
        <n v="120225"/>
        <n v="121537"/>
        <n v="121597"/>
        <n v="121860"/>
        <n v="122284"/>
        <n v="122305"/>
        <n v="122406"/>
        <n v="122952"/>
        <n v="123157"/>
        <n v="123278"/>
        <n v="123406"/>
        <n v="123708"/>
        <n v="123712"/>
        <n v="123898"/>
        <n v="124795"/>
        <n v="125873"/>
        <n v="125987"/>
        <n v="126041"/>
        <n v="126457"/>
        <n v="126585"/>
        <n v="126675"/>
        <n v="126927"/>
        <n v="127223"/>
        <n v="127303"/>
        <n v="127405"/>
        <n v="127474"/>
        <n v="127712"/>
        <n v="127787"/>
        <n v="127833"/>
        <n v="128045"/>
        <n v="128547"/>
        <n v="129071"/>
        <n v="130159"/>
        <n v="130713"/>
        <n v="131187"/>
        <n v="131804"/>
        <n v="132555"/>
        <n v="132986"/>
        <n v="133681"/>
        <n v="134246"/>
        <n v="134282"/>
        <n v="134307"/>
        <n v="134788"/>
        <n v="134797"/>
        <n v="135115"/>
        <n v="135649"/>
        <n v="136147"/>
        <n v="137367"/>
        <n v="137390"/>
        <n v="137793"/>
        <n v="138236"/>
        <n v="138673"/>
        <n v="138708"/>
        <n v="138965"/>
        <n v="139712"/>
        <n v="140018"/>
        <n v="140245"/>
        <n v="142104"/>
        <n v="142218"/>
        <n v="142559"/>
        <n v="142830"/>
        <n v="143602"/>
        <n v="144713"/>
        <n v="144789"/>
        <n v="145243"/>
        <n v="145446"/>
        <n v="145757"/>
        <n v="146202"/>
        <n v="146703"/>
        <n v="146955"/>
        <n v="147179"/>
        <n v="147546"/>
        <n v="148173"/>
        <n v="148692"/>
        <n v="149363"/>
        <n v="149529"/>
        <n v="149675"/>
        <n v="150083"/>
        <n v="150896"/>
        <n v="151107"/>
        <n v="151378"/>
        <n v="151667"/>
        <n v="151852"/>
        <n v="151998"/>
        <n v="152281"/>
        <n v="152919"/>
        <n v="153477"/>
        <n v="153972"/>
        <n v="154200"/>
        <n v="155324"/>
        <n v="155578"/>
        <n v="156186"/>
        <n v="156498"/>
        <n v="156879"/>
        <n v="157160"/>
        <n v="157661"/>
        <n v="158009"/>
        <n v="159257"/>
        <n v="159392"/>
        <n v="159782"/>
        <n v="160004"/>
        <n v="160586"/>
        <n v="160965"/>
        <n v="161685"/>
        <n v="163094"/>
        <n v="163666"/>
        <n v="164275"/>
        <n v="165143"/>
        <n v="166749"/>
        <n v="168167"/>
        <n v="168408"/>
        <n v="168919"/>
        <n v="168963"/>
        <n v="169273"/>
        <n v="169400"/>
        <n v="169724"/>
        <n v="171819"/>
        <n v="171917"/>
        <n v="172497"/>
        <n v="173879"/>
        <n v="173945"/>
        <n v="175042"/>
        <n v="175081"/>
        <n v="176488"/>
        <n v="176888"/>
        <n v="178180"/>
        <n v="179046"/>
        <n v="182310"/>
        <n v="183648"/>
        <n v="186174"/>
        <n v="186307"/>
        <n v="191595"/>
        <n v="193355"/>
        <n v="193616"/>
        <n v="197904"/>
        <n v="198842"/>
        <n v="199526"/>
        <n v="199731"/>
        <n v="200123"/>
        <n v="201222"/>
        <n v="203914"/>
        <n v="204051"/>
        <n v="205019"/>
        <n v="208057"/>
        <n v="211979"/>
        <n v="218131"/>
        <n v="219659"/>
        <n v="221105"/>
        <n v="221722"/>
        <n v="221870"/>
        <n v="221914"/>
        <n v="223294"/>
        <n v="224226"/>
        <n v="226951"/>
        <n v="229000"/>
        <n v="232204"/>
        <n v="235525"/>
        <n v="235839"/>
        <n v="237084"/>
        <n v="241529"/>
        <n v="242779"/>
        <n v="247507"/>
        <n v="263557"/>
        <n v="287023"/>
        <n v="290731"/>
        <n v="292696"/>
        <n v="299843"/>
        <n v="304128"/>
        <n v="312481"/>
        <n v="329839"/>
      </sharedItems>
    </cacheField>
    <cacheField name="175萬[含]-200萬[金額，新台幣]" uniqueList="1" numFmtId="0" sqlType="0" hierarchy="0" level="0" databaseField="1">
      <sharedItems count="518" containsInteger="1" containsNumber="1" containsSemiMixedTypes="0" containsString="0" minValue="36544844" maxValue="15237261734">
        <n v="36544844"/>
        <n v="39399593"/>
        <n v="39918531"/>
        <n v="40728589"/>
        <n v="41522843"/>
        <n v="41952851"/>
        <n v="42157311"/>
        <n v="42414567"/>
        <n v="43177307"/>
        <n v="43767879"/>
        <n v="43780925"/>
        <n v="43815806"/>
        <n v="43850667"/>
        <n v="43889333"/>
        <n v="45236557"/>
        <n v="45307613"/>
        <n v="45443906"/>
        <n v="45571148"/>
        <n v="45850520"/>
        <n v="45855157"/>
        <n v="46557899"/>
        <n v="46764422"/>
        <n v="47037010"/>
        <n v="47381422"/>
        <n v="47551479"/>
        <n v="47624612"/>
        <n v="47653074"/>
        <n v="47678739"/>
        <n v="47734979"/>
        <n v="47979886"/>
        <n v="48147924"/>
        <n v="48336520"/>
        <n v="48447481"/>
        <n v="48578823"/>
        <n v="48776619"/>
        <n v="48897187"/>
        <n v="49914994"/>
        <n v="50008269"/>
        <n v="50113162"/>
        <n v="50245870"/>
        <n v="50637211"/>
        <n v="50862556"/>
        <n v="50899251"/>
        <n v="51156034"/>
        <n v="51368944"/>
        <n v="51584531"/>
        <n v="51682885"/>
        <n v="51971737"/>
        <n v="52239197"/>
        <n v="52421976"/>
        <n v="52478838"/>
        <n v="53363138"/>
        <n v="53456383"/>
        <n v="53545608"/>
        <n v="53548219"/>
        <n v="53768600"/>
        <n v="54401497"/>
        <n v="54847000"/>
        <n v="55059239"/>
        <n v="55210941"/>
        <n v="55921116"/>
        <n v="56677381"/>
        <n v="56754352"/>
        <n v="57266208"/>
        <n v="57397327"/>
        <n v="60147530"/>
        <n v="60687798"/>
        <n v="62980881"/>
        <n v="63527874"/>
        <n v="64223308"/>
        <n v="65096760"/>
        <n v="69004974"/>
        <n v="69728904"/>
        <n v="70210139"/>
        <n v="109312276"/>
        <n v="120302298"/>
        <n v="121883639"/>
        <n v="122419381"/>
        <n v="123072818"/>
        <n v="123327619"/>
        <n v="124918230"/>
        <n v="126280691"/>
        <n v="128389916"/>
        <n v="128539306"/>
        <n v="131097118"/>
        <n v="132321307"/>
        <n v="132524947"/>
        <n v="133179822"/>
        <n v="133404475"/>
        <n v="133576513"/>
        <n v="134732300"/>
        <n v="135322211"/>
        <n v="135974280"/>
        <n v="136328679"/>
        <n v="137281260"/>
        <n v="137886564"/>
        <n v="137943240"/>
        <n v="138016892"/>
        <n v="138520141"/>
        <n v="138601497"/>
        <n v="138808971"/>
        <n v="139138109"/>
        <n v="140781256"/>
        <n v="141329851"/>
        <n v="141754871"/>
        <n v="141913186"/>
        <n v="142262948"/>
        <n v="142368704"/>
        <n v="142815544"/>
        <n v="142948648"/>
        <n v="143221223"/>
        <n v="143787126"/>
        <n v="143803568"/>
        <n v="143896246"/>
        <n v="144082876"/>
        <n v="144227591"/>
        <n v="144321149"/>
        <n v="144466224"/>
        <n v="144726260"/>
        <n v="145288841"/>
        <n v="146637003"/>
        <n v="146666416"/>
        <n v="147221360"/>
        <n v="147236296"/>
        <n v="147467862"/>
        <n v="147536426"/>
        <n v="148053793"/>
        <n v="148186375"/>
        <n v="148488365"/>
        <n v="148491082"/>
        <n v="148562227"/>
        <n v="149403640"/>
        <n v="150254150"/>
        <n v="150966801"/>
        <n v="151111554"/>
        <n v="151341575"/>
        <n v="151762725"/>
        <n v="151875368"/>
        <n v="151908434"/>
        <n v="152069905"/>
        <n v="152208508"/>
        <n v="153088679"/>
        <n v="153308866"/>
        <n v="153385986"/>
        <n v="153507229"/>
        <n v="153579854"/>
        <n v="153616799"/>
        <n v="153781106"/>
        <n v="153874250"/>
        <n v="154008479"/>
        <n v="154887665"/>
        <n v="155095227"/>
        <n v="155168753"/>
        <n v="155264364"/>
        <n v="155886014"/>
        <n v="156039246"/>
        <n v="156344207"/>
        <n v="156430710"/>
        <n v="156626498"/>
        <n v="157636891"/>
        <n v="159083121"/>
        <n v="159257104"/>
        <n v="160038499"/>
        <n v="160515105"/>
        <n v="160831422"/>
        <n v="160971263"/>
        <n v="161043423"/>
        <n v="161149308"/>
        <n v="161282070"/>
        <n v="161307077"/>
        <n v="161642915"/>
        <n v="162222774"/>
        <n v="162363387"/>
        <n v="162858150"/>
        <n v="162968450"/>
        <n v="162998865"/>
        <n v="164528556"/>
        <n v="164938383"/>
        <n v="165328468"/>
        <n v="166101723"/>
        <n v="166567380"/>
        <n v="166787702"/>
        <n v="168124502"/>
        <n v="168990861"/>
        <n v="169134233"/>
        <n v="169668867"/>
        <n v="171776885"/>
        <n v="172544980"/>
        <n v="172939077"/>
        <n v="175729598"/>
        <n v="177290728"/>
        <n v="177313493"/>
        <n v="177440854"/>
        <n v="177527044"/>
        <n v="177675311"/>
        <n v="179480203"/>
        <n v="179740314"/>
        <n v="180358218"/>
        <n v="181051405"/>
        <n v="181278682"/>
        <n v="182828010"/>
        <n v="183374293"/>
        <n v="183604953"/>
        <n v="184027664"/>
        <n v="184088386"/>
        <n v="184205061"/>
        <n v="184579738"/>
        <n v="185317855"/>
        <n v="186397233"/>
        <n v="187676700"/>
        <n v="188312200"/>
        <n v="189092401"/>
        <n v="190214567"/>
        <n v="190223291"/>
        <n v="190323806"/>
        <n v="190546025"/>
        <n v="191521427"/>
        <n v="192767625"/>
        <n v="193308207"/>
        <n v="193847588"/>
        <n v="194544116"/>
        <n v="195385895"/>
        <n v="195666334"/>
        <n v="197100589"/>
        <n v="197530429"/>
        <n v="198129813"/>
        <n v="198583923"/>
        <n v="199212595"/>
        <n v="199568822"/>
        <n v="199701060"/>
        <n v="200251390"/>
        <n v="200324636"/>
        <n v="201847280"/>
        <n v="202274788"/>
        <n v="202950555"/>
        <n v="204187860"/>
        <n v="204383944"/>
        <n v="204775883"/>
        <n v="205059000"/>
        <n v="206175756"/>
        <n v="207811204"/>
        <n v="207846567"/>
        <n v="207860889"/>
        <n v="208937669"/>
        <n v="209510280"/>
        <n v="209860758"/>
        <n v="211240384"/>
        <n v="212353487"/>
        <n v="212826635"/>
        <n v="212896514"/>
        <n v="213238318"/>
        <n v="213239143"/>
        <n v="213907421"/>
        <n v="214439254"/>
        <n v="215094475"/>
        <n v="215784397"/>
        <n v="216849768"/>
        <n v="217807573"/>
        <n v="218226330"/>
        <n v="220397719"/>
        <n v="220570144"/>
        <n v="221731538"/>
        <n v="221925889"/>
        <n v="222818698"/>
        <n v="223885275"/>
        <n v="225203239"/>
        <n v="226548279"/>
        <n v="227075621"/>
        <n v="227163829"/>
        <n v="227646759"/>
        <n v="227650822"/>
        <n v="228260968"/>
        <n v="229295253"/>
        <n v="231450243"/>
        <n v="231931067"/>
        <n v="232157161"/>
        <n v="232280498"/>
        <n v="232809715"/>
        <n v="234245593"/>
        <n v="235446297"/>
        <n v="237154297"/>
        <n v="237687719"/>
        <n v="237812581"/>
        <n v="238493639"/>
        <n v="238791567"/>
        <n v="239088340"/>
        <n v="239240655"/>
        <n v="239817610"/>
        <n v="240203814"/>
        <n v="241658820"/>
        <n v="244622184"/>
        <n v="245114819"/>
        <n v="247185840"/>
        <n v="247629559"/>
        <n v="247800918"/>
        <n v="248465658"/>
        <n v="248778869"/>
        <n v="250571952"/>
        <n v="251683614"/>
        <n v="251694463"/>
        <n v="253094863"/>
        <n v="255642700"/>
        <n v="257748587"/>
        <n v="257921033"/>
        <n v="258559934"/>
        <n v="259092670"/>
        <n v="259119093"/>
        <n v="259889759"/>
        <n v="261506408"/>
        <n v="261548035"/>
        <n v="266240383"/>
        <n v="267562899"/>
        <n v="269915718"/>
        <n v="273191583"/>
        <n v="273344133"/>
        <n v="273869391"/>
        <n v="274403384"/>
        <n v="274671859"/>
        <n v="275367784"/>
        <n v="276137641"/>
        <n v="277954394"/>
        <n v="279578158"/>
        <n v="281134506"/>
        <n v="286750572"/>
        <n v="287421043"/>
        <n v="289707744"/>
        <n v="292375435"/>
        <n v="293139460"/>
        <n v="293228186"/>
        <n v="293912005"/>
        <n v="295416269"/>
        <n v="297379508"/>
        <n v="299641561"/>
        <n v="300296077"/>
        <n v="302597728"/>
        <n v="302765704"/>
        <n v="305028909"/>
        <n v="306066033"/>
        <n v="307026788"/>
        <n v="307100461"/>
        <n v="307435035"/>
        <n v="307722925"/>
        <n v="310020345"/>
        <n v="310342189"/>
        <n v="312051998"/>
        <n v="313613596"/>
        <n v="314519749"/>
        <n v="314539752"/>
        <n v="316987491"/>
        <n v="317519030"/>
        <n v="317963399"/>
        <n v="319755476"/>
        <n v="319982596"/>
        <n v="320279256"/>
        <n v="321317209"/>
        <n v="322431237"/>
        <n v="322934708"/>
        <n v="330717599"/>
        <n v="332329300"/>
        <n v="334405111"/>
        <n v="337019874"/>
        <n v="337893058"/>
        <n v="338264531"/>
        <n v="339259250"/>
        <n v="344940804"/>
        <n v="345476850"/>
        <n v="345540922"/>
        <n v="345627751"/>
        <n v="346879755"/>
        <n v="347256823"/>
        <n v="348380588"/>
        <n v="350651646"/>
        <n v="351759459"/>
        <n v="353814320"/>
        <n v="353874232"/>
        <n v="354759831"/>
        <n v="355442875"/>
        <n v="355495101"/>
        <n v="356335227"/>
        <n v="356638521"/>
        <n v="358279967"/>
        <n v="358888357"/>
        <n v="359645463"/>
        <n v="361270572"/>
        <n v="363012531"/>
        <n v="364271801"/>
        <n v="365446385"/>
        <n v="365782678"/>
        <n v="365990594"/>
        <n v="366124153"/>
        <n v="366631773"/>
        <n v="368105913"/>
        <n v="372235662"/>
        <n v="373666499"/>
        <n v="374672994"/>
        <n v="376079525"/>
        <n v="379392899"/>
        <n v="380110514"/>
        <n v="381106720"/>
        <n v="381677153"/>
        <n v="381683827"/>
        <n v="381736043"/>
        <n v="383306227"/>
        <n v="387306476"/>
        <n v="388350626"/>
        <n v="390372900"/>
        <n v="392595421"/>
        <n v="393313950"/>
        <n v="395579186"/>
        <n v="396495318"/>
        <n v="397764963"/>
        <n v="398602492"/>
        <n v="399514347"/>
        <n v="401133239"/>
        <n v="403006188"/>
        <n v="403046605"/>
        <n v="403179788"/>
        <n v="404637772"/>
        <n v="405962195"/>
        <n v="407506497"/>
        <n v="408539544"/>
        <n v="410863641"/>
        <n v="411030454"/>
        <n v="415036912"/>
        <n v="418471389"/>
        <n v="419949915"/>
        <n v="422118618"/>
        <n v="425349249"/>
        <n v="425980314"/>
        <n v="428830272"/>
        <n v="430674700"/>
        <n v="430680680"/>
        <n v="431470249"/>
        <n v="434952337"/>
        <n v="435047633"/>
        <n v="438900675"/>
        <n v="439065325"/>
        <n v="442111829"/>
        <n v="447900522"/>
        <n v="452471916"/>
        <n v="469445302"/>
        <n v="474734992"/>
        <n v="477841488"/>
        <n v="489349740"/>
        <n v="496969356"/>
        <n v="515790411"/>
        <n v="564479690"/>
        <n v="565955676"/>
        <n v="570811595"/>
        <n v="579965338"/>
        <n v="582502858"/>
        <n v="583956185"/>
        <n v="595067223"/>
        <n v="597770812"/>
        <n v="600137236"/>
        <n v="620803071"/>
        <n v="652928095"/>
        <n v="686035654"/>
        <n v="702747168"/>
        <n v="705242273"/>
        <n v="720019764"/>
        <n v="722190466"/>
        <n v="728428643"/>
        <n v="731543846"/>
        <n v="745576999"/>
        <n v="748316444"/>
        <n v="769314873"/>
        <n v="786331296"/>
        <n v="790909751"/>
        <n v="794511123"/>
        <n v="795873117"/>
        <n v="811418041"/>
        <n v="817903318"/>
        <n v="840872933"/>
        <n v="847233968"/>
        <n v="848554085"/>
        <n v="849105378"/>
        <n v="882496769"/>
        <n v="895015835"/>
        <n v="901535985"/>
        <n v="903336808"/>
        <n v="916770337"/>
        <n v="949185634"/>
        <n v="950173986"/>
        <n v="963711935"/>
        <n v="978534806"/>
        <n v="981362337"/>
        <n v="998887521"/>
        <n v="1008515614"/>
        <n v="1024888923"/>
        <n v="1071996335"/>
        <n v="1107770252"/>
        <n v="1125032438"/>
        <n v="1156675506"/>
        <n v="1169643826"/>
        <n v="1171753552"/>
        <n v="1172141882"/>
        <n v="1178474926"/>
        <n v="1233145422"/>
        <n v="1239759090"/>
        <n v="1247685277"/>
        <n v="1270552142"/>
        <n v="1277371169"/>
        <n v="1279694862"/>
        <n v="1331305351"/>
        <n v="1360050750"/>
        <n v="1386658823"/>
        <n v="1445813369"/>
        <n v="1459546259"/>
        <n v="1573391146"/>
        <n v="1618776907"/>
        <n v="1711831117"/>
        <n v="2400904461"/>
        <n v="3073764291"/>
        <n v="3740355008"/>
        <n v="4498318072"/>
        <n v="4969748408"/>
        <n v="15237261734"/>
      </sharedItems>
    </cacheField>
    <cacheField name="200萬[含]以上[筆數]" uniqueList="1" numFmtId="0" sqlType="0" hierarchy="0" level="0" databaseField="1">
      <sharedItems count="518" containsInteger="1" containsNumber="1" containsSemiMixedTypes="0" containsString="0" minValue="39037" maxValue="1160019">
        <n v="39037"/>
        <n v="44153"/>
        <n v="44581"/>
        <n v="44981"/>
        <n v="45168"/>
        <n v="45498"/>
        <n v="46842"/>
        <n v="48089"/>
        <n v="48108"/>
        <n v="48119"/>
        <n v="48374"/>
        <n v="48421"/>
        <n v="48819"/>
        <n v="48889"/>
        <n v="48945"/>
        <n v="49154"/>
        <n v="49622"/>
        <n v="50030"/>
        <n v="50512"/>
        <n v="51283"/>
        <n v="51356"/>
        <n v="51371"/>
        <n v="51649"/>
        <n v="51691"/>
        <n v="52091"/>
        <n v="52393"/>
        <n v="52626"/>
        <n v="52636"/>
        <n v="53668"/>
        <n v="54113"/>
        <n v="54128"/>
        <n v="54312"/>
        <n v="54619"/>
        <n v="54691"/>
        <n v="55532"/>
        <n v="55713"/>
        <n v="55952"/>
        <n v="56000"/>
        <n v="56016"/>
        <n v="56255"/>
        <n v="56555"/>
        <n v="56617"/>
        <n v="56835"/>
        <n v="57206"/>
        <n v="57262"/>
        <n v="57560"/>
        <n v="57729"/>
        <n v="57829"/>
        <n v="57883"/>
        <n v="58130"/>
        <n v="58835"/>
        <n v="59102"/>
        <n v="59676"/>
        <n v="59775"/>
        <n v="60050"/>
        <n v="60702"/>
        <n v="60864"/>
        <n v="61097"/>
        <n v="61153"/>
        <n v="62886"/>
        <n v="63701"/>
        <n v="63865"/>
        <n v="63892"/>
        <n v="64063"/>
        <n v="64369"/>
        <n v="64578"/>
        <n v="64656"/>
        <n v="65156"/>
        <n v="68112"/>
        <n v="70460"/>
        <n v="70799"/>
        <n v="71438"/>
        <n v="77435"/>
        <n v="78176"/>
        <n v="89194"/>
        <n v="92372"/>
        <n v="92746"/>
        <n v="92984"/>
        <n v="93106"/>
        <n v="93195"/>
        <n v="93251"/>
        <n v="97673"/>
        <n v="98101"/>
        <n v="98388"/>
        <n v="99942"/>
        <n v="100230"/>
        <n v="100314"/>
        <n v="100393"/>
        <n v="101971"/>
        <n v="102657"/>
        <n v="103363"/>
        <n v="103546"/>
        <n v="104067"/>
        <n v="104373"/>
        <n v="105010"/>
        <n v="105669"/>
        <n v="106107"/>
        <n v="106375"/>
        <n v="107570"/>
        <n v="107890"/>
        <n v="107908"/>
        <n v="108180"/>
        <n v="108324"/>
        <n v="108671"/>
        <n v="108909"/>
        <n v="109089"/>
        <n v="109464"/>
        <n v="109737"/>
        <n v="109822"/>
        <n v="110242"/>
        <n v="110736"/>
        <n v="110886"/>
        <n v="111751"/>
        <n v="112023"/>
        <n v="112304"/>
        <n v="112894"/>
        <n v="113990"/>
        <n v="114399"/>
        <n v="114590"/>
        <n v="114771"/>
        <n v="114853"/>
        <n v="114906"/>
        <n v="115098"/>
        <n v="115225"/>
        <n v="116860"/>
        <n v="117329"/>
        <n v="117505"/>
        <n v="117767"/>
        <n v="118252"/>
        <n v="118401"/>
        <n v="118977"/>
        <n v="119684"/>
        <n v="120160"/>
        <n v="120595"/>
        <n v="120910"/>
        <n v="121103"/>
        <n v="121450"/>
        <n v="121876"/>
        <n v="124947"/>
        <n v="125168"/>
        <n v="126126"/>
        <n v="128794"/>
        <n v="134413"/>
        <n v="136081"/>
        <n v="136290"/>
        <n v="139342"/>
        <n v="140367"/>
        <n v="148402"/>
        <n v="162425"/>
        <n v="165161"/>
        <n v="167011"/>
        <n v="168680"/>
        <n v="170995"/>
        <n v="171141"/>
        <n v="175313"/>
        <n v="178913"/>
        <n v="181583"/>
        <n v="183663"/>
        <n v="183935"/>
        <n v="184465"/>
        <n v="187266"/>
        <n v="187454"/>
        <n v="189980"/>
        <n v="190005"/>
        <n v="190059"/>
        <n v="190603"/>
        <n v="190680"/>
        <n v="192469"/>
        <n v="193029"/>
        <n v="194341"/>
        <n v="196548"/>
        <n v="198676"/>
        <n v="198822"/>
        <n v="198905"/>
        <n v="198912"/>
        <n v="199288"/>
        <n v="202403"/>
        <n v="202908"/>
        <n v="204343"/>
        <n v="204389"/>
        <n v="204519"/>
        <n v="204730"/>
        <n v="205047"/>
        <n v="206106"/>
        <n v="207187"/>
        <n v="207512"/>
        <n v="207669"/>
        <n v="208303"/>
        <n v="208335"/>
        <n v="208808"/>
        <n v="209242"/>
        <n v="209672"/>
        <n v="209787"/>
        <n v="211362"/>
        <n v="212299"/>
        <n v="212522"/>
        <n v="214076"/>
        <n v="215272"/>
        <n v="216860"/>
        <n v="217137"/>
        <n v="217484"/>
        <n v="218078"/>
        <n v="219238"/>
        <n v="220091"/>
        <n v="220092"/>
        <n v="220518"/>
        <n v="221158"/>
        <n v="222141"/>
        <n v="222215"/>
        <n v="223540"/>
        <n v="224357"/>
        <n v="225531"/>
        <n v="225801"/>
        <n v="226409"/>
        <n v="226622"/>
        <n v="226991"/>
        <n v="227279"/>
        <n v="227581"/>
        <n v="228124"/>
        <n v="229385"/>
        <n v="230308"/>
        <n v="231125"/>
        <n v="231513"/>
        <n v="232229"/>
        <n v="232819"/>
        <n v="232908"/>
        <n v="234699"/>
        <n v="234799"/>
        <n v="235073"/>
        <n v="235243"/>
        <n v="235594"/>
        <n v="235774"/>
        <n v="236319"/>
        <n v="236561"/>
        <n v="237414"/>
        <n v="237982"/>
        <n v="238946"/>
        <n v="240198"/>
        <n v="241077"/>
        <n v="241642"/>
        <n v="242153"/>
        <n v="244853"/>
        <n v="245030"/>
        <n v="245857"/>
        <n v="246749"/>
        <n v="247580"/>
        <n v="248654"/>
        <n v="249190"/>
        <n v="250350"/>
        <n v="252563"/>
        <n v="256982"/>
        <n v="257188"/>
        <n v="258271"/>
        <n v="259338"/>
        <n v="259421"/>
        <n v="259824"/>
        <n v="265904"/>
        <n v="266069"/>
        <n v="266083"/>
        <n v="266370"/>
        <n v="266641"/>
        <n v="266846"/>
        <n v="267529"/>
        <n v="269389"/>
        <n v="269873"/>
        <n v="271338"/>
        <n v="272211"/>
        <n v="272903"/>
        <n v="273660"/>
        <n v="274841"/>
        <n v="275167"/>
        <n v="276657"/>
        <n v="280644"/>
        <n v="280891"/>
        <n v="281774"/>
        <n v="281983"/>
        <n v="285329"/>
        <n v="285367"/>
        <n v="287683"/>
        <n v="287903"/>
        <n v="288333"/>
        <n v="290711"/>
        <n v="290718"/>
        <n v="296522"/>
        <n v="298438"/>
        <n v="303730"/>
        <n v="304776"/>
        <n v="306209"/>
        <n v="307834"/>
        <n v="328631"/>
        <n v="330503"/>
        <n v="338994"/>
        <n v="354026"/>
        <n v="357243"/>
        <n v="357752"/>
        <n v="360474"/>
        <n v="362696"/>
        <n v="363322"/>
        <n v="369563"/>
        <n v="372914"/>
        <n v="374757"/>
        <n v="375545"/>
        <n v="379104"/>
        <n v="381326"/>
        <n v="383266"/>
        <n v="383280"/>
        <n v="388019"/>
        <n v="388141"/>
        <n v="389185"/>
        <n v="389206"/>
        <n v="389387"/>
        <n v="390404"/>
        <n v="391683"/>
        <n v="392799"/>
        <n v="396894"/>
        <n v="402237"/>
        <n v="402487"/>
        <n v="404310"/>
        <n v="404975"/>
        <n v="406067"/>
        <n v="406166"/>
        <n v="406168"/>
        <n v="408011"/>
        <n v="409721"/>
        <n v="409881"/>
        <n v="411364"/>
        <n v="414374"/>
        <n v="414783"/>
        <n v="415048"/>
        <n v="415868"/>
        <n v="418531"/>
        <n v="418578"/>
        <n v="418930"/>
        <n v="419148"/>
        <n v="419703"/>
        <n v="420895"/>
        <n v="423027"/>
        <n v="425001"/>
        <n v="426382"/>
        <n v="431169"/>
        <n v="435061"/>
        <n v="436977"/>
        <n v="438047"/>
        <n v="438646"/>
        <n v="438981"/>
        <n v="444413"/>
        <n v="444467"/>
        <n v="444540"/>
        <n v="444973"/>
        <n v="445435"/>
        <n v="448299"/>
        <n v="449268"/>
        <n v="451579"/>
        <n v="451784"/>
        <n v="453739"/>
        <n v="456146"/>
        <n v="456646"/>
        <n v="460300"/>
        <n v="461501"/>
        <n v="462659"/>
        <n v="463073"/>
        <n v="466790"/>
        <n v="467706"/>
        <n v="470167"/>
        <n v="470959"/>
        <n v="472429"/>
        <n v="475333"/>
        <n v="475540"/>
        <n v="475947"/>
        <n v="481555"/>
        <n v="482296"/>
        <n v="482859"/>
        <n v="483881"/>
        <n v="486121"/>
        <n v="487410"/>
        <n v="487607"/>
        <n v="488770"/>
        <n v="492589"/>
        <n v="493668"/>
        <n v="494630"/>
        <n v="496204"/>
        <n v="498617"/>
        <n v="499706"/>
        <n v="499882"/>
        <n v="502621"/>
        <n v="505259"/>
        <n v="505573"/>
        <n v="506157"/>
        <n v="506988"/>
        <n v="508122"/>
        <n v="508374"/>
        <n v="510566"/>
        <n v="511339"/>
        <n v="512179"/>
        <n v="514092"/>
        <n v="515958"/>
        <n v="515968"/>
        <n v="516476"/>
        <n v="516544"/>
        <n v="519423"/>
        <n v="520070"/>
        <n v="520511"/>
        <n v="521018"/>
        <n v="521115"/>
        <n v="521137"/>
        <n v="526035"/>
        <n v="526791"/>
        <n v="527907"/>
        <n v="536000"/>
        <n v="536973"/>
        <n v="540348"/>
        <n v="542906"/>
        <n v="544563"/>
        <n v="546458"/>
        <n v="549292"/>
        <n v="549533"/>
        <n v="549879"/>
        <n v="552207"/>
        <n v="552479"/>
        <n v="556814"/>
        <n v="557028"/>
        <n v="557314"/>
        <n v="562326"/>
        <n v="565264"/>
        <n v="566863"/>
        <n v="567342"/>
        <n v="568208"/>
        <n v="569957"/>
        <n v="570988"/>
        <n v="571662"/>
        <n v="571837"/>
        <n v="575290"/>
        <n v="575355"/>
        <n v="575502"/>
        <n v="575537"/>
        <n v="576414"/>
        <n v="580825"/>
        <n v="581366"/>
        <n v="582110"/>
        <n v="582555"/>
        <n v="582650"/>
        <n v="584068"/>
        <n v="584381"/>
        <n v="585098"/>
        <n v="585204"/>
        <n v="586423"/>
        <n v="593726"/>
        <n v="595262"/>
        <n v="595964"/>
        <n v="600162"/>
        <n v="601145"/>
        <n v="604665"/>
        <n v="605716"/>
        <n v="608809"/>
        <n v="613722"/>
        <n v="616658"/>
        <n v="618046"/>
        <n v="623152"/>
        <n v="625552"/>
        <n v="625804"/>
        <n v="626067"/>
        <n v="627014"/>
        <n v="630575"/>
        <n v="630932"/>
        <n v="635491"/>
        <n v="636230"/>
        <n v="637498"/>
        <n v="643033"/>
        <n v="649920"/>
        <n v="653615"/>
        <n v="658744"/>
        <n v="662769"/>
        <n v="663410"/>
        <n v="666092"/>
        <n v="675648"/>
        <n v="677623"/>
        <n v="692433"/>
        <n v="706409"/>
        <n v="713716"/>
        <n v="714683"/>
        <n v="717845"/>
        <n v="742359"/>
        <n v="743148"/>
        <n v="748138"/>
        <n v="748996"/>
        <n v="751346"/>
        <n v="761580"/>
        <n v="764231"/>
        <n v="769928"/>
        <n v="783570"/>
        <n v="794427"/>
        <n v="801323"/>
        <n v="802202"/>
        <n v="813741"/>
        <n v="815038"/>
        <n v="835077"/>
        <n v="841422"/>
        <n v="847696"/>
        <n v="852581"/>
        <n v="853136"/>
        <n v="865495"/>
        <n v="897837"/>
        <n v="920126"/>
        <n v="941789"/>
        <n v="955912"/>
        <n v="965390"/>
        <n v="995911"/>
        <n v="998902"/>
        <n v="1000709"/>
        <n v="1023463"/>
        <n v="1027566"/>
        <n v="1037265"/>
        <n v="1038205"/>
        <n v="1047590"/>
        <n v="1052455"/>
        <n v="1059763"/>
        <n v="1086491"/>
        <n v="1160019"/>
      </sharedItems>
    </cacheField>
    <cacheField name="200萬[含]以上[金額，新台幣]" uniqueList="1" numFmtId="0" sqlType="0" hierarchy="0" level="0" databaseField="1">
      <sharedItems count="518" containsInteger="1" containsNumber="1" containsSemiMixedTypes="0" containsString="0" minValue="208434119" maxValue="93697671444">
        <n v="208434119"/>
        <n v="214799758"/>
        <n v="218074017"/>
        <n v="218468310"/>
        <n v="222619228"/>
        <n v="226401819"/>
        <n v="233141379"/>
        <n v="233398388"/>
        <n v="234811253"/>
        <n v="238072734"/>
        <n v="238340886"/>
        <n v="239249805"/>
        <n v="241093828"/>
        <n v="242307800"/>
        <n v="243561932"/>
        <n v="243615557"/>
        <n v="243623256"/>
        <n v="244353534"/>
        <n v="245653488"/>
        <n v="245847494"/>
        <n v="246069778"/>
        <n v="247154108"/>
        <n v="255523942"/>
        <n v="259579579"/>
        <n v="260250725"/>
        <n v="260310123"/>
        <n v="260878621"/>
        <n v="261109989"/>
        <n v="262238466"/>
        <n v="262492943"/>
        <n v="263629873"/>
        <n v="264665469"/>
        <n v="265538214"/>
        <n v="267195363"/>
        <n v="267679962"/>
        <n v="268541740"/>
        <n v="268799274"/>
        <n v="269612597"/>
        <n v="269967800"/>
        <n v="270571197"/>
        <n v="272348973"/>
        <n v="272431888"/>
        <n v="274472332"/>
        <n v="275374421"/>
        <n v="276454429"/>
        <n v="281642455"/>
        <n v="282224198"/>
        <n v="283971042"/>
        <n v="285262534"/>
        <n v="286986236"/>
        <n v="287241598"/>
        <n v="289004870"/>
        <n v="289897983"/>
        <n v="291269064"/>
        <n v="293404105"/>
        <n v="293727793"/>
        <n v="294207985"/>
        <n v="295454693"/>
        <n v="298766920"/>
        <n v="304144878"/>
        <n v="307174803"/>
        <n v="322404425"/>
        <n v="323990705"/>
        <n v="328566139"/>
        <n v="333314917"/>
        <n v="333418586"/>
        <n v="335937499"/>
        <n v="337603863"/>
        <n v="339879065"/>
        <n v="346688106"/>
        <n v="354024871"/>
        <n v="356838191"/>
        <n v="362955004"/>
        <n v="374070829"/>
        <n v="513313377"/>
        <n v="537768793"/>
        <n v="573738001"/>
        <n v="579933134"/>
        <n v="595375612"/>
        <n v="610509755"/>
        <n v="615354481"/>
        <n v="617393661"/>
        <n v="620580555"/>
        <n v="624438933"/>
        <n v="627915587"/>
        <n v="638939772"/>
        <n v="640878788"/>
        <n v="642763418"/>
        <n v="646179781"/>
        <n v="648217239"/>
        <n v="649595518"/>
        <n v="652154422"/>
        <n v="653795526"/>
        <n v="664711666"/>
        <n v="667983993"/>
        <n v="669803014"/>
        <n v="672873296"/>
        <n v="672880643"/>
        <n v="673333607"/>
        <n v="673853502"/>
        <n v="675451370"/>
        <n v="677544837"/>
        <n v="683132269"/>
        <n v="686365280"/>
        <n v="686935630"/>
        <n v="687165889"/>
        <n v="695103653"/>
        <n v="698171368"/>
        <n v="699707762"/>
        <n v="702112190"/>
        <n v="708569167"/>
        <n v="710158576"/>
        <n v="711814515"/>
        <n v="715706497"/>
        <n v="727214346"/>
        <n v="731328977"/>
        <n v="733283736"/>
        <n v="734698790"/>
        <n v="737661204"/>
        <n v="744472813"/>
        <n v="748052369"/>
        <n v="749521925"/>
        <n v="753722939"/>
        <n v="759933136"/>
        <n v="761315104"/>
        <n v="761445265"/>
        <n v="762168737"/>
        <n v="767803411"/>
        <n v="771753345"/>
        <n v="783136663"/>
        <n v="785010704"/>
        <n v="785661232"/>
        <n v="788899472"/>
        <n v="804733898"/>
        <n v="808944573"/>
        <n v="809350017"/>
        <n v="822399232"/>
        <n v="825364945"/>
        <n v="829818599"/>
        <n v="835072938"/>
        <n v="840342217"/>
        <n v="841294309"/>
        <n v="841666263"/>
        <n v="843223817"/>
        <n v="844159120"/>
        <n v="844623962"/>
        <n v="847962081"/>
        <n v="853514347"/>
        <n v="854568458"/>
        <n v="854598903"/>
        <n v="855666702"/>
        <n v="859380258"/>
        <n v="859722530"/>
        <n v="860524495"/>
        <n v="863370868"/>
        <n v="865490203"/>
        <n v="868648599"/>
        <n v="872611599"/>
        <n v="875218507"/>
        <n v="881020441"/>
        <n v="885218807"/>
        <n v="885284985"/>
        <n v="886300767"/>
        <n v="886312723"/>
        <n v="888085500"/>
        <n v="891779225"/>
        <n v="892423843"/>
        <n v="899521088"/>
        <n v="900240969"/>
        <n v="901836251"/>
        <n v="902397343"/>
        <n v="905453022"/>
        <n v="908227085"/>
        <n v="910617083"/>
        <n v="911064523"/>
        <n v="911600674"/>
        <n v="913056753"/>
        <n v="915906618"/>
        <n v="919660171"/>
        <n v="920155960"/>
        <n v="921776638"/>
        <n v="922681362"/>
        <n v="923153012"/>
        <n v="923818363"/>
        <n v="927272940"/>
        <n v="930056008"/>
        <n v="937747235"/>
        <n v="943132026"/>
        <n v="944798366"/>
        <n v="944861543"/>
        <n v="948794830"/>
        <n v="949414198"/>
        <n v="951075720"/>
        <n v="954366672"/>
        <n v="959413483"/>
        <n v="960346668"/>
        <n v="961497301"/>
        <n v="973328025"/>
        <n v="977386824"/>
        <n v="979218884"/>
        <n v="983648159"/>
        <n v="994982466"/>
        <n v="996299746"/>
        <n v="996533087"/>
        <n v="997023709"/>
        <n v="998720380"/>
        <n v="1007472214"/>
        <n v="1009393658"/>
        <n v="1012574666"/>
        <n v="1012772765"/>
        <n v="1013412384"/>
        <n v="1017097535"/>
        <n v="1019140144"/>
        <n v="1022871713"/>
        <n v="1030245719"/>
        <n v="1030349899"/>
        <n v="1033649426"/>
        <n v="1037707963"/>
        <n v="1039333787"/>
        <n v="1039510589"/>
        <n v="1040057832"/>
        <n v="1041193518"/>
        <n v="1043092366"/>
        <n v="1045862358"/>
        <n v="1049611718"/>
        <n v="1057120473"/>
        <n v="1059378528"/>
        <n v="1059714056"/>
        <n v="1063396246"/>
        <n v="1066125706"/>
        <n v="1068628219"/>
        <n v="1068711127"/>
        <n v="1076061255"/>
        <n v="1080544871"/>
        <n v="1081081996"/>
        <n v="1083776801"/>
        <n v="1084045613"/>
        <n v="1085584842"/>
        <n v="1089477581"/>
        <n v="1091089669"/>
        <n v="1093713008"/>
        <n v="1103639749"/>
        <n v="1104574269"/>
        <n v="1104970892"/>
        <n v="1106388157"/>
        <n v="1111005297"/>
        <n v="1113668187"/>
        <n v="1118104280"/>
        <n v="1119505882"/>
        <n v="1119982880"/>
        <n v="1123584651"/>
        <n v="1128676022"/>
        <n v="1129282068"/>
        <n v="1129589311"/>
        <n v="1130742165"/>
        <n v="1131148192"/>
        <n v="1137372018"/>
        <n v="1141030744"/>
        <n v="1144028968"/>
        <n v="1144589622"/>
        <n v="1144630822"/>
        <n v="1149069128"/>
        <n v="1152291717"/>
        <n v="1153023703"/>
        <n v="1156744144"/>
        <n v="1157935181"/>
        <n v="1158664092"/>
        <n v="1163466858"/>
        <n v="1166635870"/>
        <n v="1167228944"/>
        <n v="1176956475"/>
        <n v="1185095750"/>
        <n v="1188089879"/>
        <n v="1189378560"/>
        <n v="1191562796"/>
        <n v="1194426128"/>
        <n v="1198269704"/>
        <n v="1205826948"/>
        <n v="1206321365"/>
        <n v="1206428073"/>
        <n v="1211558963"/>
        <n v="1214344257"/>
        <n v="1214866623"/>
        <n v="1219215428"/>
        <n v="1225804229"/>
        <n v="1226877460"/>
        <n v="1228467239"/>
        <n v="1234359230"/>
        <n v="1235406703"/>
        <n v="1236766358"/>
        <n v="1241342245"/>
        <n v="1244201976"/>
        <n v="1245251641"/>
        <n v="1245693124"/>
        <n v="1249066599"/>
        <n v="1252984703"/>
        <n v="1253135784"/>
        <n v="1260772466"/>
        <n v="1266700765"/>
        <n v="1270184775"/>
        <n v="1271378657"/>
        <n v="1271725158"/>
        <n v="1272572924"/>
        <n v="1274473626"/>
        <n v="1298511198"/>
        <n v="1303877003"/>
        <n v="1310452661"/>
        <n v="1310925669"/>
        <n v="1311327052"/>
        <n v="1311852068"/>
        <n v="1316834657"/>
        <n v="1332874448"/>
        <n v="1341430241"/>
        <n v="1346282223"/>
        <n v="1362759380"/>
        <n v="1371940045"/>
        <n v="1374943402"/>
        <n v="1382841008"/>
        <n v="1388592752"/>
        <n v="1395762302"/>
        <n v="1395789754"/>
        <n v="1396597842"/>
        <n v="1397732297"/>
        <n v="1400226990"/>
        <n v="1400696209"/>
        <n v="1405678412"/>
        <n v="1410423953"/>
        <n v="1414715286"/>
        <n v="1414974145"/>
        <n v="1431709572"/>
        <n v="1437500796"/>
        <n v="1438468761"/>
        <n v="1441592319"/>
        <n v="1441658689"/>
        <n v="1446383207"/>
        <n v="1459924293"/>
        <n v="1463346148"/>
        <n v="1467689151"/>
        <n v="1470523459"/>
        <n v="1473940742"/>
        <n v="1474501374"/>
        <n v="1477932278"/>
        <n v="1481543502"/>
        <n v="1481708361"/>
        <n v="1486062205"/>
        <n v="1517340829"/>
        <n v="1529918840"/>
        <n v="1531290101"/>
        <n v="1544213408"/>
        <n v="1559464794"/>
        <n v="1581484589"/>
        <n v="1589968804"/>
        <n v="1603252289"/>
        <n v="1638283165"/>
        <n v="1644379276"/>
        <n v="1649132173"/>
        <n v="1668531824"/>
        <n v="1668594032"/>
        <n v="1674011963"/>
        <n v="1683585167"/>
        <n v="1716200633"/>
        <n v="1736550735"/>
        <n v="1737701839"/>
        <n v="1750225929"/>
        <n v="1752657367"/>
        <n v="1787856754"/>
        <n v="1791424312"/>
        <n v="1798748370"/>
        <n v="1801378355"/>
        <n v="1824107942"/>
        <n v="1859434935"/>
        <n v="1868045948"/>
        <n v="1885104122"/>
        <n v="1891913671"/>
        <n v="1902894036"/>
        <n v="1919265250"/>
        <n v="1950430963"/>
        <n v="1962315615"/>
        <n v="1980512529"/>
        <n v="1985238489"/>
        <n v="1994342744"/>
        <n v="2014861052"/>
        <n v="2021007492"/>
        <n v="2023918714"/>
        <n v="2032421431"/>
        <n v="2035902276"/>
        <n v="2052703260"/>
        <n v="2062429726"/>
        <n v="2065729770"/>
        <n v="2070824328"/>
        <n v="2089845546"/>
        <n v="2090039585"/>
        <n v="2090588173"/>
        <n v="2101124557"/>
        <n v="2121163567"/>
        <n v="2137111712"/>
        <n v="2144452116"/>
        <n v="2159161526"/>
        <n v="2175173308"/>
        <n v="2194421725"/>
        <n v="2202821035"/>
        <n v="2209749013"/>
        <n v="2216565810"/>
        <n v="2216715603"/>
        <n v="2224901748"/>
        <n v="2231521216"/>
        <n v="2240197397"/>
        <n v="2243910906"/>
        <n v="2248419723"/>
        <n v="2270072498"/>
        <n v="2271259179"/>
        <n v="2273206042"/>
        <n v="2275814248"/>
        <n v="2288779355"/>
        <n v="2300415537"/>
        <n v="2305636208"/>
        <n v="2306759879"/>
        <n v="2312898222"/>
        <n v="2320605313"/>
        <n v="2336197662"/>
        <n v="2347582263"/>
        <n v="2381181476"/>
        <n v="2388011064"/>
        <n v="2392838959"/>
        <n v="2408843577"/>
        <n v="2416491447"/>
        <n v="2456515045"/>
        <n v="2474885477"/>
        <n v="2494715065"/>
        <n v="2505379631"/>
        <n v="2516151782"/>
        <n v="2522311387"/>
        <n v="2524770294"/>
        <n v="2572270686"/>
        <n v="2586925875"/>
        <n v="2594074001"/>
        <n v="2610604443"/>
        <n v="2670426531"/>
        <n v="2688934564"/>
        <n v="2690231911"/>
        <n v="2725103040"/>
        <n v="2835413344"/>
        <n v="2903406306"/>
        <n v="2935078028"/>
        <n v="2966109258"/>
        <n v="3083946864"/>
        <n v="3531466714"/>
        <n v="3550711247"/>
        <n v="3633969888"/>
        <n v="3663093339"/>
        <n v="3726347429"/>
        <n v="3758502579"/>
        <n v="3833823188"/>
        <n v="4027000896"/>
        <n v="4107999075"/>
        <n v="4273352795"/>
        <n v="4337468001"/>
        <n v="4613479176"/>
        <n v="4722021038"/>
        <n v="4825769921"/>
        <n v="4851741063"/>
        <n v="4902953750"/>
        <n v="4931459161"/>
        <n v="5096773298"/>
        <n v="5160956172"/>
        <n v="5281239954"/>
        <n v="5375295910"/>
        <n v="5398172021"/>
        <n v="5399009561"/>
        <n v="5513321863"/>
        <n v="5723414652"/>
        <n v="5890120804"/>
        <n v="5926090441"/>
        <n v="5927834749"/>
        <n v="6024481455"/>
        <n v="6042493617"/>
        <n v="6188861510"/>
        <n v="6194429978"/>
        <n v="6429825601"/>
        <n v="6598616253"/>
        <n v="6638998118"/>
        <n v="6716158841"/>
        <n v="6735594443"/>
        <n v="6851290853"/>
        <n v="6851316212"/>
        <n v="6888546855"/>
        <n v="7055213101"/>
        <n v="7064100067"/>
        <n v="7311364326"/>
        <n v="7928872474"/>
        <n v="8251058640"/>
        <n v="8543402956"/>
        <n v="8570021003"/>
        <n v="8675871263"/>
        <n v="8784591386"/>
        <n v="8843221763"/>
        <n v="9017072197"/>
        <n v="9181735362"/>
        <n v="9336177394"/>
        <n v="9338176474"/>
        <n v="10833073821"/>
        <n v="11128790743"/>
        <n v="11287623949"/>
        <n v="11315960731"/>
        <n v="11605962116"/>
        <n v="11751186212"/>
        <n v="11959381238"/>
        <n v="12234891821"/>
        <n v="12833446648"/>
        <n v="12885745342"/>
        <n v="13641307564"/>
        <n v="14398622425"/>
        <n v="15559819614"/>
        <n v="21800734974"/>
        <n v="27307584029"/>
        <n v="28826810987"/>
        <n v="31896829710"/>
        <n v="93697671444"/>
      </sharedItems>
    </cacheField>
  </cacheFields>
</pivotCacheDefinition>
</file>

<file path=xl/pivotCache/pivotCacheRecords1.xml><?xml version="1.0" encoding="utf-8"?>
<pivotCacheRecords xmlns="http://schemas.openxmlformats.org/spreadsheetml/2006/main" count="518">
  <r>
    <x v="0"/>
    <x v="0"/>
    <x v="6"/>
    <x v="318"/>
    <x v="381"/>
    <x v="319"/>
    <x v="371"/>
    <x v="338"/>
    <x v="365"/>
    <x v="355"/>
    <x v="353"/>
    <x v="330"/>
    <x v="341"/>
    <x v="370"/>
    <x v="359"/>
    <x v="365"/>
    <x v="315"/>
    <x v="348"/>
    <x v="317"/>
  </r>
  <r>
    <x v="0"/>
    <x v="1"/>
    <x v="6"/>
    <x v="296"/>
    <x v="191"/>
    <x v="296"/>
    <x v="183"/>
    <x v="297"/>
    <x v="198"/>
    <x v="295"/>
    <x v="234"/>
    <x v="296"/>
    <x v="181"/>
    <x v="307"/>
    <x v="242"/>
    <x v="313"/>
    <x v="214"/>
    <x v="297"/>
    <x v="170"/>
  </r>
  <r>
    <x v="0"/>
    <x v="2"/>
    <x v="6"/>
    <x v="304"/>
    <x v="223"/>
    <x v="302"/>
    <x v="210"/>
    <x v="309"/>
    <x v="232"/>
    <x v="308"/>
    <x v="236"/>
    <x v="310"/>
    <x v="203"/>
    <x v="346"/>
    <x v="269"/>
    <x v="345"/>
    <x v="230"/>
    <x v="322"/>
    <x v="188"/>
  </r>
  <r>
    <x v="0"/>
    <x v="3"/>
    <x v="6"/>
    <x v="300"/>
    <x v="208"/>
    <x v="300"/>
    <x v="188"/>
    <x v="305"/>
    <x v="200"/>
    <x v="300"/>
    <x v="195"/>
    <x v="305"/>
    <x v="194"/>
    <x v="331"/>
    <x v="254"/>
    <x v="336"/>
    <x v="217"/>
    <x v="310"/>
    <x v="159"/>
  </r>
  <r>
    <x v="0"/>
    <x v="4"/>
    <x v="6"/>
    <x v="313"/>
    <x v="266"/>
    <x v="312"/>
    <x v="270"/>
    <x v="324"/>
    <x v="283"/>
    <x v="325"/>
    <x v="273"/>
    <x v="327"/>
    <x v="245"/>
    <x v="365"/>
    <x v="298"/>
    <x v="363"/>
    <x v="263"/>
    <x v="337"/>
    <x v="216"/>
  </r>
  <r>
    <x v="0"/>
    <x v="5"/>
    <x v="6"/>
    <x v="311"/>
    <x v="243"/>
    <x v="313"/>
    <x v="243"/>
    <x v="328"/>
    <x v="262"/>
    <x v="321"/>
    <x v="259"/>
    <x v="326"/>
    <x v="224"/>
    <x v="363"/>
    <x v="286"/>
    <x v="367"/>
    <x v="247"/>
    <x v="335"/>
    <x v="193"/>
  </r>
  <r>
    <x v="0"/>
    <x v="6"/>
    <x v="6"/>
    <x v="367"/>
    <x v="290"/>
    <x v="370"/>
    <x v="285"/>
    <x v="391"/>
    <x v="299"/>
    <x v="378"/>
    <x v="287"/>
    <x v="355"/>
    <x v="257"/>
    <x v="396"/>
    <x v="303"/>
    <x v="402"/>
    <x v="274"/>
    <x v="360"/>
    <x v="214"/>
  </r>
  <r>
    <x v="0"/>
    <x v="7"/>
    <x v="6"/>
    <x v="399"/>
    <x v="356"/>
    <x v="394"/>
    <x v="344"/>
    <x v="417"/>
    <x v="333"/>
    <x v="400"/>
    <x v="332"/>
    <x v="365"/>
    <x v="310"/>
    <x v="424"/>
    <x v="323"/>
    <x v="417"/>
    <x v="301"/>
    <x v="379"/>
    <x v="259"/>
  </r>
  <r>
    <x v="0"/>
    <x v="8"/>
    <x v="6"/>
    <x v="326"/>
    <x v="260"/>
    <x v="323"/>
    <x v="252"/>
    <x v="347"/>
    <x v="268"/>
    <x v="341"/>
    <x v="270"/>
    <x v="345"/>
    <x v="234"/>
    <x v="385"/>
    <x v="300"/>
    <x v="392"/>
    <x v="271"/>
    <x v="347"/>
    <x v="198"/>
  </r>
  <r>
    <x v="0"/>
    <x v="9"/>
    <x v="6"/>
    <x v="324"/>
    <x v="247"/>
    <x v="320"/>
    <x v="239"/>
    <x v="339"/>
    <x v="259"/>
    <x v="336"/>
    <x v="256"/>
    <x v="338"/>
    <x v="226"/>
    <x v="376"/>
    <x v="290"/>
    <x v="385"/>
    <x v="258"/>
    <x v="346"/>
    <x v="203"/>
  </r>
  <r>
    <x v="0"/>
    <x v="10"/>
    <x v="6"/>
    <x v="320"/>
    <x v="264"/>
    <x v="316"/>
    <x v="262"/>
    <x v="341"/>
    <x v="282"/>
    <x v="334"/>
    <x v="267"/>
    <x v="339"/>
    <x v="253"/>
    <x v="379"/>
    <x v="304"/>
    <x v="389"/>
    <x v="275"/>
    <x v="345"/>
    <x v="213"/>
  </r>
  <r>
    <x v="0"/>
    <x v="11"/>
    <x v="6"/>
    <x v="359"/>
    <x v="301"/>
    <x v="356"/>
    <x v="291"/>
    <x v="373"/>
    <x v="308"/>
    <x v="371"/>
    <x v="303"/>
    <x v="357"/>
    <x v="306"/>
    <x v="408"/>
    <x v="314"/>
    <x v="404"/>
    <x v="308"/>
    <x v="367"/>
    <x v="263"/>
  </r>
  <r>
    <x v="1"/>
    <x v="0"/>
    <x v="6"/>
    <x v="354"/>
    <x v="332"/>
    <x v="365"/>
    <x v="325"/>
    <x v="379"/>
    <x v="331"/>
    <x v="377"/>
    <x v="324"/>
    <x v="360"/>
    <x v="320"/>
    <x v="413"/>
    <x v="332"/>
    <x v="409"/>
    <x v="314"/>
    <x v="371"/>
    <x v="298"/>
  </r>
  <r>
    <x v="1"/>
    <x v="1"/>
    <x v="6"/>
    <x v="335"/>
    <x v="377"/>
    <x v="350"/>
    <x v="364"/>
    <x v="363"/>
    <x v="356"/>
    <x v="370"/>
    <x v="346"/>
    <x v="353"/>
    <x v="334"/>
    <x v="400"/>
    <x v="343"/>
    <x v="398"/>
    <x v="323"/>
    <x v="361"/>
    <x v="310"/>
  </r>
  <r>
    <x v="1"/>
    <x v="2"/>
    <x v="6"/>
    <x v="319"/>
    <x v="261"/>
    <x v="318"/>
    <x v="261"/>
    <x v="335"/>
    <x v="278"/>
    <x v="335"/>
    <x v="266"/>
    <x v="341"/>
    <x v="251"/>
    <x v="381"/>
    <x v="306"/>
    <x v="391"/>
    <x v="278"/>
    <x v="350"/>
    <x v="226"/>
  </r>
  <r>
    <x v="1"/>
    <x v="3"/>
    <x v="6"/>
    <x v="327"/>
    <x v="256"/>
    <x v="333"/>
    <x v="256"/>
    <x v="352"/>
    <x v="275"/>
    <x v="353"/>
    <x v="262"/>
    <x v="349"/>
    <x v="243"/>
    <x v="392"/>
    <x v="301"/>
    <x v="397"/>
    <x v="272"/>
    <x v="356"/>
    <x v="212"/>
  </r>
  <r>
    <x v="1"/>
    <x v="4"/>
    <x v="6"/>
    <x v="393"/>
    <x v="325"/>
    <x v="390"/>
    <x v="311"/>
    <x v="407"/>
    <x v="320"/>
    <x v="398"/>
    <x v="316"/>
    <x v="370"/>
    <x v="311"/>
    <x v="435"/>
    <x v="315"/>
    <x v="436"/>
    <x v="311"/>
    <x v="386"/>
    <x v="260"/>
  </r>
  <r>
    <x v="1"/>
    <x v="5"/>
    <x v="6"/>
    <x v="377"/>
    <x v="275"/>
    <x v="380"/>
    <x v="276"/>
    <x v="397"/>
    <x v="297"/>
    <x v="389"/>
    <x v="290"/>
    <x v="364"/>
    <x v="280"/>
    <x v="421"/>
    <x v="307"/>
    <x v="422"/>
    <x v="295"/>
    <x v="374"/>
    <x v="234"/>
  </r>
  <r>
    <x v="1"/>
    <x v="6"/>
    <x v="6"/>
    <x v="417"/>
    <x v="302"/>
    <x v="416"/>
    <x v="304"/>
    <x v="427"/>
    <x v="313"/>
    <x v="418"/>
    <x v="304"/>
    <x v="385"/>
    <x v="296"/>
    <x v="441"/>
    <x v="310"/>
    <x v="441"/>
    <x v="302"/>
    <x v="396"/>
    <x v="252"/>
  </r>
  <r>
    <x v="1"/>
    <x v="7"/>
    <x v="6"/>
    <x v="445"/>
    <x v="410"/>
    <x v="446"/>
    <x v="396"/>
    <x v="467"/>
    <x v="371"/>
    <x v="448"/>
    <x v="342"/>
    <x v="423"/>
    <x v="336"/>
    <x v="464"/>
    <x v="344"/>
    <x v="467"/>
    <x v="330"/>
    <x v="428"/>
    <x v="290"/>
  </r>
  <r>
    <x v="1"/>
    <x v="8"/>
    <x v="6"/>
    <x v="409"/>
    <x v="331"/>
    <x v="409"/>
    <x v="318"/>
    <x v="424"/>
    <x v="322"/>
    <x v="414"/>
    <x v="317"/>
    <x v="390"/>
    <x v="317"/>
    <x v="453"/>
    <x v="333"/>
    <x v="450"/>
    <x v="322"/>
    <x v="400"/>
    <x v="272"/>
  </r>
  <r>
    <x v="1"/>
    <x v="9"/>
    <x v="6"/>
    <x v="406"/>
    <x v="300"/>
    <x v="408"/>
    <x v="298"/>
    <x v="421"/>
    <x v="312"/>
    <x v="413"/>
    <x v="305"/>
    <x v="388"/>
    <x v="309"/>
    <x v="446"/>
    <x v="320"/>
    <x v="447"/>
    <x v="310"/>
    <x v="401"/>
    <x v="255"/>
  </r>
  <r>
    <x v="1"/>
    <x v="10"/>
    <x v="6"/>
    <x v="394"/>
    <x v="303"/>
    <x v="393"/>
    <x v="296"/>
    <x v="409"/>
    <x v="315"/>
    <x v="394"/>
    <x v="306"/>
    <x v="378"/>
    <x v="315"/>
    <x v="442"/>
    <x v="330"/>
    <x v="443"/>
    <x v="320"/>
    <x v="390"/>
    <x v="254"/>
  </r>
  <r>
    <x v="1"/>
    <x v="11"/>
    <x v="6"/>
    <x v="424"/>
    <x v="351"/>
    <x v="427"/>
    <x v="339"/>
    <x v="433"/>
    <x v="338"/>
    <x v="425"/>
    <x v="334"/>
    <x v="402"/>
    <x v="335"/>
    <x v="458"/>
    <x v="356"/>
    <x v="457"/>
    <x v="338"/>
    <x v="411"/>
    <x v="302"/>
  </r>
  <r>
    <x v="2"/>
    <x v="0"/>
    <x v="6"/>
    <x v="432"/>
    <x v="421"/>
    <x v="437"/>
    <x v="416"/>
    <x v="448"/>
    <x v="415"/>
    <x v="435"/>
    <x v="369"/>
    <x v="417"/>
    <x v="393"/>
    <x v="465"/>
    <x v="414"/>
    <x v="469"/>
    <x v="374"/>
    <x v="422"/>
    <x v="344"/>
  </r>
  <r>
    <x v="2"/>
    <x v="1"/>
    <x v="6"/>
    <x v="378"/>
    <x v="369"/>
    <x v="405"/>
    <x v="368"/>
    <x v="420"/>
    <x v="355"/>
    <x v="415"/>
    <x v="341"/>
    <x v="391"/>
    <x v="346"/>
    <x v="449"/>
    <x v="357"/>
    <x v="449"/>
    <x v="339"/>
    <x v="398"/>
    <x v="303"/>
  </r>
  <r>
    <x v="2"/>
    <x v="2"/>
    <x v="6"/>
    <x v="370"/>
    <x v="286"/>
    <x v="374"/>
    <x v="275"/>
    <x v="406"/>
    <x v="301"/>
    <x v="390"/>
    <x v="277"/>
    <x v="382"/>
    <x v="307"/>
    <x v="443"/>
    <x v="318"/>
    <x v="448"/>
    <x v="312"/>
    <x v="383"/>
    <x v="235"/>
  </r>
  <r>
    <x v="2"/>
    <x v="3"/>
    <x v="6"/>
    <x v="380"/>
    <x v="293"/>
    <x v="389"/>
    <x v="283"/>
    <x v="419"/>
    <x v="303"/>
    <x v="403"/>
    <x v="282"/>
    <x v="395"/>
    <x v="314"/>
    <x v="456"/>
    <x v="331"/>
    <x v="456"/>
    <x v="319"/>
    <x v="397"/>
    <x v="237"/>
  </r>
  <r>
    <x v="2"/>
    <x v="4"/>
    <x v="6"/>
    <x v="423"/>
    <x v="339"/>
    <x v="424"/>
    <x v="321"/>
    <x v="439"/>
    <x v="330"/>
    <x v="429"/>
    <x v="311"/>
    <x v="416"/>
    <x v="331"/>
    <x v="467"/>
    <x v="351"/>
    <x v="473"/>
    <x v="334"/>
    <x v="415"/>
    <x v="265"/>
  </r>
  <r>
    <x v="2"/>
    <x v="5"/>
    <x v="6"/>
    <x v="433"/>
    <x v="341"/>
    <x v="439"/>
    <x v="329"/>
    <x v="452"/>
    <x v="328"/>
    <x v="440"/>
    <x v="321"/>
    <x v="426"/>
    <x v="329"/>
    <x v="469"/>
    <x v="346"/>
    <x v="475"/>
    <x v="335"/>
    <x v="440"/>
    <x v="294"/>
  </r>
  <r>
    <x v="2"/>
    <x v="6"/>
    <x v="6"/>
    <x v="442"/>
    <x v="386"/>
    <x v="450"/>
    <x v="359"/>
    <x v="476"/>
    <x v="361"/>
    <x v="461"/>
    <x v="333"/>
    <x v="458"/>
    <x v="354"/>
    <x v="479"/>
    <x v="373"/>
    <x v="481"/>
    <x v="350"/>
    <x v="452"/>
    <x v="289"/>
  </r>
  <r>
    <x v="2"/>
    <x v="7"/>
    <x v="6"/>
    <x v="431"/>
    <x v="391"/>
    <x v="420"/>
    <x v="353"/>
    <x v="450"/>
    <x v="363"/>
    <x v="431"/>
    <x v="330"/>
    <x v="445"/>
    <x v="359"/>
    <x v="474"/>
    <x v="375"/>
    <x v="476"/>
    <x v="349"/>
    <x v="444"/>
    <x v="295"/>
  </r>
  <r>
    <x v="2"/>
    <x v="8"/>
    <x v="6"/>
    <x v="408"/>
    <x v="338"/>
    <x v="403"/>
    <x v="315"/>
    <x v="426"/>
    <x v="327"/>
    <x v="420"/>
    <x v="309"/>
    <x v="421"/>
    <x v="339"/>
    <x v="468"/>
    <x v="355"/>
    <x v="466"/>
    <x v="333"/>
    <x v="413"/>
    <x v="264"/>
  </r>
  <r>
    <x v="2"/>
    <x v="9"/>
    <x v="6"/>
    <x v="419"/>
    <x v="328"/>
    <x v="418"/>
    <x v="310"/>
    <x v="425"/>
    <x v="324"/>
    <x v="428"/>
    <x v="312"/>
    <x v="427"/>
    <x v="340"/>
    <x v="470"/>
    <x v="353"/>
    <x v="468"/>
    <x v="331"/>
    <x v="435"/>
    <x v="270"/>
  </r>
  <r>
    <x v="2"/>
    <x v="10"/>
    <x v="6"/>
    <x v="391"/>
    <x v="227"/>
    <x v="407"/>
    <x v="255"/>
    <x v="415"/>
    <x v="264"/>
    <x v="412"/>
    <x v="260"/>
    <x v="384"/>
    <x v="225"/>
    <x v="394"/>
    <x v="248"/>
    <x v="430"/>
    <x v="243"/>
    <x v="394"/>
    <x v="223"/>
  </r>
  <r>
    <x v="2"/>
    <x v="11"/>
    <x v="6"/>
    <x v="429"/>
    <x v="280"/>
    <x v="436"/>
    <x v="305"/>
    <x v="441"/>
    <x v="311"/>
    <x v="437"/>
    <x v="315"/>
    <x v="408"/>
    <x v="289"/>
    <x v="425"/>
    <x v="297"/>
    <x v="452"/>
    <x v="294"/>
    <x v="419"/>
    <x v="271"/>
  </r>
  <r>
    <x v="3"/>
    <x v="0"/>
    <x v="6"/>
    <x v="397"/>
    <x v="362"/>
    <x v="417"/>
    <x v="384"/>
    <x v="408"/>
    <x v="360"/>
    <x v="424"/>
    <x v="354"/>
    <x v="393"/>
    <x v="345"/>
    <x v="414"/>
    <x v="325"/>
    <x v="421"/>
    <x v="317"/>
    <x v="417"/>
    <x v="333"/>
  </r>
  <r>
    <x v="3"/>
    <x v="1"/>
    <x v="6"/>
    <x v="309"/>
    <x v="209"/>
    <x v="332"/>
    <x v="220"/>
    <x v="331"/>
    <x v="239"/>
    <x v="367"/>
    <x v="255"/>
    <x v="352"/>
    <x v="209"/>
    <x v="360"/>
    <x v="240"/>
    <x v="384"/>
    <x v="236"/>
    <x v="375"/>
    <x v="222"/>
  </r>
  <r>
    <x v="3"/>
    <x v="2"/>
    <x v="6"/>
    <x v="369"/>
    <x v="236"/>
    <x v="385"/>
    <x v="248"/>
    <x v="392"/>
    <x v="253"/>
    <x v="401"/>
    <x v="268"/>
    <x v="372"/>
    <x v="220"/>
    <x v="389"/>
    <x v="249"/>
    <x v="419"/>
    <x v="252"/>
    <x v="405"/>
    <x v="236"/>
  </r>
  <r>
    <x v="3"/>
    <x v="3"/>
    <x v="6"/>
    <x v="415"/>
    <x v="268"/>
    <x v="426"/>
    <x v="278"/>
    <x v="434"/>
    <x v="296"/>
    <x v="433"/>
    <x v="289"/>
    <x v="405"/>
    <x v="250"/>
    <x v="419"/>
    <x v="265"/>
    <x v="454"/>
    <x v="268"/>
    <x v="420"/>
    <x v="240"/>
  </r>
  <r>
    <x v="3"/>
    <x v="4"/>
    <x v="6"/>
    <x v="381"/>
    <x v="274"/>
    <x v="392"/>
    <x v="287"/>
    <x v="396"/>
    <x v="298"/>
    <x v="410"/>
    <x v="295"/>
    <x v="380"/>
    <x v="260"/>
    <x v="402"/>
    <x v="278"/>
    <x v="429"/>
    <x v="266"/>
    <x v="421"/>
    <x v="268"/>
  </r>
  <r>
    <x v="3"/>
    <x v="5"/>
    <x v="6"/>
    <x v="323"/>
    <x v="235"/>
    <x v="340"/>
    <x v="238"/>
    <x v="312"/>
    <x v="238"/>
    <x v="359"/>
    <x v="252"/>
    <x v="346"/>
    <x v="217"/>
    <x v="359"/>
    <x v="237"/>
    <x v="378"/>
    <x v="232"/>
    <x v="391"/>
    <x v="224"/>
  </r>
  <r>
    <x v="3"/>
    <x v="6"/>
    <x v="6"/>
    <x v="398"/>
    <x v="278"/>
    <x v="415"/>
    <x v="289"/>
    <x v="375"/>
    <x v="288"/>
    <x v="416"/>
    <x v="291"/>
    <x v="371"/>
    <x v="268"/>
    <x v="406"/>
    <x v="267"/>
    <x v="412"/>
    <x v="265"/>
    <x v="427"/>
    <x v="251"/>
  </r>
  <r>
    <x v="3"/>
    <x v="7"/>
    <x v="6"/>
    <x v="413"/>
    <x v="322"/>
    <x v="422"/>
    <x v="322"/>
    <x v="386"/>
    <x v="306"/>
    <x v="421"/>
    <x v="314"/>
    <x v="379"/>
    <x v="312"/>
    <x v="409"/>
    <x v="280"/>
    <x v="418"/>
    <x v="285"/>
    <x v="439"/>
    <x v="280"/>
  </r>
  <r>
    <x v="3"/>
    <x v="8"/>
    <x v="6"/>
    <x v="358"/>
    <x v="285"/>
    <x v="381"/>
    <x v="288"/>
    <x v="343"/>
    <x v="291"/>
    <x v="387"/>
    <x v="294"/>
    <x v="361"/>
    <x v="272"/>
    <x v="383"/>
    <x v="270"/>
    <x v="403"/>
    <x v="276"/>
    <x v="416"/>
    <x v="266"/>
  </r>
  <r>
    <x v="3"/>
    <x v="9"/>
    <x v="6"/>
    <x v="384"/>
    <x v="284"/>
    <x v="399"/>
    <x v="293"/>
    <x v="360"/>
    <x v="295"/>
    <x v="411"/>
    <x v="302"/>
    <x v="367"/>
    <x v="258"/>
    <x v="401"/>
    <x v="281"/>
    <x v="413"/>
    <x v="286"/>
    <x v="429"/>
    <x v="277"/>
  </r>
  <r>
    <x v="3"/>
    <x v="10"/>
    <x v="6"/>
    <x v="355"/>
    <x v="252"/>
    <x v="367"/>
    <x v="267"/>
    <x v="327"/>
    <x v="258"/>
    <x v="379"/>
    <x v="279"/>
    <x v="356"/>
    <x v="228"/>
    <x v="372"/>
    <x v="262"/>
    <x v="394"/>
    <x v="260"/>
    <x v="408"/>
    <x v="250"/>
  </r>
  <r>
    <x v="3"/>
    <x v="11"/>
    <x v="6"/>
    <x v="411"/>
    <x v="295"/>
    <x v="414"/>
    <x v="309"/>
    <x v="378"/>
    <x v="304"/>
    <x v="422"/>
    <x v="322"/>
    <x v="381"/>
    <x v="298"/>
    <x v="410"/>
    <x v="305"/>
    <x v="428"/>
    <x v="305"/>
    <x v="446"/>
    <x v="307"/>
  </r>
  <r>
    <x v="4"/>
    <x v="0"/>
    <x v="6"/>
    <x v="329"/>
    <x v="255"/>
    <x v="346"/>
    <x v="273"/>
    <x v="315"/>
    <x v="280"/>
    <x v="365"/>
    <x v="298"/>
    <x v="350"/>
    <x v="261"/>
    <x v="366"/>
    <x v="273"/>
    <x v="388"/>
    <x v="282"/>
    <x v="404"/>
    <x v="282"/>
  </r>
  <r>
    <x v="4"/>
    <x v="1"/>
    <x v="6"/>
    <x v="379"/>
    <x v="344"/>
    <x v="400"/>
    <x v="355"/>
    <x v="384"/>
    <x v="337"/>
    <x v="419"/>
    <x v="347"/>
    <x v="375"/>
    <x v="325"/>
    <x v="403"/>
    <x v="309"/>
    <x v="420"/>
    <x v="321"/>
    <x v="431"/>
    <x v="321"/>
  </r>
  <r>
    <x v="4"/>
    <x v="2"/>
    <x v="6"/>
    <x v="383"/>
    <x v="242"/>
    <x v="396"/>
    <x v="253"/>
    <x v="366"/>
    <x v="249"/>
    <x v="407"/>
    <x v="280"/>
    <x v="369"/>
    <x v="240"/>
    <x v="405"/>
    <x v="266"/>
    <x v="424"/>
    <x v="273"/>
    <x v="434"/>
    <x v="258"/>
  </r>
  <r>
    <x v="4"/>
    <x v="3"/>
    <x v="6"/>
    <x v="425"/>
    <x v="313"/>
    <x v="428"/>
    <x v="301"/>
    <x v="414"/>
    <x v="307"/>
    <x v="432"/>
    <x v="313"/>
    <x v="414"/>
    <x v="318"/>
    <x v="459"/>
    <x v="312"/>
    <x v="463"/>
    <x v="318"/>
    <x v="463"/>
    <x v="286"/>
  </r>
  <r>
    <x v="4"/>
    <x v="4"/>
    <x v="6"/>
    <x v="455"/>
    <x v="411"/>
    <x v="453"/>
    <x v="382"/>
    <x v="459"/>
    <x v="383"/>
    <x v="463"/>
    <x v="350"/>
    <x v="475"/>
    <x v="386"/>
    <x v="490"/>
    <x v="397"/>
    <x v="487"/>
    <x v="381"/>
    <x v="478"/>
    <x v="339"/>
  </r>
  <r>
    <x v="4"/>
    <x v="5"/>
    <x v="6"/>
    <x v="456"/>
    <x v="400"/>
    <x v="451"/>
    <x v="357"/>
    <x v="465"/>
    <x v="362"/>
    <x v="464"/>
    <x v="343"/>
    <x v="480"/>
    <x v="374"/>
    <x v="489"/>
    <x v="380"/>
    <x v="489"/>
    <x v="359"/>
    <x v="480"/>
    <x v="326"/>
  </r>
  <r>
    <x v="4"/>
    <x v="6"/>
    <x v="6"/>
    <x v="477"/>
    <x v="416"/>
    <x v="477"/>
    <x v="392"/>
    <x v="484"/>
    <x v="388"/>
    <x v="484"/>
    <x v="348"/>
    <x v="496"/>
    <x v="394"/>
    <x v="500"/>
    <x v="399"/>
    <x v="497"/>
    <x v="379"/>
    <x v="488"/>
    <x v="336"/>
  </r>
  <r>
    <x v="4"/>
    <x v="7"/>
    <x v="6"/>
    <x v="479"/>
    <x v="429"/>
    <x v="479"/>
    <x v="422"/>
    <x v="487"/>
    <x v="412"/>
    <x v="481"/>
    <x v="361"/>
    <x v="495"/>
    <x v="408"/>
    <x v="498"/>
    <x v="408"/>
    <x v="496"/>
    <x v="389"/>
    <x v="487"/>
    <x v="345"/>
  </r>
  <r>
    <x v="4"/>
    <x v="8"/>
    <x v="6"/>
    <x v="465"/>
    <x v="419"/>
    <x v="468"/>
    <x v="393"/>
    <x v="474"/>
    <x v="390"/>
    <x v="473"/>
    <x v="349"/>
    <x v="489"/>
    <x v="404"/>
    <x v="496"/>
    <x v="403"/>
    <x v="493"/>
    <x v="387"/>
    <x v="483"/>
    <x v="343"/>
  </r>
  <r>
    <x v="4"/>
    <x v="9"/>
    <x v="6"/>
    <x v="439"/>
    <x v="346"/>
    <x v="440"/>
    <x v="313"/>
    <x v="437"/>
    <x v="323"/>
    <x v="436"/>
    <x v="300"/>
    <x v="456"/>
    <x v="344"/>
    <x v="478"/>
    <x v="349"/>
    <x v="479"/>
    <x v="342"/>
    <x v="467"/>
    <x v="283"/>
  </r>
  <r>
    <x v="4"/>
    <x v="10"/>
    <x v="6"/>
    <x v="459"/>
    <x v="405"/>
    <x v="449"/>
    <x v="354"/>
    <x v="461"/>
    <x v="357"/>
    <x v="456"/>
    <x v="336"/>
    <x v="476"/>
    <x v="385"/>
    <x v="487"/>
    <x v="389"/>
    <x v="490"/>
    <x v="371"/>
    <x v="479"/>
    <x v="319"/>
  </r>
  <r>
    <x v="4"/>
    <x v="11"/>
    <x v="6"/>
    <x v="486"/>
    <x v="430"/>
    <x v="483"/>
    <x v="425"/>
    <x v="492"/>
    <x v="422"/>
    <x v="489"/>
    <x v="378"/>
    <x v="497"/>
    <x v="426"/>
    <x v="505"/>
    <x v="430"/>
    <x v="504"/>
    <x v="421"/>
    <x v="493"/>
    <x v="357"/>
  </r>
  <r>
    <x v="5"/>
    <x v="0"/>
    <x v="6"/>
    <x v="471"/>
    <x v="433"/>
    <x v="472"/>
    <x v="434"/>
    <x v="477"/>
    <x v="434"/>
    <x v="475"/>
    <x v="392"/>
    <x v="488"/>
    <x v="434"/>
    <x v="492"/>
    <x v="434"/>
    <x v="492"/>
    <x v="426"/>
    <x v="486"/>
    <x v="362"/>
  </r>
  <r>
    <x v="5"/>
    <x v="1"/>
    <x v="6"/>
    <x v="426"/>
    <x v="345"/>
    <x v="423"/>
    <x v="327"/>
    <x v="431"/>
    <x v="346"/>
    <x v="430"/>
    <x v="323"/>
    <x v="446"/>
    <x v="357"/>
    <x v="476"/>
    <x v="350"/>
    <x v="477"/>
    <x v="346"/>
    <x v="468"/>
    <x v="306"/>
  </r>
  <r>
    <x v="5"/>
    <x v="2"/>
    <x v="6"/>
    <x v="461"/>
    <x v="394"/>
    <x v="455"/>
    <x v="349"/>
    <x v="471"/>
    <x v="359"/>
    <x v="465"/>
    <x v="335"/>
    <x v="486"/>
    <x v="383"/>
    <x v="494"/>
    <x v="378"/>
    <x v="494"/>
    <x v="364"/>
    <x v="489"/>
    <x v="337"/>
  </r>
  <r>
    <x v="5"/>
    <x v="3"/>
    <x v="6"/>
    <x v="446"/>
    <x v="375"/>
    <x v="433"/>
    <x v="316"/>
    <x v="455"/>
    <x v="341"/>
    <x v="442"/>
    <x v="320"/>
    <x v="481"/>
    <x v="368"/>
    <x v="491"/>
    <x v="366"/>
    <x v="491"/>
    <x v="355"/>
    <x v="484"/>
    <x v="312"/>
  </r>
  <r>
    <x v="5"/>
    <x v="4"/>
    <x v="6"/>
    <x v="457"/>
    <x v="398"/>
    <x v="441"/>
    <x v="350"/>
    <x v="472"/>
    <x v="379"/>
    <x v="460"/>
    <x v="338"/>
    <x v="493"/>
    <x v="389"/>
    <x v="499"/>
    <x v="398"/>
    <x v="500"/>
    <x v="377"/>
    <x v="490"/>
    <x v="335"/>
  </r>
  <r>
    <x v="5"/>
    <x v="5"/>
    <x v="6"/>
    <x v="464"/>
    <x v="390"/>
    <x v="458"/>
    <x v="340"/>
    <x v="485"/>
    <x v="364"/>
    <x v="471"/>
    <x v="326"/>
    <x v="498"/>
    <x v="376"/>
    <x v="504"/>
    <x v="374"/>
    <x v="505"/>
    <x v="361"/>
    <x v="494"/>
    <x v="313"/>
  </r>
  <r>
    <x v="5"/>
    <x v="6"/>
    <x v="6"/>
    <x v="498"/>
    <x v="434"/>
    <x v="497"/>
    <x v="419"/>
    <x v="508"/>
    <x v="428"/>
    <x v="505"/>
    <x v="366"/>
    <x v="509"/>
    <x v="433"/>
    <x v="511"/>
    <x v="436"/>
    <x v="510"/>
    <x v="420"/>
    <x v="507"/>
    <x v="353"/>
  </r>
  <r>
    <x v="5"/>
    <x v="7"/>
    <x v="6"/>
    <x v="505"/>
    <x v="441"/>
    <x v="512"/>
    <x v="439"/>
    <x v="512"/>
    <x v="438"/>
    <x v="512"/>
    <x v="394"/>
    <x v="510"/>
    <x v="438"/>
    <x v="510"/>
    <x v="433"/>
    <x v="511"/>
    <x v="423"/>
    <x v="512"/>
    <x v="361"/>
  </r>
  <r>
    <x v="5"/>
    <x v="8"/>
    <x v="6"/>
    <x v="490"/>
    <x v="409"/>
    <x v="492"/>
    <x v="374"/>
    <x v="504"/>
    <x v="387"/>
    <x v="494"/>
    <x v="337"/>
    <x v="507"/>
    <x v="400"/>
    <x v="509"/>
    <x v="395"/>
    <x v="509"/>
    <x v="373"/>
    <x v="501"/>
    <x v="322"/>
  </r>
  <r>
    <x v="5"/>
    <x v="9"/>
    <x v="6"/>
    <x v="496"/>
    <x v="413"/>
    <x v="498"/>
    <x v="379"/>
    <x v="510"/>
    <x v="398"/>
    <x v="508"/>
    <x v="344"/>
    <x v="511"/>
    <x v="411"/>
    <x v="512"/>
    <x v="415"/>
    <x v="512"/>
    <x v="395"/>
    <x v="509"/>
    <x v="348"/>
  </r>
  <r>
    <x v="5"/>
    <x v="10"/>
    <x v="6"/>
    <x v="503"/>
    <x v="428"/>
    <x v="506"/>
    <x v="407"/>
    <x v="513"/>
    <x v="424"/>
    <x v="509"/>
    <x v="363"/>
    <x v="512"/>
    <x v="431"/>
    <x v="513"/>
    <x v="427"/>
    <x v="513"/>
    <x v="414"/>
    <x v="514"/>
    <x v="356"/>
  </r>
  <r>
    <x v="5"/>
    <x v="11"/>
    <x v="6"/>
    <x v="508"/>
    <x v="437"/>
    <x v="513"/>
    <x v="431"/>
    <x v="516"/>
    <x v="439"/>
    <x v="513"/>
    <x v="386"/>
    <x v="514"/>
    <x v="441"/>
    <x v="515"/>
    <x v="441"/>
    <x v="515"/>
    <x v="434"/>
    <x v="516"/>
    <x v="369"/>
  </r>
  <r>
    <x v="6"/>
    <x v="0"/>
    <x v="6"/>
    <x v="512"/>
    <x v="443"/>
    <x v="515"/>
    <x v="443"/>
    <x v="517"/>
    <x v="443"/>
    <x v="515"/>
    <x v="433"/>
    <x v="515"/>
    <x v="445"/>
    <x v="516"/>
    <x v="444"/>
    <x v="516"/>
    <x v="445"/>
    <x v="517"/>
    <x v="403"/>
  </r>
  <r>
    <x v="6"/>
    <x v="1"/>
    <x v="6"/>
    <x v="499"/>
    <x v="423"/>
    <x v="508"/>
    <x v="388"/>
    <x v="515"/>
    <x v="405"/>
    <x v="511"/>
    <x v="345"/>
    <x v="513"/>
    <x v="418"/>
    <x v="514"/>
    <x v="418"/>
    <x v="514"/>
    <x v="394"/>
    <x v="515"/>
    <x v="346"/>
  </r>
  <r>
    <x v="0"/>
    <x v="0"/>
    <x v="5"/>
    <x v="131"/>
    <x v="73"/>
    <x v="126"/>
    <x v="72"/>
    <x v="66"/>
    <x v="72"/>
    <x v="66"/>
    <x v="73"/>
    <x v="44"/>
    <x v="62"/>
    <x v="52"/>
    <x v="64"/>
    <x v="32"/>
    <x v="55"/>
    <x v="50"/>
    <x v="63"/>
  </r>
  <r>
    <x v="0"/>
    <x v="1"/>
    <x v="5"/>
    <x v="4"/>
    <x v="0"/>
    <x v="0"/>
    <x v="5"/>
    <x v="0"/>
    <x v="2"/>
    <x v="0"/>
    <x v="6"/>
    <x v="0"/>
    <x v="0"/>
    <x v="0"/>
    <x v="1"/>
    <x v="0"/>
    <x v="0"/>
    <x v="0"/>
    <x v="4"/>
  </r>
  <r>
    <x v="0"/>
    <x v="2"/>
    <x v="5"/>
    <x v="32"/>
    <x v="12"/>
    <x v="7"/>
    <x v="24"/>
    <x v="3"/>
    <x v="17"/>
    <x v="8"/>
    <x v="37"/>
    <x v="1"/>
    <x v="4"/>
    <x v="3"/>
    <x v="15"/>
    <x v="3"/>
    <x v="7"/>
    <x v="3"/>
    <x v="27"/>
  </r>
  <r>
    <x v="0"/>
    <x v="3"/>
    <x v="5"/>
    <x v="29"/>
    <x v="7"/>
    <x v="5"/>
    <x v="20"/>
    <x v="2"/>
    <x v="8"/>
    <x v="5"/>
    <x v="20"/>
    <x v="2"/>
    <x v="1"/>
    <x v="2"/>
    <x v="9"/>
    <x v="1"/>
    <x v="2"/>
    <x v="4"/>
    <x v="26"/>
  </r>
  <r>
    <x v="0"/>
    <x v="4"/>
    <x v="5"/>
    <x v="67"/>
    <x v="29"/>
    <x v="23"/>
    <x v="37"/>
    <x v="14"/>
    <x v="26"/>
    <x v="20"/>
    <x v="40"/>
    <x v="7"/>
    <x v="10"/>
    <x v="8"/>
    <x v="16"/>
    <x v="8"/>
    <x v="11"/>
    <x v="13"/>
    <x v="31"/>
  </r>
  <r>
    <x v="0"/>
    <x v="5"/>
    <x v="5"/>
    <x v="62"/>
    <x v="17"/>
    <x v="25"/>
    <x v="27"/>
    <x v="16"/>
    <x v="18"/>
    <x v="23"/>
    <x v="28"/>
    <x v="8"/>
    <x v="9"/>
    <x v="15"/>
    <x v="17"/>
    <x v="11"/>
    <x v="6"/>
    <x v="14"/>
    <x v="13"/>
  </r>
  <r>
    <x v="0"/>
    <x v="6"/>
    <x v="5"/>
    <x v="76"/>
    <x v="20"/>
    <x v="45"/>
    <x v="36"/>
    <x v="33"/>
    <x v="31"/>
    <x v="36"/>
    <x v="38"/>
    <x v="15"/>
    <x v="11"/>
    <x v="20"/>
    <x v="13"/>
    <x v="17"/>
    <x v="9"/>
    <x v="20"/>
    <x v="18"/>
  </r>
  <r>
    <x v="0"/>
    <x v="7"/>
    <x v="5"/>
    <x v="75"/>
    <x v="10"/>
    <x v="43"/>
    <x v="26"/>
    <x v="29"/>
    <x v="21"/>
    <x v="31"/>
    <x v="21"/>
    <x v="14"/>
    <x v="6"/>
    <x v="18"/>
    <x v="7"/>
    <x v="12"/>
    <x v="3"/>
    <x v="17"/>
    <x v="11"/>
  </r>
  <r>
    <x v="0"/>
    <x v="8"/>
    <x v="5"/>
    <x v="30"/>
    <x v="6"/>
    <x v="4"/>
    <x v="8"/>
    <x v="1"/>
    <x v="6"/>
    <x v="3"/>
    <x v="8"/>
    <x v="3"/>
    <x v="2"/>
    <x v="1"/>
    <x v="5"/>
    <x v="2"/>
    <x v="1"/>
    <x v="1"/>
    <x v="14"/>
  </r>
  <r>
    <x v="0"/>
    <x v="9"/>
    <x v="5"/>
    <x v="73"/>
    <x v="43"/>
    <x v="30"/>
    <x v="48"/>
    <x v="15"/>
    <x v="41"/>
    <x v="16"/>
    <x v="43"/>
    <x v="6"/>
    <x v="21"/>
    <x v="5"/>
    <x v="32"/>
    <x v="5"/>
    <x v="19"/>
    <x v="9"/>
    <x v="33"/>
  </r>
  <r>
    <x v="0"/>
    <x v="10"/>
    <x v="5"/>
    <x v="64"/>
    <x v="50"/>
    <x v="17"/>
    <x v="53"/>
    <x v="12"/>
    <x v="52"/>
    <x v="18"/>
    <x v="56"/>
    <x v="5"/>
    <x v="33"/>
    <x v="9"/>
    <x v="52"/>
    <x v="7"/>
    <x v="34"/>
    <x v="11"/>
    <x v="50"/>
  </r>
  <r>
    <x v="0"/>
    <x v="11"/>
    <x v="5"/>
    <x v="135"/>
    <x v="82"/>
    <x v="115"/>
    <x v="71"/>
    <x v="62"/>
    <x v="71"/>
    <x v="64"/>
    <x v="72"/>
    <x v="52"/>
    <x v="65"/>
    <x v="61"/>
    <x v="69"/>
    <x v="54"/>
    <x v="68"/>
    <x v="59"/>
    <x v="73"/>
  </r>
  <r>
    <x v="1"/>
    <x v="0"/>
    <x v="5"/>
    <x v="104"/>
    <x v="61"/>
    <x v="91"/>
    <x v="64"/>
    <x v="50"/>
    <x v="63"/>
    <x v="53"/>
    <x v="67"/>
    <x v="30"/>
    <x v="61"/>
    <x v="47"/>
    <x v="62"/>
    <x v="31"/>
    <x v="59"/>
    <x v="43"/>
    <x v="64"/>
  </r>
  <r>
    <x v="1"/>
    <x v="1"/>
    <x v="5"/>
    <x v="119"/>
    <x v="62"/>
    <x v="99"/>
    <x v="65"/>
    <x v="58"/>
    <x v="62"/>
    <x v="57"/>
    <x v="63"/>
    <x v="33"/>
    <x v="57"/>
    <x v="40"/>
    <x v="58"/>
    <x v="29"/>
    <x v="44"/>
    <x v="32"/>
    <x v="51"/>
  </r>
  <r>
    <x v="1"/>
    <x v="2"/>
    <x v="5"/>
    <x v="71"/>
    <x v="39"/>
    <x v="18"/>
    <x v="41"/>
    <x v="11"/>
    <x v="34"/>
    <x v="14"/>
    <x v="41"/>
    <x v="10"/>
    <x v="19"/>
    <x v="11"/>
    <x v="39"/>
    <x v="10"/>
    <x v="32"/>
    <x v="12"/>
    <x v="46"/>
  </r>
  <r>
    <x v="1"/>
    <x v="3"/>
    <x v="5"/>
    <x v="78"/>
    <x v="41"/>
    <x v="34"/>
    <x v="42"/>
    <x v="20"/>
    <x v="40"/>
    <x v="25"/>
    <x v="45"/>
    <x v="13"/>
    <x v="22"/>
    <x v="16"/>
    <x v="29"/>
    <x v="15"/>
    <x v="24"/>
    <x v="19"/>
    <x v="47"/>
  </r>
  <r>
    <x v="1"/>
    <x v="4"/>
    <x v="5"/>
    <x v="114"/>
    <x v="53"/>
    <x v="84"/>
    <x v="54"/>
    <x v="47"/>
    <x v="54"/>
    <x v="51"/>
    <x v="59"/>
    <x v="38"/>
    <x v="49"/>
    <x v="42"/>
    <x v="51"/>
    <x v="36"/>
    <x v="36"/>
    <x v="42"/>
    <x v="59"/>
  </r>
  <r>
    <x v="1"/>
    <x v="5"/>
    <x v="5"/>
    <x v="109"/>
    <x v="42"/>
    <x v="77"/>
    <x v="46"/>
    <x v="45"/>
    <x v="44"/>
    <x v="47"/>
    <x v="44"/>
    <x v="32"/>
    <x v="30"/>
    <x v="38"/>
    <x v="27"/>
    <x v="33"/>
    <x v="26"/>
    <x v="35"/>
    <x v="42"/>
  </r>
  <r>
    <x v="1"/>
    <x v="6"/>
    <x v="5"/>
    <x v="111"/>
    <x v="37"/>
    <x v="93"/>
    <x v="45"/>
    <x v="56"/>
    <x v="47"/>
    <x v="58"/>
    <x v="47"/>
    <x v="37"/>
    <x v="27"/>
    <x v="50"/>
    <x v="30"/>
    <x v="40"/>
    <x v="22"/>
    <x v="41"/>
    <x v="28"/>
  </r>
  <r>
    <x v="1"/>
    <x v="7"/>
    <x v="5"/>
    <x v="91"/>
    <x v="19"/>
    <x v="56"/>
    <x v="29"/>
    <x v="39"/>
    <x v="32"/>
    <x v="42"/>
    <x v="25"/>
    <x v="23"/>
    <x v="13"/>
    <x v="29"/>
    <x v="11"/>
    <x v="24"/>
    <x v="15"/>
    <x v="25"/>
    <x v="16"/>
  </r>
  <r>
    <x v="1"/>
    <x v="8"/>
    <x v="5"/>
    <x v="74"/>
    <x v="31"/>
    <x v="21"/>
    <x v="31"/>
    <x v="18"/>
    <x v="27"/>
    <x v="17"/>
    <x v="30"/>
    <x v="12"/>
    <x v="12"/>
    <x v="19"/>
    <x v="28"/>
    <x v="16"/>
    <x v="18"/>
    <x v="10"/>
    <x v="53"/>
  </r>
  <r>
    <x v="1"/>
    <x v="9"/>
    <x v="5"/>
    <x v="118"/>
    <x v="58"/>
    <x v="82"/>
    <x v="60"/>
    <x v="44"/>
    <x v="59"/>
    <x v="46"/>
    <x v="58"/>
    <x v="34"/>
    <x v="52"/>
    <x v="35"/>
    <x v="49"/>
    <x v="27"/>
    <x v="46"/>
    <x v="30"/>
    <x v="57"/>
  </r>
  <r>
    <x v="1"/>
    <x v="10"/>
    <x v="5"/>
    <x v="97"/>
    <x v="56"/>
    <x v="49"/>
    <x v="57"/>
    <x v="30"/>
    <x v="56"/>
    <x v="29"/>
    <x v="57"/>
    <x v="21"/>
    <x v="46"/>
    <x v="26"/>
    <x v="53"/>
    <x v="20"/>
    <x v="56"/>
    <x v="21"/>
    <x v="55"/>
  </r>
  <r>
    <x v="1"/>
    <x v="11"/>
    <x v="5"/>
    <x v="145"/>
    <x v="81"/>
    <x v="137"/>
    <x v="70"/>
    <x v="72"/>
    <x v="70"/>
    <x v="72"/>
    <x v="70"/>
    <x v="66"/>
    <x v="67"/>
    <x v="69"/>
    <x v="71"/>
    <x v="66"/>
    <x v="69"/>
    <x v="67"/>
    <x v="71"/>
  </r>
  <r>
    <x v="2"/>
    <x v="0"/>
    <x v="5"/>
    <x v="144"/>
    <x v="83"/>
    <x v="139"/>
    <x v="73"/>
    <x v="82"/>
    <x v="73"/>
    <x v="68"/>
    <x v="68"/>
    <x v="65"/>
    <x v="66"/>
    <x v="67"/>
    <x v="68"/>
    <x v="59"/>
    <x v="65"/>
    <x v="62"/>
    <x v="67"/>
  </r>
  <r>
    <x v="2"/>
    <x v="1"/>
    <x v="5"/>
    <x v="106"/>
    <x v="57"/>
    <x v="76"/>
    <x v="59"/>
    <x v="46"/>
    <x v="57"/>
    <x v="43"/>
    <x v="49"/>
    <x v="26"/>
    <x v="38"/>
    <x v="31"/>
    <x v="37"/>
    <x v="25"/>
    <x v="27"/>
    <x v="24"/>
    <x v="39"/>
  </r>
  <r>
    <x v="2"/>
    <x v="2"/>
    <x v="5"/>
    <x v="40"/>
    <x v="11"/>
    <x v="2"/>
    <x v="9"/>
    <x v="4"/>
    <x v="15"/>
    <x v="2"/>
    <x v="11"/>
    <x v="4"/>
    <x v="7"/>
    <x v="6"/>
    <x v="20"/>
    <x v="4"/>
    <x v="16"/>
    <x v="2"/>
    <x v="7"/>
  </r>
  <r>
    <x v="2"/>
    <x v="3"/>
    <x v="5"/>
    <x v="112"/>
    <x v="44"/>
    <x v="66"/>
    <x v="43"/>
    <x v="43"/>
    <x v="46"/>
    <x v="40"/>
    <x v="39"/>
    <x v="42"/>
    <x v="44"/>
    <x v="48"/>
    <x v="57"/>
    <x v="37"/>
    <x v="33"/>
    <x v="33"/>
    <x v="23"/>
  </r>
  <r>
    <x v="2"/>
    <x v="4"/>
    <x v="5"/>
    <x v="125"/>
    <x v="49"/>
    <x v="86"/>
    <x v="49"/>
    <x v="54"/>
    <x v="51"/>
    <x v="49"/>
    <x v="46"/>
    <x v="48"/>
    <x v="48"/>
    <x v="53"/>
    <x v="42"/>
    <x v="46"/>
    <x v="40"/>
    <x v="46"/>
    <x v="25"/>
  </r>
  <r>
    <x v="2"/>
    <x v="5"/>
    <x v="5"/>
    <x v="130"/>
    <x v="48"/>
    <x v="105"/>
    <x v="51"/>
    <x v="60"/>
    <x v="50"/>
    <x v="63"/>
    <x v="48"/>
    <x v="53"/>
    <x v="39"/>
    <x v="62"/>
    <x v="43"/>
    <x v="52"/>
    <x v="39"/>
    <x v="51"/>
    <x v="32"/>
  </r>
  <r>
    <x v="2"/>
    <x v="6"/>
    <x v="5"/>
    <x v="123"/>
    <x v="34"/>
    <x v="96"/>
    <x v="39"/>
    <x v="61"/>
    <x v="45"/>
    <x v="62"/>
    <x v="36"/>
    <x v="55"/>
    <x v="34"/>
    <x v="60"/>
    <x v="34"/>
    <x v="53"/>
    <x v="21"/>
    <x v="48"/>
    <x v="6"/>
  </r>
  <r>
    <x v="2"/>
    <x v="7"/>
    <x v="5"/>
    <x v="99"/>
    <x v="13"/>
    <x v="41"/>
    <x v="18"/>
    <x v="40"/>
    <x v="23"/>
    <x v="35"/>
    <x v="9"/>
    <x v="43"/>
    <x v="20"/>
    <x v="39"/>
    <x v="14"/>
    <x v="30"/>
    <x v="12"/>
    <x v="28"/>
    <x v="3"/>
  </r>
  <r>
    <x v="2"/>
    <x v="8"/>
    <x v="5"/>
    <x v="43"/>
    <x v="2"/>
    <x v="3"/>
    <x v="2"/>
    <x v="5"/>
    <x v="3"/>
    <x v="4"/>
    <x v="2"/>
    <x v="9"/>
    <x v="3"/>
    <x v="10"/>
    <x v="3"/>
    <x v="6"/>
    <x v="5"/>
    <x v="5"/>
    <x v="1"/>
  </r>
  <r>
    <x v="2"/>
    <x v="9"/>
    <x v="5"/>
    <x v="84"/>
    <x v="33"/>
    <x v="28"/>
    <x v="33"/>
    <x v="22"/>
    <x v="33"/>
    <x v="22"/>
    <x v="22"/>
    <x v="25"/>
    <x v="28"/>
    <x v="25"/>
    <x v="38"/>
    <x v="19"/>
    <x v="20"/>
    <x v="18"/>
    <x v="9"/>
  </r>
  <r>
    <x v="2"/>
    <x v="10"/>
    <x v="5"/>
    <x v="95"/>
    <x v="55"/>
    <x v="47"/>
    <x v="55"/>
    <x v="27"/>
    <x v="55"/>
    <x v="27"/>
    <x v="52"/>
    <x v="31"/>
    <x v="56"/>
    <x v="27"/>
    <x v="55"/>
    <x v="21"/>
    <x v="52"/>
    <x v="22"/>
    <x v="49"/>
  </r>
  <r>
    <x v="2"/>
    <x v="11"/>
    <x v="5"/>
    <x v="143"/>
    <x v="75"/>
    <x v="136"/>
    <x v="69"/>
    <x v="77"/>
    <x v="69"/>
    <x v="71"/>
    <x v="69"/>
    <x v="69"/>
    <x v="71"/>
    <x v="68"/>
    <x v="73"/>
    <x v="67"/>
    <x v="66"/>
    <x v="66"/>
    <x v="69"/>
  </r>
  <r>
    <x v="3"/>
    <x v="0"/>
    <x v="5"/>
    <x v="140"/>
    <x v="74"/>
    <x v="129"/>
    <x v="67"/>
    <x v="70"/>
    <x v="64"/>
    <x v="65"/>
    <x v="65"/>
    <x v="68"/>
    <x v="69"/>
    <x v="66"/>
    <x v="66"/>
    <x v="60"/>
    <x v="64"/>
    <x v="60"/>
    <x v="61"/>
  </r>
  <r>
    <x v="3"/>
    <x v="1"/>
    <x v="5"/>
    <x v="52"/>
    <x v="9"/>
    <x v="9"/>
    <x v="11"/>
    <x v="10"/>
    <x v="7"/>
    <x v="11"/>
    <x v="7"/>
    <x v="19"/>
    <x v="17"/>
    <x v="12"/>
    <x v="6"/>
    <x v="9"/>
    <x v="8"/>
    <x v="7"/>
    <x v="15"/>
  </r>
  <r>
    <x v="3"/>
    <x v="2"/>
    <x v="5"/>
    <x v="66"/>
    <x v="14"/>
    <x v="10"/>
    <x v="12"/>
    <x v="7"/>
    <x v="9"/>
    <x v="10"/>
    <x v="17"/>
    <x v="18"/>
    <x v="25"/>
    <x v="13"/>
    <x v="21"/>
    <x v="14"/>
    <x v="25"/>
    <x v="15"/>
    <x v="22"/>
  </r>
  <r>
    <x v="3"/>
    <x v="3"/>
    <x v="5"/>
    <x v="107"/>
    <x v="36"/>
    <x v="53"/>
    <x v="35"/>
    <x v="37"/>
    <x v="30"/>
    <x v="38"/>
    <x v="35"/>
    <x v="49"/>
    <x v="43"/>
    <x v="43"/>
    <x v="36"/>
    <x v="41"/>
    <x v="45"/>
    <x v="39"/>
    <x v="24"/>
  </r>
  <r>
    <x v="3"/>
    <x v="4"/>
    <x v="5"/>
    <x v="124"/>
    <x v="46"/>
    <x v="88"/>
    <x v="44"/>
    <x v="53"/>
    <x v="43"/>
    <x v="55"/>
    <x v="50"/>
    <x v="61"/>
    <x v="54"/>
    <x v="58"/>
    <x v="46"/>
    <x v="56"/>
    <x v="57"/>
    <x v="57"/>
    <x v="58"/>
  </r>
  <r>
    <x v="3"/>
    <x v="5"/>
    <x v="5"/>
    <x v="93"/>
    <x v="16"/>
    <x v="35"/>
    <x v="13"/>
    <x v="25"/>
    <x v="12"/>
    <x v="30"/>
    <x v="16"/>
    <x v="36"/>
    <x v="23"/>
    <x v="30"/>
    <x v="18"/>
    <x v="28"/>
    <x v="13"/>
    <x v="34"/>
    <x v="19"/>
  </r>
  <r>
    <x v="3"/>
    <x v="6"/>
    <x v="5"/>
    <x v="120"/>
    <x v="30"/>
    <x v="85"/>
    <x v="30"/>
    <x v="55"/>
    <x v="29"/>
    <x v="59"/>
    <x v="32"/>
    <x v="60"/>
    <x v="37"/>
    <x v="55"/>
    <x v="31"/>
    <x v="55"/>
    <x v="29"/>
    <x v="54"/>
    <x v="21"/>
  </r>
  <r>
    <x v="3"/>
    <x v="7"/>
    <x v="5"/>
    <x v="96"/>
    <x v="8"/>
    <x v="44"/>
    <x v="10"/>
    <x v="34"/>
    <x v="11"/>
    <x v="41"/>
    <x v="14"/>
    <x v="41"/>
    <x v="16"/>
    <x v="36"/>
    <x v="22"/>
    <x v="35"/>
    <x v="14"/>
    <x v="36"/>
    <x v="8"/>
  </r>
  <r>
    <x v="3"/>
    <x v="8"/>
    <x v="5"/>
    <x v="57"/>
    <x v="5"/>
    <x v="8"/>
    <x v="4"/>
    <x v="8"/>
    <x v="1"/>
    <x v="9"/>
    <x v="12"/>
    <x v="17"/>
    <x v="15"/>
    <x v="14"/>
    <x v="8"/>
    <x v="18"/>
    <x v="10"/>
    <x v="16"/>
    <x v="34"/>
  </r>
  <r>
    <x v="3"/>
    <x v="9"/>
    <x v="5"/>
    <x v="116"/>
    <x v="45"/>
    <x v="59"/>
    <x v="40"/>
    <x v="38"/>
    <x v="38"/>
    <x v="44"/>
    <x v="42"/>
    <x v="50"/>
    <x v="50"/>
    <x v="45"/>
    <x v="45"/>
    <x v="45"/>
    <x v="48"/>
    <x v="40"/>
    <x v="41"/>
  </r>
  <r>
    <x v="3"/>
    <x v="10"/>
    <x v="5"/>
    <x v="101"/>
    <x v="54"/>
    <x v="39"/>
    <x v="50"/>
    <x v="31"/>
    <x v="49"/>
    <x v="34"/>
    <x v="51"/>
    <x v="35"/>
    <x v="53"/>
    <x v="32"/>
    <x v="48"/>
    <x v="34"/>
    <x v="54"/>
    <x v="37"/>
    <x v="52"/>
  </r>
  <r>
    <x v="3"/>
    <x v="11"/>
    <x v="5"/>
    <x v="146"/>
    <x v="78"/>
    <x v="133"/>
    <x v="68"/>
    <x v="79"/>
    <x v="68"/>
    <x v="73"/>
    <x v="71"/>
    <x v="70"/>
    <x v="70"/>
    <x v="71"/>
    <x v="72"/>
    <x v="70"/>
    <x v="73"/>
    <x v="69"/>
    <x v="70"/>
  </r>
  <r>
    <x v="4"/>
    <x v="0"/>
    <x v="5"/>
    <x v="98"/>
    <x v="52"/>
    <x v="51"/>
    <x v="52"/>
    <x v="36"/>
    <x v="53"/>
    <x v="37"/>
    <x v="53"/>
    <x v="39"/>
    <x v="55"/>
    <x v="34"/>
    <x v="59"/>
    <x v="43"/>
    <x v="60"/>
    <x v="38"/>
    <x v="48"/>
  </r>
  <r>
    <x v="4"/>
    <x v="1"/>
    <x v="5"/>
    <x v="122"/>
    <x v="59"/>
    <x v="78"/>
    <x v="58"/>
    <x v="52"/>
    <x v="58"/>
    <x v="54"/>
    <x v="60"/>
    <x v="51"/>
    <x v="58"/>
    <x v="46"/>
    <x v="54"/>
    <x v="48"/>
    <x v="58"/>
    <x v="45"/>
    <x v="43"/>
  </r>
  <r>
    <x v="4"/>
    <x v="2"/>
    <x v="5"/>
    <x v="72"/>
    <x v="22"/>
    <x v="11"/>
    <x v="14"/>
    <x v="9"/>
    <x v="13"/>
    <x v="12"/>
    <x v="26"/>
    <x v="16"/>
    <x v="26"/>
    <x v="21"/>
    <x v="33"/>
    <x v="22"/>
    <x v="28"/>
    <x v="27"/>
    <x v="40"/>
  </r>
  <r>
    <x v="4"/>
    <x v="3"/>
    <x v="5"/>
    <x v="100"/>
    <x v="35"/>
    <x v="42"/>
    <x v="28"/>
    <x v="35"/>
    <x v="37"/>
    <x v="39"/>
    <x v="31"/>
    <x v="46"/>
    <x v="40"/>
    <x v="37"/>
    <x v="40"/>
    <x v="49"/>
    <x v="47"/>
    <x v="49"/>
    <x v="36"/>
  </r>
  <r>
    <x v="4"/>
    <x v="4"/>
    <x v="5"/>
    <x v="128"/>
    <x v="51"/>
    <x v="87"/>
    <x v="47"/>
    <x v="57"/>
    <x v="48"/>
    <x v="60"/>
    <x v="54"/>
    <x v="62"/>
    <x v="60"/>
    <x v="63"/>
    <x v="60"/>
    <x v="64"/>
    <x v="61"/>
    <x v="63"/>
    <x v="68"/>
  </r>
  <r>
    <x v="4"/>
    <x v="5"/>
    <x v="5"/>
    <x v="117"/>
    <x v="38"/>
    <x v="68"/>
    <x v="32"/>
    <x v="51"/>
    <x v="36"/>
    <x v="50"/>
    <x v="34"/>
    <x v="59"/>
    <x v="45"/>
    <x v="56"/>
    <x v="35"/>
    <x v="62"/>
    <x v="53"/>
    <x v="58"/>
    <x v="35"/>
  </r>
  <r>
    <x v="4"/>
    <x v="6"/>
    <x v="5"/>
    <x v="110"/>
    <x v="25"/>
    <x v="58"/>
    <x v="23"/>
    <x v="48"/>
    <x v="19"/>
    <x v="48"/>
    <x v="24"/>
    <x v="56"/>
    <x v="35"/>
    <x v="51"/>
    <x v="24"/>
    <x v="57"/>
    <x v="37"/>
    <x v="53"/>
    <x v="20"/>
  </r>
  <r>
    <x v="4"/>
    <x v="7"/>
    <x v="5"/>
    <x v="79"/>
    <x v="4"/>
    <x v="19"/>
    <x v="3"/>
    <x v="24"/>
    <x v="4"/>
    <x v="24"/>
    <x v="4"/>
    <x v="27"/>
    <x v="8"/>
    <x v="23"/>
    <x v="2"/>
    <x v="39"/>
    <x v="17"/>
    <x v="29"/>
    <x v="2"/>
  </r>
  <r>
    <x v="4"/>
    <x v="8"/>
    <x v="5"/>
    <x v="86"/>
    <x v="18"/>
    <x v="16"/>
    <x v="7"/>
    <x v="19"/>
    <x v="10"/>
    <x v="15"/>
    <x v="13"/>
    <x v="24"/>
    <x v="24"/>
    <x v="22"/>
    <x v="23"/>
    <x v="26"/>
    <x v="31"/>
    <x v="23"/>
    <x v="38"/>
  </r>
  <r>
    <x v="4"/>
    <x v="9"/>
    <x v="5"/>
    <x v="80"/>
    <x v="26"/>
    <x v="14"/>
    <x v="21"/>
    <x v="17"/>
    <x v="16"/>
    <x v="7"/>
    <x v="5"/>
    <x v="20"/>
    <x v="18"/>
    <x v="7"/>
    <x v="10"/>
    <x v="23"/>
    <x v="23"/>
    <x v="8"/>
    <x v="5"/>
  </r>
  <r>
    <x v="4"/>
    <x v="10"/>
    <x v="5"/>
    <x v="108"/>
    <x v="47"/>
    <x v="33"/>
    <x v="38"/>
    <x v="26"/>
    <x v="39"/>
    <x v="21"/>
    <x v="29"/>
    <x v="29"/>
    <x v="47"/>
    <x v="24"/>
    <x v="50"/>
    <x v="42"/>
    <x v="51"/>
    <x v="31"/>
    <x v="30"/>
  </r>
  <r>
    <x v="4"/>
    <x v="11"/>
    <x v="5"/>
    <x v="147"/>
    <x v="72"/>
    <x v="131"/>
    <x v="66"/>
    <x v="80"/>
    <x v="66"/>
    <x v="70"/>
    <x v="66"/>
    <x v="71"/>
    <x v="72"/>
    <x v="70"/>
    <x v="67"/>
    <x v="71"/>
    <x v="70"/>
    <x v="71"/>
    <x v="66"/>
  </r>
  <r>
    <x v="5"/>
    <x v="0"/>
    <x v="5"/>
    <x v="136"/>
    <x v="64"/>
    <x v="104"/>
    <x v="61"/>
    <x v="63"/>
    <x v="61"/>
    <x v="61"/>
    <x v="61"/>
    <x v="63"/>
    <x v="63"/>
    <x v="59"/>
    <x v="61"/>
    <x v="63"/>
    <x v="63"/>
    <x v="61"/>
    <x v="60"/>
  </r>
  <r>
    <x v="5"/>
    <x v="1"/>
    <x v="5"/>
    <x v="33"/>
    <x v="1"/>
    <x v="1"/>
    <x v="0"/>
    <x v="6"/>
    <x v="0"/>
    <x v="1"/>
    <x v="0"/>
    <x v="11"/>
    <x v="5"/>
    <x v="4"/>
    <x v="0"/>
    <x v="13"/>
    <x v="4"/>
    <x v="6"/>
    <x v="0"/>
  </r>
  <r>
    <x v="5"/>
    <x v="2"/>
    <x v="5"/>
    <x v="89"/>
    <x v="27"/>
    <x v="15"/>
    <x v="17"/>
    <x v="21"/>
    <x v="20"/>
    <x v="19"/>
    <x v="18"/>
    <x v="28"/>
    <x v="32"/>
    <x v="28"/>
    <x v="25"/>
    <x v="44"/>
    <x v="50"/>
    <x v="44"/>
    <x v="44"/>
  </r>
  <r>
    <x v="5"/>
    <x v="3"/>
    <x v="5"/>
    <x v="94"/>
    <x v="28"/>
    <x v="22"/>
    <x v="22"/>
    <x v="28"/>
    <x v="25"/>
    <x v="28"/>
    <x v="23"/>
    <x v="45"/>
    <x v="42"/>
    <x v="41"/>
    <x v="47"/>
    <x v="47"/>
    <x v="38"/>
    <x v="52"/>
    <x v="37"/>
  </r>
  <r>
    <x v="5"/>
    <x v="4"/>
    <x v="5"/>
    <x v="90"/>
    <x v="24"/>
    <x v="20"/>
    <x v="15"/>
    <x v="32"/>
    <x v="28"/>
    <x v="26"/>
    <x v="19"/>
    <x v="47"/>
    <x v="51"/>
    <x v="44"/>
    <x v="41"/>
    <x v="50"/>
    <x v="43"/>
    <x v="56"/>
    <x v="56"/>
  </r>
  <r>
    <x v="5"/>
    <x v="5"/>
    <x v="5"/>
    <x v="102"/>
    <x v="21"/>
    <x v="38"/>
    <x v="16"/>
    <x v="41"/>
    <x v="22"/>
    <x v="33"/>
    <x v="10"/>
    <x v="54"/>
    <x v="31"/>
    <x v="49"/>
    <x v="19"/>
    <x v="58"/>
    <x v="30"/>
    <x v="55"/>
    <x v="12"/>
  </r>
  <r>
    <x v="5"/>
    <x v="6"/>
    <x v="5"/>
    <x v="121"/>
    <x v="32"/>
    <x v="74"/>
    <x v="25"/>
    <x v="59"/>
    <x v="35"/>
    <x v="52"/>
    <x v="27"/>
    <x v="64"/>
    <x v="41"/>
    <x v="64"/>
    <x v="44"/>
    <x v="68"/>
    <x v="49"/>
    <x v="68"/>
    <x v="45"/>
  </r>
  <r>
    <x v="5"/>
    <x v="7"/>
    <x v="5"/>
    <x v="113"/>
    <x v="23"/>
    <x v="57"/>
    <x v="19"/>
    <x v="49"/>
    <x v="24"/>
    <x v="45"/>
    <x v="15"/>
    <x v="58"/>
    <x v="36"/>
    <x v="54"/>
    <x v="26"/>
    <x v="65"/>
    <x v="41"/>
    <x v="65"/>
    <x v="29"/>
  </r>
  <r>
    <x v="5"/>
    <x v="8"/>
    <x v="5"/>
    <x v="58"/>
    <x v="3"/>
    <x v="6"/>
    <x v="1"/>
    <x v="13"/>
    <x v="5"/>
    <x v="6"/>
    <x v="1"/>
    <x v="22"/>
    <x v="14"/>
    <x v="17"/>
    <x v="4"/>
    <x v="38"/>
    <x v="35"/>
    <x v="26"/>
    <x v="10"/>
  </r>
  <r>
    <x v="5"/>
    <x v="9"/>
    <x v="5"/>
    <x v="103"/>
    <x v="40"/>
    <x v="40"/>
    <x v="34"/>
    <x v="42"/>
    <x v="42"/>
    <x v="32"/>
    <x v="33"/>
    <x v="57"/>
    <x v="59"/>
    <x v="57"/>
    <x v="56"/>
    <x v="61"/>
    <x v="62"/>
    <x v="64"/>
    <x v="54"/>
  </r>
  <r>
    <x v="5"/>
    <x v="10"/>
    <x v="5"/>
    <x v="132"/>
    <x v="60"/>
    <x v="94"/>
    <x v="56"/>
    <x v="64"/>
    <x v="60"/>
    <x v="56"/>
    <x v="55"/>
    <x v="67"/>
    <x v="64"/>
    <x v="65"/>
    <x v="63"/>
    <x v="69"/>
    <x v="67"/>
    <x v="70"/>
    <x v="62"/>
  </r>
  <r>
    <x v="5"/>
    <x v="11"/>
    <x v="5"/>
    <x v="142"/>
    <x v="68"/>
    <x v="125"/>
    <x v="63"/>
    <x v="85"/>
    <x v="67"/>
    <x v="67"/>
    <x v="64"/>
    <x v="76"/>
    <x v="73"/>
    <x v="73"/>
    <x v="70"/>
    <x v="74"/>
    <x v="71"/>
    <x v="73"/>
    <x v="72"/>
  </r>
  <r>
    <x v="6"/>
    <x v="0"/>
    <x v="5"/>
    <x v="141"/>
    <x v="66"/>
    <x v="124"/>
    <x v="62"/>
    <x v="86"/>
    <x v="65"/>
    <x v="69"/>
    <x v="62"/>
    <x v="75"/>
    <x v="68"/>
    <x v="72"/>
    <x v="65"/>
    <x v="72"/>
    <x v="72"/>
    <x v="72"/>
    <x v="65"/>
  </r>
  <r>
    <x v="6"/>
    <x v="1"/>
    <x v="5"/>
    <x v="85"/>
    <x v="15"/>
    <x v="12"/>
    <x v="6"/>
    <x v="23"/>
    <x v="14"/>
    <x v="13"/>
    <x v="3"/>
    <x v="40"/>
    <x v="29"/>
    <x v="33"/>
    <x v="12"/>
    <x v="51"/>
    <x v="42"/>
    <x v="47"/>
    <x v="17"/>
  </r>
  <r>
    <x v="0"/>
    <x v="0"/>
    <x v="0"/>
    <x v="69"/>
    <x v="136"/>
    <x v="130"/>
    <x v="141"/>
    <x v="137"/>
    <x v="148"/>
    <x v="145"/>
    <x v="220"/>
    <x v="116"/>
    <x v="139"/>
    <x v="136"/>
    <x v="223"/>
    <x v="110"/>
    <x v="166"/>
    <x v="121"/>
    <x v="244"/>
  </r>
  <r>
    <x v="0"/>
    <x v="1"/>
    <x v="0"/>
    <x v="1"/>
    <x v="63"/>
    <x v="36"/>
    <x v="75"/>
    <x v="75"/>
    <x v="74"/>
    <x v="90"/>
    <x v="82"/>
    <x v="72"/>
    <x v="74"/>
    <x v="82"/>
    <x v="151"/>
    <x v="73"/>
    <x v="74"/>
    <x v="75"/>
    <x v="119"/>
  </r>
  <r>
    <x v="0"/>
    <x v="2"/>
    <x v="0"/>
    <x v="2"/>
    <x v="67"/>
    <x v="32"/>
    <x v="78"/>
    <x v="74"/>
    <x v="78"/>
    <x v="95"/>
    <x v="95"/>
    <x v="74"/>
    <x v="75"/>
    <x v="94"/>
    <x v="196"/>
    <x v="76"/>
    <x v="81"/>
    <x v="81"/>
    <x v="155"/>
  </r>
  <r>
    <x v="0"/>
    <x v="3"/>
    <x v="0"/>
    <x v="0"/>
    <x v="84"/>
    <x v="29"/>
    <x v="88"/>
    <x v="69"/>
    <x v="86"/>
    <x v="82"/>
    <x v="104"/>
    <x v="73"/>
    <x v="77"/>
    <x v="77"/>
    <x v="135"/>
    <x v="75"/>
    <x v="78"/>
    <x v="76"/>
    <x v="142"/>
  </r>
  <r>
    <x v="0"/>
    <x v="4"/>
    <x v="0"/>
    <x v="11"/>
    <x v="92"/>
    <x v="63"/>
    <x v="94"/>
    <x v="94"/>
    <x v="95"/>
    <x v="106"/>
    <x v="112"/>
    <x v="81"/>
    <x v="90"/>
    <x v="91"/>
    <x v="155"/>
    <x v="83"/>
    <x v="96"/>
    <x v="84"/>
    <x v="152"/>
  </r>
  <r>
    <x v="0"/>
    <x v="5"/>
    <x v="0"/>
    <x v="12"/>
    <x v="97"/>
    <x v="75"/>
    <x v="99"/>
    <x v="101"/>
    <x v="99"/>
    <x v="112"/>
    <x v="111"/>
    <x v="84"/>
    <x v="87"/>
    <x v="95"/>
    <x v="134"/>
    <x v="87"/>
    <x v="89"/>
    <x v="86"/>
    <x v="151"/>
  </r>
  <r>
    <x v="0"/>
    <x v="6"/>
    <x v="0"/>
    <x v="48"/>
    <x v="132"/>
    <x v="119"/>
    <x v="134"/>
    <x v="132"/>
    <x v="135"/>
    <x v="136"/>
    <x v="158"/>
    <x v="107"/>
    <x v="111"/>
    <x v="117"/>
    <x v="147"/>
    <x v="108"/>
    <x v="129"/>
    <x v="113"/>
    <x v="191"/>
  </r>
  <r>
    <x v="0"/>
    <x v="7"/>
    <x v="0"/>
    <x v="45"/>
    <x v="109"/>
    <x v="120"/>
    <x v="119"/>
    <x v="133"/>
    <x v="121"/>
    <x v="138"/>
    <x v="137"/>
    <x v="115"/>
    <x v="102"/>
    <x v="127"/>
    <x v="146"/>
    <x v="116"/>
    <x v="115"/>
    <x v="119"/>
    <x v="189"/>
  </r>
  <r>
    <x v="0"/>
    <x v="8"/>
    <x v="0"/>
    <x v="10"/>
    <x v="85"/>
    <x v="50"/>
    <x v="84"/>
    <x v="88"/>
    <x v="89"/>
    <x v="100"/>
    <x v="96"/>
    <x v="79"/>
    <x v="79"/>
    <x v="87"/>
    <x v="103"/>
    <x v="82"/>
    <x v="82"/>
    <x v="82"/>
    <x v="141"/>
  </r>
  <r>
    <x v="0"/>
    <x v="9"/>
    <x v="0"/>
    <x v="17"/>
    <x v="86"/>
    <x v="72"/>
    <x v="86"/>
    <x v="100"/>
    <x v="91"/>
    <x v="110"/>
    <x v="105"/>
    <x v="88"/>
    <x v="85"/>
    <x v="90"/>
    <x v="95"/>
    <x v="89"/>
    <x v="101"/>
    <x v="94"/>
    <x v="183"/>
  </r>
  <r>
    <x v="0"/>
    <x v="10"/>
    <x v="0"/>
    <x v="36"/>
    <x v="119"/>
    <x v="101"/>
    <x v="124"/>
    <x v="113"/>
    <x v="125"/>
    <x v="124"/>
    <x v="161"/>
    <x v="102"/>
    <x v="134"/>
    <x v="113"/>
    <x v="168"/>
    <x v="103"/>
    <x v="147"/>
    <x v="106"/>
    <x v="201"/>
  </r>
  <r>
    <x v="0"/>
    <x v="11"/>
    <x v="0"/>
    <x v="49"/>
    <x v="111"/>
    <x v="106"/>
    <x v="113"/>
    <x v="121"/>
    <x v="122"/>
    <x v="130"/>
    <x v="155"/>
    <x v="108"/>
    <x v="122"/>
    <x v="118"/>
    <x v="176"/>
    <x v="112"/>
    <x v="157"/>
    <x v="120"/>
    <x v="218"/>
  </r>
  <r>
    <x v="1"/>
    <x v="0"/>
    <x v="0"/>
    <x v="68"/>
    <x v="130"/>
    <x v="127"/>
    <x v="129"/>
    <x v="129"/>
    <x v="130"/>
    <x v="139"/>
    <x v="169"/>
    <x v="119"/>
    <x v="135"/>
    <x v="129"/>
    <x v="167"/>
    <x v="117"/>
    <x v="174"/>
    <x v="124"/>
    <x v="228"/>
  </r>
  <r>
    <x v="1"/>
    <x v="1"/>
    <x v="0"/>
    <x v="60"/>
    <x v="122"/>
    <x v="128"/>
    <x v="118"/>
    <x v="135"/>
    <x v="118"/>
    <x v="134"/>
    <x v="136"/>
    <x v="122"/>
    <x v="109"/>
    <x v="126"/>
    <x v="133"/>
    <x v="119"/>
    <x v="151"/>
    <x v="116"/>
    <x v="204"/>
  </r>
  <r>
    <x v="1"/>
    <x v="2"/>
    <x v="0"/>
    <x v="19"/>
    <x v="79"/>
    <x v="69"/>
    <x v="80"/>
    <x v="95"/>
    <x v="80"/>
    <x v="102"/>
    <x v="91"/>
    <x v="85"/>
    <x v="78"/>
    <x v="85"/>
    <x v="87"/>
    <x v="86"/>
    <x v="94"/>
    <x v="91"/>
    <x v="157"/>
  </r>
  <r>
    <x v="1"/>
    <x v="3"/>
    <x v="0"/>
    <x v="14"/>
    <x v="100"/>
    <x v="73"/>
    <x v="101"/>
    <x v="98"/>
    <x v="96"/>
    <x v="104"/>
    <x v="109"/>
    <x v="89"/>
    <x v="94"/>
    <x v="88"/>
    <x v="100"/>
    <x v="88"/>
    <x v="92"/>
    <x v="92"/>
    <x v="163"/>
  </r>
  <r>
    <x v="1"/>
    <x v="4"/>
    <x v="0"/>
    <x v="26"/>
    <x v="102"/>
    <x v="90"/>
    <x v="103"/>
    <x v="109"/>
    <x v="102"/>
    <x v="115"/>
    <x v="118"/>
    <x v="98"/>
    <x v="106"/>
    <x v="107"/>
    <x v="130"/>
    <x v="104"/>
    <x v="99"/>
    <x v="105"/>
    <x v="196"/>
  </r>
  <r>
    <x v="1"/>
    <x v="5"/>
    <x v="0"/>
    <x v="28"/>
    <x v="112"/>
    <x v="83"/>
    <x v="106"/>
    <x v="105"/>
    <x v="105"/>
    <x v="113"/>
    <x v="117"/>
    <x v="96"/>
    <x v="98"/>
    <x v="97"/>
    <x v="98"/>
    <x v="94"/>
    <x v="87"/>
    <x v="96"/>
    <x v="168"/>
  </r>
  <r>
    <x v="1"/>
    <x v="6"/>
    <x v="0"/>
    <x v="54"/>
    <x v="123"/>
    <x v="118"/>
    <x v="130"/>
    <x v="130"/>
    <x v="131"/>
    <x v="132"/>
    <x v="141"/>
    <x v="124"/>
    <x v="119"/>
    <x v="122"/>
    <x v="136"/>
    <x v="121"/>
    <x v="149"/>
    <x v="125"/>
    <x v="209"/>
  </r>
  <r>
    <x v="1"/>
    <x v="7"/>
    <x v="0"/>
    <x v="59"/>
    <x v="103"/>
    <x v="121"/>
    <x v="107"/>
    <x v="131"/>
    <x v="110"/>
    <x v="135"/>
    <x v="123"/>
    <x v="127"/>
    <x v="104"/>
    <x v="130"/>
    <x v="119"/>
    <x v="122"/>
    <x v="98"/>
    <x v="128"/>
    <x v="184"/>
  </r>
  <r>
    <x v="1"/>
    <x v="8"/>
    <x v="0"/>
    <x v="16"/>
    <x v="80"/>
    <x v="60"/>
    <x v="81"/>
    <x v="92"/>
    <x v="82"/>
    <x v="98"/>
    <x v="90"/>
    <x v="90"/>
    <x v="86"/>
    <x v="89"/>
    <x v="81"/>
    <x v="85"/>
    <x v="79"/>
    <x v="90"/>
    <x v="150"/>
  </r>
  <r>
    <x v="1"/>
    <x v="9"/>
    <x v="0"/>
    <x v="27"/>
    <x v="96"/>
    <x v="79"/>
    <x v="97"/>
    <x v="106"/>
    <x v="100"/>
    <x v="114"/>
    <x v="126"/>
    <x v="99"/>
    <x v="107"/>
    <x v="104"/>
    <x v="115"/>
    <x v="97"/>
    <x v="110"/>
    <x v="107"/>
    <x v="200"/>
  </r>
  <r>
    <x v="1"/>
    <x v="10"/>
    <x v="0"/>
    <x v="50"/>
    <x v="134"/>
    <x v="108"/>
    <x v="135"/>
    <x v="122"/>
    <x v="136"/>
    <x v="125"/>
    <x v="180"/>
    <x v="113"/>
    <x v="147"/>
    <x v="121"/>
    <x v="194"/>
    <x v="115"/>
    <x v="179"/>
    <x v="122"/>
    <x v="246"/>
  </r>
  <r>
    <x v="1"/>
    <x v="11"/>
    <x v="0"/>
    <x v="53"/>
    <x v="126"/>
    <x v="110"/>
    <x v="123"/>
    <x v="124"/>
    <x v="129"/>
    <x v="129"/>
    <x v="156"/>
    <x v="126"/>
    <x v="157"/>
    <x v="131"/>
    <x v="199"/>
    <x v="131"/>
    <x v="178"/>
    <x v="134"/>
    <x v="261"/>
  </r>
  <r>
    <x v="2"/>
    <x v="0"/>
    <x v="0"/>
    <x v="88"/>
    <x v="145"/>
    <x v="135"/>
    <x v="146"/>
    <x v="138"/>
    <x v="155"/>
    <x v="141"/>
    <x v="192"/>
    <x v="134"/>
    <x v="169"/>
    <x v="137"/>
    <x v="207"/>
    <x v="134"/>
    <x v="191"/>
    <x v="137"/>
    <x v="262"/>
  </r>
  <r>
    <x v="2"/>
    <x v="1"/>
    <x v="0"/>
    <x v="55"/>
    <x v="128"/>
    <x v="122"/>
    <x v="122"/>
    <x v="127"/>
    <x v="117"/>
    <x v="126"/>
    <x v="122"/>
    <x v="114"/>
    <x v="108"/>
    <x v="120"/>
    <x v="126"/>
    <x v="113"/>
    <x v="123"/>
    <x v="114"/>
    <x v="182"/>
  </r>
  <r>
    <x v="2"/>
    <x v="2"/>
    <x v="0"/>
    <x v="5"/>
    <x v="65"/>
    <x v="26"/>
    <x v="74"/>
    <x v="71"/>
    <x v="75"/>
    <x v="79"/>
    <x v="78"/>
    <x v="77"/>
    <x v="76"/>
    <x v="80"/>
    <x v="79"/>
    <x v="78"/>
    <x v="77"/>
    <x v="79"/>
    <x v="123"/>
  </r>
  <r>
    <x v="2"/>
    <x v="3"/>
    <x v="0"/>
    <x v="8"/>
    <x v="88"/>
    <x v="37"/>
    <x v="87"/>
    <x v="76"/>
    <x v="84"/>
    <x v="80"/>
    <x v="83"/>
    <x v="78"/>
    <x v="82"/>
    <x v="79"/>
    <x v="84"/>
    <x v="81"/>
    <x v="109"/>
    <x v="77"/>
    <x v="131"/>
  </r>
  <r>
    <x v="2"/>
    <x v="4"/>
    <x v="0"/>
    <x v="9"/>
    <x v="90"/>
    <x v="31"/>
    <x v="89"/>
    <x v="73"/>
    <x v="90"/>
    <x v="77"/>
    <x v="84"/>
    <x v="80"/>
    <x v="93"/>
    <x v="76"/>
    <x v="90"/>
    <x v="80"/>
    <x v="91"/>
    <x v="80"/>
    <x v="132"/>
  </r>
  <r>
    <x v="2"/>
    <x v="5"/>
    <x v="0"/>
    <x v="25"/>
    <x v="110"/>
    <x v="70"/>
    <x v="104"/>
    <x v="99"/>
    <x v="101"/>
    <x v="99"/>
    <x v="102"/>
    <x v="92"/>
    <x v="96"/>
    <x v="98"/>
    <x v="102"/>
    <x v="93"/>
    <x v="102"/>
    <x v="100"/>
    <x v="172"/>
  </r>
  <r>
    <x v="2"/>
    <x v="6"/>
    <x v="0"/>
    <x v="41"/>
    <x v="121"/>
    <x v="97"/>
    <x v="121"/>
    <x v="116"/>
    <x v="120"/>
    <x v="109"/>
    <x v="110"/>
    <x v="104"/>
    <x v="110"/>
    <x v="109"/>
    <x v="112"/>
    <x v="105"/>
    <x v="133"/>
    <x v="89"/>
    <x v="147"/>
  </r>
  <r>
    <x v="2"/>
    <x v="7"/>
    <x v="0"/>
    <x v="23"/>
    <x v="93"/>
    <x v="62"/>
    <x v="95"/>
    <x v="102"/>
    <x v="98"/>
    <x v="96"/>
    <x v="93"/>
    <x v="106"/>
    <x v="100"/>
    <x v="102"/>
    <x v="92"/>
    <x v="102"/>
    <x v="86"/>
    <x v="87"/>
    <x v="126"/>
  </r>
  <r>
    <x v="2"/>
    <x v="8"/>
    <x v="0"/>
    <x v="3"/>
    <x v="69"/>
    <x v="13"/>
    <x v="76"/>
    <x v="65"/>
    <x v="76"/>
    <x v="74"/>
    <x v="75"/>
    <x v="83"/>
    <x v="80"/>
    <x v="75"/>
    <x v="75"/>
    <x v="77"/>
    <x v="80"/>
    <x v="74"/>
    <x v="114"/>
  </r>
  <r>
    <x v="2"/>
    <x v="9"/>
    <x v="0"/>
    <x v="18"/>
    <x v="89"/>
    <x v="55"/>
    <x v="93"/>
    <x v="89"/>
    <x v="93"/>
    <x v="88"/>
    <x v="92"/>
    <x v="102"/>
    <x v="101"/>
    <x v="100"/>
    <x v="109"/>
    <x v="95"/>
    <x v="114"/>
    <x v="83"/>
    <x v="136"/>
  </r>
  <r>
    <x v="2"/>
    <x v="10"/>
    <x v="0"/>
    <x v="37"/>
    <x v="118"/>
    <x v="95"/>
    <x v="120"/>
    <x v="110"/>
    <x v="116"/>
    <x v="111"/>
    <x v="134"/>
    <x v="117"/>
    <x v="154"/>
    <x v="112"/>
    <x v="171"/>
    <x v="107"/>
    <x v="171"/>
    <x v="115"/>
    <x v="206"/>
  </r>
  <r>
    <x v="2"/>
    <x v="11"/>
    <x v="0"/>
    <x v="46"/>
    <x v="115"/>
    <x v="98"/>
    <x v="117"/>
    <x v="112"/>
    <x v="114"/>
    <x v="117"/>
    <x v="129"/>
    <x v="130"/>
    <x v="145"/>
    <x v="128"/>
    <x v="183"/>
    <x v="126"/>
    <x v="181"/>
    <x v="133"/>
    <x v="233"/>
  </r>
  <r>
    <x v="3"/>
    <x v="0"/>
    <x v="0"/>
    <x v="61"/>
    <x v="140"/>
    <x v="109"/>
    <x v="136"/>
    <x v="120"/>
    <x v="137"/>
    <x v="123"/>
    <x v="162"/>
    <x v="133"/>
    <x v="164"/>
    <x v="135"/>
    <x v="204"/>
    <x v="130"/>
    <x v="188"/>
    <x v="131"/>
    <x v="239"/>
  </r>
  <r>
    <x v="3"/>
    <x v="1"/>
    <x v="0"/>
    <x v="20"/>
    <x v="76"/>
    <x v="54"/>
    <x v="79"/>
    <x v="87"/>
    <x v="79"/>
    <x v="94"/>
    <x v="79"/>
    <x v="103"/>
    <x v="89"/>
    <x v="99"/>
    <x v="78"/>
    <x v="91"/>
    <x v="83"/>
    <x v="97"/>
    <x v="135"/>
  </r>
  <r>
    <x v="3"/>
    <x v="2"/>
    <x v="0"/>
    <x v="6"/>
    <x v="70"/>
    <x v="27"/>
    <x v="77"/>
    <x v="68"/>
    <x v="77"/>
    <x v="78"/>
    <x v="81"/>
    <x v="86"/>
    <x v="83"/>
    <x v="81"/>
    <x v="82"/>
    <x v="84"/>
    <x v="84"/>
    <x v="93"/>
    <x v="139"/>
  </r>
  <r>
    <x v="3"/>
    <x v="3"/>
    <x v="0"/>
    <x v="21"/>
    <x v="113"/>
    <x v="67"/>
    <x v="111"/>
    <x v="93"/>
    <x v="107"/>
    <x v="92"/>
    <x v="107"/>
    <x v="100"/>
    <x v="116"/>
    <x v="96"/>
    <x v="127"/>
    <x v="101"/>
    <x v="143"/>
    <x v="104"/>
    <x v="165"/>
  </r>
  <r>
    <x v="3"/>
    <x v="4"/>
    <x v="0"/>
    <x v="15"/>
    <x v="98"/>
    <x v="52"/>
    <x v="98"/>
    <x v="84"/>
    <x v="92"/>
    <x v="86"/>
    <x v="98"/>
    <x v="95"/>
    <x v="99"/>
    <x v="92"/>
    <x v="118"/>
    <x v="96"/>
    <x v="131"/>
    <x v="103"/>
    <x v="173"/>
  </r>
  <r>
    <x v="3"/>
    <x v="5"/>
    <x v="0"/>
    <x v="7"/>
    <x v="94"/>
    <x v="24"/>
    <x v="91"/>
    <x v="67"/>
    <x v="85"/>
    <x v="76"/>
    <x v="86"/>
    <x v="82"/>
    <x v="91"/>
    <x v="78"/>
    <x v="85"/>
    <x v="79"/>
    <x v="90"/>
    <x v="88"/>
    <x v="140"/>
  </r>
  <r>
    <x v="3"/>
    <x v="6"/>
    <x v="0"/>
    <x v="56"/>
    <x v="137"/>
    <x v="114"/>
    <x v="140"/>
    <x v="123"/>
    <x v="128"/>
    <x v="121"/>
    <x v="131"/>
    <x v="128"/>
    <x v="127"/>
    <x v="116"/>
    <x v="156"/>
    <x v="120"/>
    <x v="155"/>
    <x v="129"/>
    <x v="187"/>
  </r>
  <r>
    <x v="3"/>
    <x v="7"/>
    <x v="0"/>
    <x v="65"/>
    <x v="129"/>
    <x v="116"/>
    <x v="128"/>
    <x v="126"/>
    <x v="124"/>
    <x v="122"/>
    <x v="121"/>
    <x v="129"/>
    <x v="121"/>
    <x v="123"/>
    <x v="154"/>
    <x v="128"/>
    <x v="135"/>
    <x v="135"/>
    <x v="185"/>
  </r>
  <r>
    <x v="3"/>
    <x v="8"/>
    <x v="0"/>
    <x v="13"/>
    <x v="91"/>
    <x v="46"/>
    <x v="90"/>
    <x v="78"/>
    <x v="88"/>
    <x v="83"/>
    <x v="88"/>
    <x v="91"/>
    <x v="92"/>
    <x v="83"/>
    <x v="93"/>
    <x v="92"/>
    <x v="107"/>
    <x v="95"/>
    <x v="143"/>
  </r>
  <r>
    <x v="3"/>
    <x v="9"/>
    <x v="0"/>
    <x v="44"/>
    <x v="125"/>
    <x v="103"/>
    <x v="131"/>
    <x v="111"/>
    <x v="127"/>
    <x v="116"/>
    <x v="146"/>
    <x v="120"/>
    <x v="149"/>
    <x v="125"/>
    <x v="185"/>
    <x v="125"/>
    <x v="183"/>
    <x v="130"/>
    <x v="207"/>
  </r>
  <r>
    <x v="3"/>
    <x v="10"/>
    <x v="0"/>
    <x v="38"/>
    <x v="117"/>
    <x v="100"/>
    <x v="125"/>
    <x v="108"/>
    <x v="119"/>
    <x v="107"/>
    <x v="132"/>
    <x v="110"/>
    <x v="141"/>
    <x v="110"/>
    <x v="182"/>
    <x v="111"/>
    <x v="187"/>
    <x v="117"/>
    <x v="225"/>
  </r>
  <r>
    <x v="3"/>
    <x v="11"/>
    <x v="0"/>
    <x v="70"/>
    <x v="127"/>
    <x v="117"/>
    <x v="126"/>
    <x v="125"/>
    <x v="134"/>
    <x v="128"/>
    <x v="157"/>
    <x v="135"/>
    <x v="171"/>
    <x v="134"/>
    <x v="205"/>
    <x v="136"/>
    <x v="205"/>
    <x v="140"/>
    <x v="253"/>
  </r>
  <r>
    <x v="4"/>
    <x v="0"/>
    <x v="0"/>
    <x v="24"/>
    <x v="104"/>
    <x v="61"/>
    <x v="108"/>
    <x v="91"/>
    <x v="109"/>
    <x v="91"/>
    <x v="115"/>
    <x v="97"/>
    <x v="125"/>
    <x v="99"/>
    <x v="170"/>
    <x v="100"/>
    <x v="152"/>
    <x v="99"/>
    <x v="199"/>
  </r>
  <r>
    <x v="4"/>
    <x v="1"/>
    <x v="0"/>
    <x v="47"/>
    <x v="120"/>
    <x v="102"/>
    <x v="116"/>
    <x v="115"/>
    <x v="115"/>
    <x v="119"/>
    <x v="125"/>
    <x v="118"/>
    <x v="131"/>
    <x v="115"/>
    <x v="144"/>
    <x v="127"/>
    <x v="172"/>
    <x v="123"/>
    <x v="197"/>
  </r>
  <r>
    <x v="4"/>
    <x v="2"/>
    <x v="0"/>
    <x v="22"/>
    <x v="87"/>
    <x v="48"/>
    <x v="85"/>
    <x v="81"/>
    <x v="87"/>
    <x v="84"/>
    <x v="85"/>
    <x v="93"/>
    <x v="97"/>
    <x v="86"/>
    <x v="106"/>
    <x v="99"/>
    <x v="126"/>
    <x v="98"/>
    <x v="162"/>
  </r>
  <r>
    <x v="4"/>
    <x v="3"/>
    <x v="0"/>
    <x v="39"/>
    <x v="131"/>
    <x v="92"/>
    <x v="127"/>
    <x v="103"/>
    <x v="123"/>
    <x v="103"/>
    <x v="119"/>
    <x v="109"/>
    <x v="138"/>
    <x v="108"/>
    <x v="166"/>
    <x v="109"/>
    <x v="161"/>
    <x v="110"/>
    <x v="174"/>
  </r>
  <r>
    <x v="4"/>
    <x v="4"/>
    <x v="0"/>
    <x v="31"/>
    <x v="124"/>
    <x v="64"/>
    <x v="114"/>
    <x v="90"/>
    <x v="112"/>
    <x v="93"/>
    <x v="108"/>
    <x v="101"/>
    <x v="137"/>
    <x v="101"/>
    <x v="150"/>
    <x v="106"/>
    <x v="158"/>
    <x v="108"/>
    <x v="186"/>
  </r>
  <r>
    <x v="4"/>
    <x v="5"/>
    <x v="0"/>
    <x v="34"/>
    <x v="105"/>
    <x v="71"/>
    <x v="102"/>
    <x v="97"/>
    <x v="104"/>
    <x v="97"/>
    <x v="99"/>
    <x v="105"/>
    <x v="115"/>
    <x v="103"/>
    <x v="124"/>
    <x v="114"/>
    <x v="153"/>
    <x v="109"/>
    <x v="167"/>
  </r>
  <r>
    <x v="4"/>
    <x v="6"/>
    <x v="0"/>
    <x v="87"/>
    <x v="135"/>
    <x v="134"/>
    <x v="138"/>
    <x v="139"/>
    <x v="141"/>
    <x v="133"/>
    <x v="135"/>
    <x v="137"/>
    <x v="155"/>
    <x v="132"/>
    <x v="169"/>
    <x v="137"/>
    <x v="189"/>
    <x v="136"/>
    <x v="195"/>
  </r>
  <r>
    <x v="4"/>
    <x v="7"/>
    <x v="0"/>
    <x v="77"/>
    <x v="107"/>
    <x v="123"/>
    <x v="112"/>
    <x v="128"/>
    <x v="111"/>
    <x v="120"/>
    <x v="101"/>
    <x v="132"/>
    <x v="124"/>
    <x v="119"/>
    <x v="114"/>
    <x v="135"/>
    <x v="162"/>
    <x v="126"/>
    <x v="154"/>
  </r>
  <r>
    <x v="4"/>
    <x v="8"/>
    <x v="0"/>
    <x v="83"/>
    <x v="108"/>
    <x v="113"/>
    <x v="109"/>
    <x v="119"/>
    <x v="108"/>
    <x v="108"/>
    <x v="97"/>
    <x v="121"/>
    <x v="112"/>
    <x v="111"/>
    <x v="129"/>
    <x v="133"/>
    <x v="164"/>
    <x v="111"/>
    <x v="144"/>
  </r>
  <r>
    <x v="4"/>
    <x v="9"/>
    <x v="0"/>
    <x v="35"/>
    <x v="71"/>
    <x v="65"/>
    <x v="82"/>
    <x v="83"/>
    <x v="81"/>
    <x v="75"/>
    <x v="77"/>
    <x v="87"/>
    <x v="88"/>
    <x v="74"/>
    <x v="80"/>
    <x v="90"/>
    <x v="97"/>
    <x v="78"/>
    <x v="118"/>
  </r>
  <r>
    <x v="4"/>
    <x v="10"/>
    <x v="0"/>
    <x v="115"/>
    <x v="141"/>
    <x v="138"/>
    <x v="142"/>
    <x v="136"/>
    <x v="144"/>
    <x v="127"/>
    <x v="150"/>
    <x v="136"/>
    <x v="178"/>
    <x v="133"/>
    <x v="191"/>
    <x v="138"/>
    <x v="202"/>
    <x v="132"/>
    <x v="208"/>
  </r>
  <r>
    <x v="4"/>
    <x v="11"/>
    <x v="0"/>
    <x v="133"/>
    <x v="143"/>
    <x v="145"/>
    <x v="143"/>
    <x v="144"/>
    <x v="149"/>
    <x v="146"/>
    <x v="164"/>
    <x v="143"/>
    <x v="179"/>
    <x v="143"/>
    <x v="208"/>
    <x v="144"/>
    <x v="237"/>
    <x v="144"/>
    <x v="248"/>
  </r>
  <r>
    <x v="5"/>
    <x v="0"/>
    <x v="0"/>
    <x v="127"/>
    <x v="144"/>
    <x v="142"/>
    <x v="144"/>
    <x v="140"/>
    <x v="150"/>
    <x v="142"/>
    <x v="153"/>
    <x v="139"/>
    <x v="173"/>
    <x v="139"/>
    <x v="202"/>
    <x v="140"/>
    <x v="221"/>
    <x v="138"/>
    <x v="221"/>
  </r>
  <r>
    <x v="5"/>
    <x v="1"/>
    <x v="0"/>
    <x v="42"/>
    <x v="77"/>
    <x v="80"/>
    <x v="83"/>
    <x v="96"/>
    <x v="83"/>
    <x v="81"/>
    <x v="76"/>
    <x v="94"/>
    <x v="81"/>
    <x v="84"/>
    <x v="77"/>
    <x v="98"/>
    <x v="93"/>
    <x v="85"/>
    <x v="117"/>
  </r>
  <r>
    <x v="5"/>
    <x v="2"/>
    <x v="0"/>
    <x v="92"/>
    <x v="106"/>
    <x v="112"/>
    <x v="105"/>
    <x v="118"/>
    <x v="106"/>
    <x v="105"/>
    <x v="100"/>
    <x v="131"/>
    <x v="126"/>
    <x v="124"/>
    <x v="152"/>
    <x v="132"/>
    <x v="156"/>
    <x v="127"/>
    <x v="176"/>
  </r>
  <r>
    <x v="5"/>
    <x v="3"/>
    <x v="0"/>
    <x v="81"/>
    <x v="139"/>
    <x v="107"/>
    <x v="133"/>
    <x v="114"/>
    <x v="132"/>
    <x v="101"/>
    <x v="116"/>
    <x v="123"/>
    <x v="151"/>
    <x v="114"/>
    <x v="163"/>
    <x v="129"/>
    <x v="177"/>
    <x v="118"/>
    <x v="177"/>
  </r>
  <r>
    <x v="5"/>
    <x v="4"/>
    <x v="0"/>
    <x v="51"/>
    <x v="101"/>
    <x v="81"/>
    <x v="100"/>
    <x v="104"/>
    <x v="103"/>
    <x v="87"/>
    <x v="94"/>
    <x v="112"/>
    <x v="128"/>
    <x v="106"/>
    <x v="121"/>
    <x v="124"/>
    <x v="163"/>
    <x v="112"/>
    <x v="164"/>
  </r>
  <r>
    <x v="5"/>
    <x v="5"/>
    <x v="0"/>
    <x v="63"/>
    <x v="114"/>
    <x v="89"/>
    <x v="110"/>
    <x v="107"/>
    <x v="113"/>
    <x v="85"/>
    <x v="89"/>
    <x v="111"/>
    <x v="130"/>
    <x v="93"/>
    <x v="101"/>
    <x v="118"/>
    <x v="160"/>
    <x v="102"/>
    <x v="145"/>
  </r>
  <r>
    <x v="5"/>
    <x v="6"/>
    <x v="0"/>
    <x v="126"/>
    <x v="149"/>
    <x v="141"/>
    <x v="151"/>
    <x v="142"/>
    <x v="164"/>
    <x v="137"/>
    <x v="152"/>
    <x v="140"/>
    <x v="189"/>
    <x v="140"/>
    <x v="197"/>
    <x v="141"/>
    <x v="212"/>
    <x v="142"/>
    <x v="217"/>
  </r>
  <r>
    <x v="5"/>
    <x v="7"/>
    <x v="0"/>
    <x v="129"/>
    <x v="138"/>
    <x v="143"/>
    <x v="137"/>
    <x v="143"/>
    <x v="142"/>
    <x v="140"/>
    <x v="124"/>
    <x v="141"/>
    <x v="162"/>
    <x v="142"/>
    <x v="165"/>
    <x v="142"/>
    <x v="196"/>
    <x v="143"/>
    <x v="190"/>
  </r>
  <r>
    <x v="5"/>
    <x v="8"/>
    <x v="0"/>
    <x v="82"/>
    <x v="95"/>
    <x v="111"/>
    <x v="96"/>
    <x v="117"/>
    <x v="97"/>
    <x v="89"/>
    <x v="80"/>
    <x v="125"/>
    <x v="103"/>
    <x v="105"/>
    <x v="83"/>
    <x v="123"/>
    <x v="119"/>
    <x v="101"/>
    <x v="125"/>
  </r>
  <r>
    <x v="5"/>
    <x v="9"/>
    <x v="0"/>
    <x v="105"/>
    <x v="116"/>
    <x v="132"/>
    <x v="115"/>
    <x v="134"/>
    <x v="126"/>
    <x v="118"/>
    <x v="103"/>
    <x v="138"/>
    <x v="150"/>
    <x v="138"/>
    <x v="178"/>
    <x v="139"/>
    <x v="198"/>
    <x v="139"/>
    <x v="181"/>
  </r>
  <r>
    <x v="5"/>
    <x v="10"/>
    <x v="0"/>
    <x v="134"/>
    <x v="146"/>
    <x v="146"/>
    <x v="149"/>
    <x v="146"/>
    <x v="173"/>
    <x v="144"/>
    <x v="165"/>
    <x v="144"/>
    <x v="214"/>
    <x v="145"/>
    <x v="238"/>
    <x v="145"/>
    <x v="240"/>
    <x v="146"/>
    <x v="256"/>
  </r>
  <r>
    <x v="5"/>
    <x v="11"/>
    <x v="0"/>
    <x v="137"/>
    <x v="133"/>
    <x v="144"/>
    <x v="132"/>
    <x v="145"/>
    <x v="146"/>
    <x v="143"/>
    <x v="130"/>
    <x v="145"/>
    <x v="180"/>
    <x v="144"/>
    <x v="192"/>
    <x v="146"/>
    <x v="224"/>
    <x v="145"/>
    <x v="231"/>
  </r>
  <r>
    <x v="6"/>
    <x v="0"/>
    <x v="0"/>
    <x v="139"/>
    <x v="148"/>
    <x v="147"/>
    <x v="148"/>
    <x v="147"/>
    <x v="165"/>
    <x v="147"/>
    <x v="174"/>
    <x v="147"/>
    <x v="199"/>
    <x v="146"/>
    <x v="220"/>
    <x v="147"/>
    <x v="246"/>
    <x v="147"/>
    <x v="247"/>
  </r>
  <r>
    <x v="6"/>
    <x v="1"/>
    <x v="0"/>
    <x v="138"/>
    <x v="99"/>
    <x v="140"/>
    <x v="92"/>
    <x v="141"/>
    <x v="94"/>
    <x v="131"/>
    <x v="74"/>
    <x v="142"/>
    <x v="105"/>
    <x v="141"/>
    <x v="86"/>
    <x v="143"/>
    <x v="127"/>
    <x v="141"/>
    <x v="112"/>
  </r>
  <r>
    <x v="0"/>
    <x v="0"/>
    <x v="4"/>
    <x v="322"/>
    <x v="216"/>
    <x v="311"/>
    <x v="219"/>
    <x v="326"/>
    <x v="252"/>
    <x v="315"/>
    <x v="245"/>
    <x v="300"/>
    <x v="161"/>
    <x v="298"/>
    <x v="139"/>
    <x v="301"/>
    <x v="122"/>
    <x v="298"/>
    <x v="89"/>
  </r>
  <r>
    <x v="0"/>
    <x v="1"/>
    <x v="4"/>
    <x v="301"/>
    <x v="182"/>
    <x v="298"/>
    <x v="175"/>
    <x v="303"/>
    <x v="194"/>
    <x v="298"/>
    <x v="183"/>
    <x v="295"/>
    <x v="114"/>
    <x v="295"/>
    <x v="88"/>
    <x v="293"/>
    <x v="85"/>
    <x v="289"/>
    <x v="76"/>
  </r>
  <r>
    <x v="0"/>
    <x v="2"/>
    <x v="4"/>
    <x v="330"/>
    <x v="221"/>
    <x v="315"/>
    <x v="233"/>
    <x v="333"/>
    <x v="256"/>
    <x v="328"/>
    <x v="254"/>
    <x v="301"/>
    <x v="165"/>
    <x v="304"/>
    <x v="162"/>
    <x v="304"/>
    <x v="145"/>
    <x v="302"/>
    <x v="108"/>
  </r>
  <r>
    <x v="0"/>
    <x v="3"/>
    <x v="4"/>
    <x v="316"/>
    <x v="205"/>
    <x v="306"/>
    <x v="204"/>
    <x v="316"/>
    <x v="233"/>
    <x v="306"/>
    <x v="208"/>
    <x v="297"/>
    <x v="153"/>
    <x v="297"/>
    <x v="116"/>
    <x v="300"/>
    <x v="112"/>
    <x v="294"/>
    <x v="85"/>
  </r>
  <r>
    <x v="0"/>
    <x v="4"/>
    <x v="4"/>
    <x v="340"/>
    <x v="226"/>
    <x v="325"/>
    <x v="245"/>
    <x v="348"/>
    <x v="269"/>
    <x v="320"/>
    <x v="249"/>
    <x v="304"/>
    <x v="170"/>
    <x v="305"/>
    <x v="160"/>
    <x v="307"/>
    <x v="146"/>
    <x v="301"/>
    <x v="99"/>
  </r>
  <r>
    <x v="0"/>
    <x v="5"/>
    <x v="4"/>
    <x v="338"/>
    <x v="228"/>
    <x v="322"/>
    <x v="247"/>
    <x v="342"/>
    <x v="274"/>
    <x v="313"/>
    <x v="244"/>
    <x v="303"/>
    <x v="172"/>
    <x v="301"/>
    <x v="158"/>
    <x v="308"/>
    <x v="150"/>
    <x v="299"/>
    <x v="100"/>
  </r>
  <r>
    <x v="0"/>
    <x v="6"/>
    <x v="4"/>
    <x v="363"/>
    <x v="244"/>
    <x v="355"/>
    <x v="272"/>
    <x v="369"/>
    <x v="293"/>
    <x v="351"/>
    <x v="269"/>
    <x v="313"/>
    <x v="177"/>
    <x v="310"/>
    <x v="173"/>
    <x v="321"/>
    <x v="180"/>
    <x v="313"/>
    <x v="115"/>
  </r>
  <r>
    <x v="0"/>
    <x v="7"/>
    <x v="4"/>
    <x v="374"/>
    <x v="239"/>
    <x v="366"/>
    <x v="266"/>
    <x v="383"/>
    <x v="287"/>
    <x v="358"/>
    <x v="257"/>
    <x v="318"/>
    <x v="174"/>
    <x v="319"/>
    <x v="174"/>
    <x v="326"/>
    <x v="168"/>
    <x v="315"/>
    <x v="107"/>
  </r>
  <r>
    <x v="0"/>
    <x v="8"/>
    <x v="4"/>
    <x v="343"/>
    <x v="214"/>
    <x v="329"/>
    <x v="218"/>
    <x v="350"/>
    <x v="245"/>
    <x v="322"/>
    <x v="222"/>
    <x v="308"/>
    <x v="160"/>
    <x v="308"/>
    <x v="148"/>
    <x v="316"/>
    <x v="136"/>
    <x v="305"/>
    <x v="98"/>
  </r>
  <r>
    <x v="0"/>
    <x v="9"/>
    <x v="4"/>
    <x v="357"/>
    <x v="210"/>
    <x v="347"/>
    <x v="214"/>
    <x v="359"/>
    <x v="247"/>
    <x v="344"/>
    <x v="225"/>
    <x v="312"/>
    <x v="159"/>
    <x v="315"/>
    <x v="140"/>
    <x v="323"/>
    <x v="139"/>
    <x v="314"/>
    <x v="102"/>
  </r>
  <r>
    <x v="0"/>
    <x v="10"/>
    <x v="4"/>
    <x v="337"/>
    <x v="186"/>
    <x v="321"/>
    <x v="181"/>
    <x v="340"/>
    <x v="210"/>
    <x v="312"/>
    <x v="188"/>
    <x v="306"/>
    <x v="142"/>
    <x v="309"/>
    <x v="117"/>
    <x v="315"/>
    <x v="117"/>
    <x v="304"/>
    <x v="91"/>
  </r>
  <r>
    <x v="0"/>
    <x v="11"/>
    <x v="4"/>
    <x v="366"/>
    <x v="190"/>
    <x v="351"/>
    <x v="191"/>
    <x v="365"/>
    <x v="217"/>
    <x v="350"/>
    <x v="199"/>
    <x v="316"/>
    <x v="148"/>
    <x v="321"/>
    <x v="123"/>
    <x v="328"/>
    <x v="124"/>
    <x v="319"/>
    <x v="93"/>
  </r>
  <r>
    <x v="1"/>
    <x v="0"/>
    <x v="4"/>
    <x v="344"/>
    <x v="160"/>
    <x v="334"/>
    <x v="159"/>
    <x v="353"/>
    <x v="167"/>
    <x v="327"/>
    <x v="144"/>
    <x v="311"/>
    <x v="113"/>
    <x v="311"/>
    <x v="91"/>
    <x v="320"/>
    <x v="88"/>
    <x v="312"/>
    <x v="80"/>
  </r>
  <r>
    <x v="1"/>
    <x v="1"/>
    <x v="4"/>
    <x v="308"/>
    <x v="150"/>
    <x v="304"/>
    <x v="145"/>
    <x v="317"/>
    <x v="147"/>
    <x v="305"/>
    <x v="114"/>
    <x v="299"/>
    <x v="95"/>
    <x v="300"/>
    <x v="76"/>
    <x v="306"/>
    <x v="76"/>
    <x v="295"/>
    <x v="75"/>
  </r>
  <r>
    <x v="1"/>
    <x v="2"/>
    <x v="4"/>
    <x v="347"/>
    <x v="175"/>
    <x v="341"/>
    <x v="166"/>
    <x v="356"/>
    <x v="183"/>
    <x v="339"/>
    <x v="170"/>
    <x v="314"/>
    <x v="132"/>
    <x v="323"/>
    <x v="104"/>
    <x v="327"/>
    <x v="113"/>
    <x v="316"/>
    <x v="88"/>
  </r>
  <r>
    <x v="1"/>
    <x v="3"/>
    <x v="4"/>
    <x v="334"/>
    <x v="163"/>
    <x v="324"/>
    <x v="161"/>
    <x v="345"/>
    <x v="174"/>
    <x v="317"/>
    <x v="151"/>
    <x v="309"/>
    <x v="120"/>
    <x v="314"/>
    <x v="94"/>
    <x v="319"/>
    <x v="95"/>
    <x v="308"/>
    <x v="82"/>
  </r>
  <r>
    <x v="1"/>
    <x v="4"/>
    <x v="4"/>
    <x v="356"/>
    <x v="184"/>
    <x v="349"/>
    <x v="186"/>
    <x v="358"/>
    <x v="207"/>
    <x v="338"/>
    <x v="187"/>
    <x v="317"/>
    <x v="146"/>
    <x v="327"/>
    <x v="128"/>
    <x v="329"/>
    <x v="125"/>
    <x v="318"/>
    <x v="103"/>
  </r>
  <r>
    <x v="1"/>
    <x v="5"/>
    <x v="4"/>
    <x v="375"/>
    <x v="193"/>
    <x v="360"/>
    <x v="196"/>
    <x v="371"/>
    <x v="221"/>
    <x v="349"/>
    <x v="193"/>
    <x v="320"/>
    <x v="152"/>
    <x v="329"/>
    <x v="141"/>
    <x v="333"/>
    <x v="132"/>
    <x v="320"/>
    <x v="101"/>
  </r>
  <r>
    <x v="1"/>
    <x v="6"/>
    <x v="4"/>
    <x v="388"/>
    <x v="196"/>
    <x v="376"/>
    <x v="208"/>
    <x v="394"/>
    <x v="240"/>
    <x v="366"/>
    <x v="204"/>
    <x v="328"/>
    <x v="158"/>
    <x v="337"/>
    <x v="149"/>
    <x v="340"/>
    <x v="144"/>
    <x v="330"/>
    <x v="110"/>
  </r>
  <r>
    <x v="1"/>
    <x v="7"/>
    <x v="4"/>
    <x v="368"/>
    <x v="173"/>
    <x v="362"/>
    <x v="170"/>
    <x v="372"/>
    <x v="190"/>
    <x v="347"/>
    <x v="160"/>
    <x v="321"/>
    <x v="129"/>
    <x v="330"/>
    <x v="105"/>
    <x v="334"/>
    <x v="104"/>
    <x v="323"/>
    <x v="86"/>
  </r>
  <r>
    <x v="1"/>
    <x v="8"/>
    <x v="4"/>
    <x v="362"/>
    <x v="162"/>
    <x v="353"/>
    <x v="160"/>
    <x v="362"/>
    <x v="169"/>
    <x v="342"/>
    <x v="145"/>
    <x v="319"/>
    <x v="118"/>
    <x v="328"/>
    <x v="97"/>
    <x v="331"/>
    <x v="108"/>
    <x v="317"/>
    <x v="83"/>
  </r>
  <r>
    <x v="1"/>
    <x v="9"/>
    <x v="4"/>
    <x v="382"/>
    <x v="177"/>
    <x v="369"/>
    <x v="173"/>
    <x v="381"/>
    <x v="192"/>
    <x v="362"/>
    <x v="178"/>
    <x v="332"/>
    <x v="144"/>
    <x v="338"/>
    <x v="131"/>
    <x v="341"/>
    <x v="121"/>
    <x v="334"/>
    <x v="94"/>
  </r>
  <r>
    <x v="1"/>
    <x v="10"/>
    <x v="4"/>
    <x v="372"/>
    <x v="164"/>
    <x v="358"/>
    <x v="164"/>
    <x v="367"/>
    <x v="177"/>
    <x v="340"/>
    <x v="148"/>
    <x v="323"/>
    <x v="136"/>
    <x v="334"/>
    <x v="110"/>
    <x v="338"/>
    <x v="128"/>
    <x v="325"/>
    <x v="92"/>
  </r>
  <r>
    <x v="1"/>
    <x v="11"/>
    <x v="4"/>
    <x v="387"/>
    <x v="170"/>
    <x v="372"/>
    <x v="168"/>
    <x v="382"/>
    <x v="182"/>
    <x v="357"/>
    <x v="159"/>
    <x v="334"/>
    <x v="140"/>
    <x v="341"/>
    <x v="120"/>
    <x v="342"/>
    <x v="130"/>
    <x v="338"/>
    <x v="97"/>
  </r>
  <r>
    <x v="2"/>
    <x v="0"/>
    <x v="4"/>
    <x v="390"/>
    <x v="159"/>
    <x v="373"/>
    <x v="157"/>
    <x v="393"/>
    <x v="162"/>
    <x v="356"/>
    <x v="133"/>
    <x v="335"/>
    <x v="123"/>
    <x v="342"/>
    <x v="96"/>
    <x v="343"/>
    <x v="103"/>
    <x v="333"/>
    <x v="81"/>
  </r>
  <r>
    <x v="2"/>
    <x v="1"/>
    <x v="4"/>
    <x v="314"/>
    <x v="142"/>
    <x v="308"/>
    <x v="139"/>
    <x v="319"/>
    <x v="133"/>
    <x v="303"/>
    <x v="87"/>
    <x v="302"/>
    <x v="84"/>
    <x v="306"/>
    <x v="74"/>
    <x v="314"/>
    <x v="75"/>
    <x v="296"/>
    <x v="74"/>
  </r>
  <r>
    <x v="2"/>
    <x v="2"/>
    <x v="4"/>
    <x v="353"/>
    <x v="161"/>
    <x v="344"/>
    <x v="156"/>
    <x v="364"/>
    <x v="175"/>
    <x v="329"/>
    <x v="140"/>
    <x v="322"/>
    <x v="133"/>
    <x v="336"/>
    <x v="108"/>
    <x v="339"/>
    <x v="111"/>
    <x v="321"/>
    <x v="79"/>
  </r>
  <r>
    <x v="2"/>
    <x v="3"/>
    <x v="4"/>
    <x v="348"/>
    <x v="157"/>
    <x v="336"/>
    <x v="153"/>
    <x v="355"/>
    <x v="160"/>
    <x v="310"/>
    <x v="120"/>
    <x v="315"/>
    <x v="117"/>
    <x v="325"/>
    <x v="89"/>
    <x v="332"/>
    <x v="100"/>
    <x v="309"/>
    <x v="77"/>
  </r>
  <r>
    <x v="2"/>
    <x v="4"/>
    <x v="4"/>
    <x v="386"/>
    <x v="179"/>
    <x v="364"/>
    <x v="167"/>
    <x v="377"/>
    <x v="191"/>
    <x v="332"/>
    <x v="143"/>
    <x v="331"/>
    <x v="143"/>
    <x v="339"/>
    <x v="122"/>
    <x v="344"/>
    <x v="138"/>
    <x v="324"/>
    <x v="84"/>
  </r>
  <r>
    <x v="2"/>
    <x v="5"/>
    <x v="4"/>
    <x v="407"/>
    <x v="201"/>
    <x v="386"/>
    <x v="202"/>
    <x v="402"/>
    <x v="227"/>
    <x v="372"/>
    <x v="196"/>
    <x v="343"/>
    <x v="166"/>
    <x v="352"/>
    <x v="159"/>
    <x v="356"/>
    <x v="175"/>
    <x v="344"/>
    <x v="113"/>
  </r>
  <r>
    <x v="2"/>
    <x v="6"/>
    <x v="4"/>
    <x v="403"/>
    <x v="187"/>
    <x v="384"/>
    <x v="189"/>
    <x v="405"/>
    <x v="224"/>
    <x v="363"/>
    <x v="173"/>
    <x v="340"/>
    <x v="156"/>
    <x v="351"/>
    <x v="138"/>
    <x v="353"/>
    <x v="142"/>
    <x v="336"/>
    <x v="87"/>
  </r>
  <r>
    <x v="2"/>
    <x v="7"/>
    <x v="4"/>
    <x v="400"/>
    <x v="180"/>
    <x v="401"/>
    <x v="182"/>
    <x v="418"/>
    <x v="204"/>
    <x v="385"/>
    <x v="171"/>
    <x v="441"/>
    <x v="200"/>
    <x v="371"/>
    <x v="142"/>
    <x v="372"/>
    <x v="148"/>
    <x v="355"/>
    <x v="90"/>
  </r>
  <r>
    <x v="2"/>
    <x v="8"/>
    <x v="4"/>
    <x v="321"/>
    <x v="154"/>
    <x v="339"/>
    <x v="155"/>
    <x v="344"/>
    <x v="157"/>
    <x v="326"/>
    <x v="127"/>
    <x v="433"/>
    <x v="195"/>
    <x v="349"/>
    <x v="111"/>
    <x v="337"/>
    <x v="106"/>
    <x v="329"/>
    <x v="78"/>
  </r>
  <r>
    <x v="2"/>
    <x v="9"/>
    <x v="4"/>
    <x v="350"/>
    <x v="174"/>
    <x v="375"/>
    <x v="185"/>
    <x v="368"/>
    <x v="193"/>
    <x v="369"/>
    <x v="176"/>
    <x v="473"/>
    <x v="235"/>
    <x v="390"/>
    <x v="184"/>
    <x v="350"/>
    <x v="169"/>
    <x v="357"/>
    <x v="106"/>
  </r>
  <r>
    <x v="2"/>
    <x v="10"/>
    <x v="4"/>
    <x v="361"/>
    <x v="176"/>
    <x v="406"/>
    <x v="200"/>
    <x v="410"/>
    <x v="223"/>
    <x v="380"/>
    <x v="184"/>
    <x v="471"/>
    <x v="236"/>
    <x v="340"/>
    <x v="157"/>
    <x v="347"/>
    <x v="176"/>
    <x v="342"/>
    <x v="111"/>
  </r>
  <r>
    <x v="2"/>
    <x v="11"/>
    <x v="4"/>
    <x v="396"/>
    <x v="204"/>
    <x v="430"/>
    <x v="258"/>
    <x v="429"/>
    <x v="265"/>
    <x v="399"/>
    <x v="226"/>
    <x v="484"/>
    <x v="282"/>
    <x v="356"/>
    <x v="177"/>
    <x v="366"/>
    <x v="182"/>
    <x v="359"/>
    <x v="129"/>
  </r>
  <r>
    <x v="3"/>
    <x v="0"/>
    <x v="4"/>
    <x v="317"/>
    <x v="169"/>
    <x v="342"/>
    <x v="180"/>
    <x v="322"/>
    <x v="179"/>
    <x v="323"/>
    <x v="166"/>
    <x v="452"/>
    <x v="238"/>
    <x v="318"/>
    <x v="145"/>
    <x v="312"/>
    <x v="140"/>
    <x v="327"/>
    <x v="104"/>
  </r>
  <r>
    <x v="3"/>
    <x v="1"/>
    <x v="4"/>
    <x v="303"/>
    <x v="155"/>
    <x v="305"/>
    <x v="162"/>
    <x v="308"/>
    <x v="156"/>
    <x v="302"/>
    <x v="139"/>
    <x v="411"/>
    <x v="207"/>
    <x v="299"/>
    <x v="107"/>
    <x v="299"/>
    <x v="105"/>
    <x v="306"/>
    <x v="105"/>
  </r>
  <r>
    <x v="3"/>
    <x v="2"/>
    <x v="4"/>
    <x v="345"/>
    <x v="189"/>
    <x v="379"/>
    <x v="215"/>
    <x v="380"/>
    <x v="235"/>
    <x v="374"/>
    <x v="211"/>
    <x v="477"/>
    <x v="278"/>
    <x v="345"/>
    <x v="180"/>
    <x v="346"/>
    <x v="186"/>
    <x v="358"/>
    <x v="134"/>
  </r>
  <r>
    <x v="3"/>
    <x v="3"/>
    <x v="4"/>
    <x v="365"/>
    <x v="181"/>
    <x v="402"/>
    <x v="209"/>
    <x v="412"/>
    <x v="230"/>
    <x v="384"/>
    <x v="191"/>
    <x v="478"/>
    <x v="252"/>
    <x v="343"/>
    <x v="161"/>
    <x v="355"/>
    <x v="173"/>
    <x v="353"/>
    <x v="121"/>
  </r>
  <r>
    <x v="3"/>
    <x v="4"/>
    <x v="4"/>
    <x v="336"/>
    <x v="171"/>
    <x v="371"/>
    <x v="179"/>
    <x v="354"/>
    <x v="188"/>
    <x v="361"/>
    <x v="175"/>
    <x v="469"/>
    <x v="242"/>
    <x v="333"/>
    <x v="143"/>
    <x v="330"/>
    <x v="159"/>
    <x v="354"/>
    <x v="127"/>
  </r>
  <r>
    <x v="3"/>
    <x v="5"/>
    <x v="4"/>
    <x v="299"/>
    <x v="152"/>
    <x v="301"/>
    <x v="154"/>
    <x v="298"/>
    <x v="145"/>
    <x v="299"/>
    <x v="138"/>
    <x v="418"/>
    <x v="206"/>
    <x v="302"/>
    <x v="125"/>
    <x v="296"/>
    <x v="118"/>
    <x v="328"/>
    <x v="120"/>
  </r>
  <r>
    <x v="3"/>
    <x v="6"/>
    <x v="4"/>
    <x v="306"/>
    <x v="156"/>
    <x v="314"/>
    <x v="163"/>
    <x v="304"/>
    <x v="152"/>
    <x v="309"/>
    <x v="147"/>
    <x v="444"/>
    <x v="216"/>
    <x v="313"/>
    <x v="137"/>
    <x v="302"/>
    <x v="137"/>
    <x v="341"/>
    <x v="116"/>
  </r>
  <r>
    <x v="3"/>
    <x v="7"/>
    <x v="4"/>
    <x v="315"/>
    <x v="165"/>
    <x v="326"/>
    <x v="176"/>
    <x v="310"/>
    <x v="161"/>
    <x v="324"/>
    <x v="172"/>
    <x v="449"/>
    <x v="232"/>
    <x v="324"/>
    <x v="164"/>
    <x v="309"/>
    <x v="154"/>
    <x v="352"/>
    <x v="128"/>
  </r>
  <r>
    <x v="3"/>
    <x v="8"/>
    <x v="4"/>
    <x v="305"/>
    <x v="158"/>
    <x v="309"/>
    <x v="165"/>
    <x v="301"/>
    <x v="151"/>
    <x v="307"/>
    <x v="149"/>
    <x v="424"/>
    <x v="213"/>
    <x v="312"/>
    <x v="153"/>
    <x v="303"/>
    <x v="141"/>
    <x v="343"/>
    <x v="122"/>
  </r>
  <r>
    <x v="3"/>
    <x v="9"/>
    <x v="4"/>
    <x v="312"/>
    <x v="178"/>
    <x v="317"/>
    <x v="190"/>
    <x v="307"/>
    <x v="181"/>
    <x v="318"/>
    <x v="198"/>
    <x v="432"/>
    <x v="246"/>
    <x v="320"/>
    <x v="186"/>
    <x v="310"/>
    <x v="167"/>
    <x v="351"/>
    <x v="138"/>
  </r>
  <r>
    <x v="3"/>
    <x v="10"/>
    <x v="4"/>
    <x v="307"/>
    <x v="167"/>
    <x v="310"/>
    <x v="174"/>
    <x v="302"/>
    <x v="166"/>
    <x v="311"/>
    <x v="189"/>
    <x v="419"/>
    <x v="229"/>
    <x v="317"/>
    <x v="175"/>
    <x v="305"/>
    <x v="170"/>
    <x v="349"/>
    <x v="133"/>
  </r>
  <r>
    <x v="3"/>
    <x v="11"/>
    <x v="4"/>
    <x v="331"/>
    <x v="195"/>
    <x v="338"/>
    <x v="213"/>
    <x v="314"/>
    <x v="214"/>
    <x v="343"/>
    <x v="233"/>
    <x v="442"/>
    <x v="266"/>
    <x v="332"/>
    <x v="195"/>
    <x v="318"/>
    <x v="192"/>
    <x v="363"/>
    <x v="149"/>
  </r>
  <r>
    <x v="4"/>
    <x v="0"/>
    <x v="4"/>
    <x v="302"/>
    <x v="166"/>
    <x v="303"/>
    <x v="178"/>
    <x v="300"/>
    <x v="163"/>
    <x v="301"/>
    <x v="182"/>
    <x v="403"/>
    <x v="233"/>
    <x v="303"/>
    <x v="172"/>
    <x v="298"/>
    <x v="165"/>
    <x v="326"/>
    <x v="130"/>
  </r>
  <r>
    <x v="4"/>
    <x v="1"/>
    <x v="4"/>
    <x v="297"/>
    <x v="151"/>
    <x v="297"/>
    <x v="152"/>
    <x v="296"/>
    <x v="138"/>
    <x v="297"/>
    <x v="128"/>
    <x v="383"/>
    <x v="202"/>
    <x v="296"/>
    <x v="99"/>
    <x v="294"/>
    <x v="116"/>
    <x v="307"/>
    <x v="95"/>
  </r>
  <r>
    <x v="4"/>
    <x v="2"/>
    <x v="4"/>
    <x v="325"/>
    <x v="194"/>
    <x v="327"/>
    <x v="207"/>
    <x v="311"/>
    <x v="199"/>
    <x v="333"/>
    <x v="227"/>
    <x v="429"/>
    <x v="271"/>
    <x v="335"/>
    <x v="198"/>
    <x v="322"/>
    <x v="193"/>
    <x v="365"/>
    <x v="160"/>
  </r>
  <r>
    <x v="4"/>
    <x v="3"/>
    <x v="4"/>
    <x v="328"/>
    <x v="188"/>
    <x v="330"/>
    <x v="195"/>
    <x v="313"/>
    <x v="186"/>
    <x v="330"/>
    <x v="197"/>
    <x v="436"/>
    <x v="254"/>
    <x v="347"/>
    <x v="187"/>
    <x v="324"/>
    <x v="184"/>
    <x v="362"/>
    <x v="137"/>
  </r>
  <r>
    <x v="4"/>
    <x v="4"/>
    <x v="4"/>
    <x v="376"/>
    <x v="217"/>
    <x v="368"/>
    <x v="236"/>
    <x v="349"/>
    <x v="241"/>
    <x v="373"/>
    <x v="248"/>
    <x v="470"/>
    <x v="302"/>
    <x v="399"/>
    <x v="232"/>
    <x v="362"/>
    <x v="223"/>
    <x v="402"/>
    <x v="179"/>
  </r>
  <r>
    <x v="4"/>
    <x v="5"/>
    <x v="4"/>
    <x v="371"/>
    <x v="213"/>
    <x v="363"/>
    <x v="224"/>
    <x v="337"/>
    <x v="225"/>
    <x v="368"/>
    <x v="231"/>
    <x v="459"/>
    <x v="294"/>
    <x v="393"/>
    <x v="225"/>
    <x v="357"/>
    <x v="204"/>
    <x v="388"/>
    <x v="158"/>
  </r>
  <r>
    <x v="4"/>
    <x v="6"/>
    <x v="4"/>
    <x v="395"/>
    <x v="234"/>
    <x v="378"/>
    <x v="268"/>
    <x v="357"/>
    <x v="260"/>
    <x v="381"/>
    <x v="261"/>
    <x v="472"/>
    <x v="316"/>
    <x v="407"/>
    <x v="246"/>
    <x v="375"/>
    <x v="219"/>
    <x v="406"/>
    <x v="178"/>
  </r>
  <r>
    <x v="4"/>
    <x v="7"/>
    <x v="4"/>
    <x v="339"/>
    <x v="197"/>
    <x v="352"/>
    <x v="212"/>
    <x v="329"/>
    <x v="222"/>
    <x v="345"/>
    <x v="207"/>
    <x v="451"/>
    <x v="283"/>
    <x v="375"/>
    <x v="211"/>
    <x v="354"/>
    <x v="209"/>
    <x v="378"/>
    <x v="148"/>
  </r>
  <r>
    <x v="4"/>
    <x v="8"/>
    <x v="4"/>
    <x v="360"/>
    <x v="211"/>
    <x v="357"/>
    <x v="221"/>
    <x v="334"/>
    <x v="226"/>
    <x v="360"/>
    <x v="224"/>
    <x v="453"/>
    <x v="287"/>
    <x v="388"/>
    <x v="216"/>
    <x v="360"/>
    <x v="200"/>
    <x v="381"/>
    <x v="153"/>
  </r>
  <r>
    <x v="4"/>
    <x v="9"/>
    <x v="4"/>
    <x v="310"/>
    <x v="172"/>
    <x v="307"/>
    <x v="172"/>
    <x v="306"/>
    <x v="171"/>
    <x v="304"/>
    <x v="167"/>
    <x v="410"/>
    <x v="241"/>
    <x v="344"/>
    <x v="179"/>
    <x v="325"/>
    <x v="185"/>
    <x v="340"/>
    <x v="124"/>
  </r>
  <r>
    <x v="4"/>
    <x v="10"/>
    <x v="4"/>
    <x v="364"/>
    <x v="202"/>
    <x v="348"/>
    <x v="199"/>
    <x v="330"/>
    <x v="208"/>
    <x v="348"/>
    <x v="205"/>
    <x v="435"/>
    <x v="267"/>
    <x v="380"/>
    <x v="221"/>
    <x v="364"/>
    <x v="208"/>
    <x v="389"/>
    <x v="161"/>
  </r>
  <r>
    <x v="4"/>
    <x v="11"/>
    <x v="4"/>
    <x v="401"/>
    <x v="220"/>
    <x v="377"/>
    <x v="237"/>
    <x v="361"/>
    <x v="244"/>
    <x v="383"/>
    <x v="238"/>
    <x v="460"/>
    <x v="297"/>
    <x v="411"/>
    <x v="241"/>
    <x v="386"/>
    <x v="234"/>
    <x v="412"/>
    <x v="180"/>
  </r>
  <r>
    <x v="5"/>
    <x v="0"/>
    <x v="4"/>
    <x v="346"/>
    <x v="185"/>
    <x v="354"/>
    <x v="197"/>
    <x v="336"/>
    <x v="205"/>
    <x v="354"/>
    <x v="194"/>
    <x v="454"/>
    <x v="264"/>
    <x v="384"/>
    <x v="203"/>
    <x v="368"/>
    <x v="206"/>
    <x v="393"/>
    <x v="146"/>
  </r>
  <r>
    <x v="5"/>
    <x v="1"/>
    <x v="4"/>
    <x v="298"/>
    <x v="147"/>
    <x v="299"/>
    <x v="150"/>
    <x v="299"/>
    <x v="139"/>
    <x v="296"/>
    <x v="113"/>
    <x v="386"/>
    <x v="193"/>
    <x v="322"/>
    <x v="113"/>
    <x v="311"/>
    <x v="120"/>
    <x v="331"/>
    <x v="96"/>
  </r>
  <r>
    <x v="5"/>
    <x v="2"/>
    <x v="4"/>
    <x v="373"/>
    <x v="207"/>
    <x v="361"/>
    <x v="231"/>
    <x v="351"/>
    <x v="236"/>
    <x v="364"/>
    <x v="232"/>
    <x v="450"/>
    <x v="286"/>
    <x v="398"/>
    <x v="231"/>
    <x v="381"/>
    <x v="226"/>
    <x v="410"/>
    <x v="194"/>
  </r>
  <r>
    <x v="5"/>
    <x v="3"/>
    <x v="4"/>
    <x v="352"/>
    <x v="200"/>
    <x v="337"/>
    <x v="203"/>
    <x v="320"/>
    <x v="211"/>
    <x v="331"/>
    <x v="202"/>
    <x v="439"/>
    <x v="262"/>
    <x v="378"/>
    <x v="215"/>
    <x v="358"/>
    <x v="201"/>
    <x v="385"/>
    <x v="171"/>
  </r>
  <r>
    <x v="5"/>
    <x v="4"/>
    <x v="4"/>
    <x v="342"/>
    <x v="198"/>
    <x v="345"/>
    <x v="217"/>
    <x v="332"/>
    <x v="228"/>
    <x v="337"/>
    <x v="216"/>
    <x v="443"/>
    <x v="288"/>
    <x v="386"/>
    <x v="256"/>
    <x v="370"/>
    <x v="231"/>
    <x v="399"/>
    <x v="211"/>
  </r>
  <r>
    <x v="5"/>
    <x v="5"/>
    <x v="4"/>
    <x v="333"/>
    <x v="183"/>
    <x v="328"/>
    <x v="194"/>
    <x v="318"/>
    <x v="197"/>
    <x v="316"/>
    <x v="186"/>
    <x v="434"/>
    <x v="270"/>
    <x v="369"/>
    <x v="217"/>
    <x v="359"/>
    <x v="211"/>
    <x v="380"/>
    <x v="175"/>
  </r>
  <r>
    <x v="5"/>
    <x v="6"/>
    <x v="4"/>
    <x v="404"/>
    <x v="231"/>
    <x v="391"/>
    <x v="271"/>
    <x v="389"/>
    <x v="281"/>
    <x v="388"/>
    <x v="265"/>
    <x v="479"/>
    <x v="321"/>
    <x v="437"/>
    <x v="271"/>
    <x v="410"/>
    <x v="267"/>
    <x v="443"/>
    <x v="238"/>
  </r>
  <r>
    <x v="5"/>
    <x v="7"/>
    <x v="4"/>
    <x v="389"/>
    <x v="203"/>
    <x v="382"/>
    <x v="225"/>
    <x v="370"/>
    <x v="237"/>
    <x v="376"/>
    <x v="217"/>
    <x v="462"/>
    <x v="279"/>
    <x v="417"/>
    <x v="239"/>
    <x v="399"/>
    <x v="220"/>
    <x v="424"/>
    <x v="192"/>
  </r>
  <r>
    <x v="5"/>
    <x v="8"/>
    <x v="4"/>
    <x v="332"/>
    <x v="168"/>
    <x v="335"/>
    <x v="171"/>
    <x v="325"/>
    <x v="176"/>
    <x v="319"/>
    <x v="163"/>
    <x v="437"/>
    <x v="237"/>
    <x v="374"/>
    <x v="181"/>
    <x v="369"/>
    <x v="199"/>
    <x v="387"/>
    <x v="156"/>
  </r>
  <r>
    <x v="5"/>
    <x v="9"/>
    <x v="4"/>
    <x v="392"/>
    <x v="199"/>
    <x v="383"/>
    <x v="223"/>
    <x v="374"/>
    <x v="242"/>
    <x v="375"/>
    <x v="221"/>
    <x v="468"/>
    <x v="281"/>
    <x v="422"/>
    <x v="235"/>
    <x v="405"/>
    <x v="235"/>
    <x v="432"/>
    <x v="202"/>
  </r>
  <r>
    <x v="5"/>
    <x v="10"/>
    <x v="4"/>
    <x v="412"/>
    <x v="219"/>
    <x v="387"/>
    <x v="246"/>
    <x v="385"/>
    <x v="257"/>
    <x v="386"/>
    <x v="246"/>
    <x v="465"/>
    <x v="300"/>
    <x v="431"/>
    <x v="260"/>
    <x v="411"/>
    <x v="254"/>
    <x v="448"/>
    <x v="219"/>
  </r>
  <r>
    <x v="5"/>
    <x v="11"/>
    <x v="4"/>
    <x v="427"/>
    <x v="224"/>
    <x v="404"/>
    <x v="260"/>
    <x v="404"/>
    <x v="270"/>
    <x v="393"/>
    <x v="247"/>
    <x v="474"/>
    <x v="304"/>
    <x v="440"/>
    <x v="258"/>
    <x v="427"/>
    <x v="253"/>
    <x v="454"/>
    <x v="220"/>
  </r>
  <r>
    <x v="6"/>
    <x v="0"/>
    <x v="4"/>
    <x v="402"/>
    <x v="192"/>
    <x v="388"/>
    <x v="198"/>
    <x v="387"/>
    <x v="203"/>
    <x v="382"/>
    <x v="190"/>
    <x v="464"/>
    <x v="255"/>
    <x v="429"/>
    <x v="214"/>
    <x v="408"/>
    <x v="203"/>
    <x v="437"/>
    <x v="166"/>
  </r>
  <r>
    <x v="6"/>
    <x v="1"/>
    <x v="4"/>
    <x v="349"/>
    <x v="153"/>
    <x v="331"/>
    <x v="147"/>
    <x v="323"/>
    <x v="140"/>
    <x v="314"/>
    <x v="106"/>
    <x v="425"/>
    <x v="186"/>
    <x v="373"/>
    <x v="132"/>
    <x v="373"/>
    <x v="134"/>
    <x v="395"/>
    <x v="109"/>
  </r>
  <r>
    <x v="0"/>
    <x v="0"/>
    <x v="2"/>
    <x v="149"/>
    <x v="273"/>
    <x v="149"/>
    <x v="328"/>
    <x v="151"/>
    <x v="339"/>
    <x v="150"/>
    <x v="396"/>
    <x v="148"/>
    <x v="328"/>
    <x v="148"/>
    <x v="337"/>
    <x v="151"/>
    <x v="353"/>
    <x v="150"/>
    <x v="376"/>
  </r>
  <r>
    <x v="0"/>
    <x v="1"/>
    <x v="2"/>
    <x v="150"/>
    <x v="310"/>
    <x v="153"/>
    <x v="378"/>
    <x v="155"/>
    <x v="386"/>
    <x v="159"/>
    <x v="411"/>
    <x v="151"/>
    <x v="342"/>
    <x v="152"/>
    <x v="339"/>
    <x v="152"/>
    <x v="347"/>
    <x v="149"/>
    <x v="358"/>
  </r>
  <r>
    <x v="0"/>
    <x v="2"/>
    <x v="2"/>
    <x v="152"/>
    <x v="272"/>
    <x v="151"/>
    <x v="302"/>
    <x v="150"/>
    <x v="317"/>
    <x v="153"/>
    <x v="362"/>
    <x v="149"/>
    <x v="303"/>
    <x v="150"/>
    <x v="317"/>
    <x v="150"/>
    <x v="316"/>
    <x v="152"/>
    <x v="360"/>
  </r>
  <r>
    <x v="0"/>
    <x v="3"/>
    <x v="2"/>
    <x v="148"/>
    <x v="282"/>
    <x v="148"/>
    <x v="308"/>
    <x v="148"/>
    <x v="325"/>
    <x v="148"/>
    <x v="367"/>
    <x v="146"/>
    <x v="319"/>
    <x v="147"/>
    <x v="324"/>
    <x v="148"/>
    <x v="325"/>
    <x v="148"/>
    <x v="363"/>
  </r>
  <r>
    <x v="0"/>
    <x v="4"/>
    <x v="2"/>
    <x v="153"/>
    <x v="327"/>
    <x v="150"/>
    <x v="360"/>
    <x v="149"/>
    <x v="372"/>
    <x v="149"/>
    <x v="406"/>
    <x v="150"/>
    <x v="363"/>
    <x v="149"/>
    <x v="363"/>
    <x v="149"/>
    <x v="362"/>
    <x v="151"/>
    <x v="387"/>
  </r>
  <r>
    <x v="0"/>
    <x v="5"/>
    <x v="2"/>
    <x v="154"/>
    <x v="312"/>
    <x v="152"/>
    <x v="365"/>
    <x v="153"/>
    <x v="401"/>
    <x v="151"/>
    <x v="417"/>
    <x v="152"/>
    <x v="369"/>
    <x v="151"/>
    <x v="369"/>
    <x v="153"/>
    <x v="375"/>
    <x v="153"/>
    <x v="390"/>
  </r>
  <r>
    <x v="0"/>
    <x v="6"/>
    <x v="2"/>
    <x v="151"/>
    <x v="299"/>
    <x v="154"/>
    <x v="358"/>
    <x v="156"/>
    <x v="396"/>
    <x v="157"/>
    <x v="414"/>
    <x v="154"/>
    <x v="366"/>
    <x v="153"/>
    <x v="371"/>
    <x v="156"/>
    <x v="386"/>
    <x v="154"/>
    <x v="392"/>
  </r>
  <r>
    <x v="0"/>
    <x v="7"/>
    <x v="2"/>
    <x v="169"/>
    <x v="378"/>
    <x v="184"/>
    <x v="417"/>
    <x v="184"/>
    <x v="432"/>
    <x v="190"/>
    <x v="438"/>
    <x v="168"/>
    <x v="410"/>
    <x v="169"/>
    <x v="411"/>
    <x v="170"/>
    <x v="415"/>
    <x v="169"/>
    <x v="404"/>
  </r>
  <r>
    <x v="0"/>
    <x v="8"/>
    <x v="2"/>
    <x v="156"/>
    <x v="368"/>
    <x v="158"/>
    <x v="406"/>
    <x v="157"/>
    <x v="413"/>
    <x v="161"/>
    <x v="426"/>
    <x v="156"/>
    <x v="380"/>
    <x v="156"/>
    <x v="394"/>
    <x v="157"/>
    <x v="388"/>
    <x v="156"/>
    <x v="394"/>
  </r>
  <r>
    <x v="0"/>
    <x v="9"/>
    <x v="2"/>
    <x v="157"/>
    <x v="308"/>
    <x v="156"/>
    <x v="337"/>
    <x v="154"/>
    <x v="347"/>
    <x v="154"/>
    <x v="388"/>
    <x v="155"/>
    <x v="338"/>
    <x v="155"/>
    <x v="342"/>
    <x v="154"/>
    <x v="351"/>
    <x v="157"/>
    <x v="379"/>
  </r>
  <r>
    <x v="0"/>
    <x v="10"/>
    <x v="2"/>
    <x v="155"/>
    <x v="270"/>
    <x v="155"/>
    <x v="295"/>
    <x v="152"/>
    <x v="314"/>
    <x v="152"/>
    <x v="351"/>
    <x v="153"/>
    <x v="313"/>
    <x v="154"/>
    <x v="316"/>
    <x v="155"/>
    <x v="328"/>
    <x v="155"/>
    <x v="364"/>
  </r>
  <r>
    <x v="0"/>
    <x v="11"/>
    <x v="2"/>
    <x v="158"/>
    <x v="289"/>
    <x v="161"/>
    <x v="314"/>
    <x v="160"/>
    <x v="326"/>
    <x v="165"/>
    <x v="370"/>
    <x v="157"/>
    <x v="327"/>
    <x v="157"/>
    <x v="328"/>
    <x v="158"/>
    <x v="344"/>
    <x v="164"/>
    <x v="374"/>
  </r>
  <r>
    <x v="1"/>
    <x v="0"/>
    <x v="2"/>
    <x v="159"/>
    <x v="317"/>
    <x v="163"/>
    <x v="363"/>
    <x v="168"/>
    <x v="376"/>
    <x v="170"/>
    <x v="398"/>
    <x v="161"/>
    <x v="355"/>
    <x v="162"/>
    <x v="348"/>
    <x v="163"/>
    <x v="367"/>
    <x v="167"/>
    <x v="384"/>
  </r>
  <r>
    <x v="1"/>
    <x v="1"/>
    <x v="2"/>
    <x v="163"/>
    <x v="384"/>
    <x v="172"/>
    <x v="426"/>
    <x v="180"/>
    <x v="431"/>
    <x v="175"/>
    <x v="428"/>
    <x v="164"/>
    <x v="398"/>
    <x v="163"/>
    <x v="391"/>
    <x v="164"/>
    <x v="396"/>
    <x v="158"/>
    <x v="381"/>
  </r>
  <r>
    <x v="1"/>
    <x v="2"/>
    <x v="2"/>
    <x v="161"/>
    <x v="355"/>
    <x v="162"/>
    <x v="385"/>
    <x v="163"/>
    <x v="380"/>
    <x v="166"/>
    <x v="400"/>
    <x v="160"/>
    <x v="360"/>
    <x v="160"/>
    <x v="354"/>
    <x v="161"/>
    <x v="369"/>
    <x v="163"/>
    <x v="380"/>
  </r>
  <r>
    <x v="1"/>
    <x v="3"/>
    <x v="2"/>
    <x v="165"/>
    <x v="353"/>
    <x v="167"/>
    <x v="375"/>
    <x v="162"/>
    <x v="382"/>
    <x v="162"/>
    <x v="405"/>
    <x v="158"/>
    <x v="362"/>
    <x v="158"/>
    <x v="365"/>
    <x v="159"/>
    <x v="365"/>
    <x v="165"/>
    <x v="391"/>
  </r>
  <r>
    <x v="1"/>
    <x v="4"/>
    <x v="2"/>
    <x v="160"/>
    <x v="373"/>
    <x v="159"/>
    <x v="394"/>
    <x v="158"/>
    <x v="404"/>
    <x v="160"/>
    <x v="418"/>
    <x v="159"/>
    <x v="391"/>
    <x v="159"/>
    <x v="396"/>
    <x v="160"/>
    <x v="393"/>
    <x v="166"/>
    <x v="408"/>
  </r>
  <r>
    <x v="1"/>
    <x v="5"/>
    <x v="2"/>
    <x v="168"/>
    <x v="367"/>
    <x v="177"/>
    <x v="404"/>
    <x v="173"/>
    <x v="419"/>
    <x v="176"/>
    <x v="430"/>
    <x v="167"/>
    <x v="412"/>
    <x v="168"/>
    <x v="410"/>
    <x v="167"/>
    <x v="419"/>
    <x v="170"/>
    <x v="422"/>
  </r>
  <r>
    <x v="1"/>
    <x v="6"/>
    <x v="2"/>
    <x v="176"/>
    <x v="366"/>
    <x v="203"/>
    <x v="409"/>
    <x v="201"/>
    <x v="430"/>
    <x v="203"/>
    <x v="431"/>
    <x v="177"/>
    <x v="406"/>
    <x v="180"/>
    <x v="400"/>
    <x v="184"/>
    <x v="413"/>
    <x v="181"/>
    <x v="420"/>
  </r>
  <r>
    <x v="1"/>
    <x v="7"/>
    <x v="2"/>
    <x v="187"/>
    <x v="407"/>
    <x v="210"/>
    <x v="437"/>
    <x v="215"/>
    <x v="441"/>
    <x v="218"/>
    <x v="443"/>
    <x v="194"/>
    <x v="432"/>
    <x v="199"/>
    <x v="431"/>
    <x v="200"/>
    <x v="436"/>
    <x v="195"/>
    <x v="425"/>
  </r>
  <r>
    <x v="1"/>
    <x v="8"/>
    <x v="2"/>
    <x v="174"/>
    <x v="395"/>
    <x v="188"/>
    <x v="418"/>
    <x v="197"/>
    <x v="423"/>
    <x v="197"/>
    <x v="427"/>
    <x v="182"/>
    <x v="414"/>
    <x v="183"/>
    <x v="409"/>
    <x v="188"/>
    <x v="401"/>
    <x v="180"/>
    <x v="405"/>
  </r>
  <r>
    <x v="1"/>
    <x v="9"/>
    <x v="2"/>
    <x v="175"/>
    <x v="370"/>
    <x v="185"/>
    <x v="390"/>
    <x v="187"/>
    <x v="394"/>
    <x v="194"/>
    <x v="409"/>
    <x v="184"/>
    <x v="382"/>
    <x v="184"/>
    <x v="376"/>
    <x v="182"/>
    <x v="385"/>
    <x v="192"/>
    <x v="398"/>
  </r>
  <r>
    <x v="1"/>
    <x v="10"/>
    <x v="2"/>
    <x v="166"/>
    <x v="321"/>
    <x v="166"/>
    <x v="334"/>
    <x v="165"/>
    <x v="345"/>
    <x v="169"/>
    <x v="375"/>
    <x v="165"/>
    <x v="348"/>
    <x v="167"/>
    <x v="341"/>
    <x v="166"/>
    <x v="357"/>
    <x v="171"/>
    <x v="385"/>
  </r>
  <r>
    <x v="1"/>
    <x v="11"/>
    <x v="2"/>
    <x v="172"/>
    <x v="305"/>
    <x v="176"/>
    <x v="331"/>
    <x v="179"/>
    <x v="335"/>
    <x v="182"/>
    <x v="365"/>
    <x v="174"/>
    <x v="332"/>
    <x v="181"/>
    <x v="336"/>
    <x v="180"/>
    <x v="354"/>
    <x v="184"/>
    <x v="383"/>
  </r>
  <r>
    <x v="2"/>
    <x v="0"/>
    <x v="2"/>
    <x v="170"/>
    <x v="376"/>
    <x v="180"/>
    <x v="411"/>
    <x v="183"/>
    <x v="416"/>
    <x v="178"/>
    <x v="422"/>
    <x v="169"/>
    <x v="407"/>
    <x v="171"/>
    <x v="405"/>
    <x v="177"/>
    <x v="424"/>
    <x v="173"/>
    <x v="423"/>
  </r>
  <r>
    <x v="2"/>
    <x v="1"/>
    <x v="2"/>
    <x v="183"/>
    <x v="389"/>
    <x v="197"/>
    <x v="415"/>
    <x v="202"/>
    <x v="421"/>
    <x v="191"/>
    <x v="413"/>
    <x v="180"/>
    <x v="379"/>
    <x v="175"/>
    <x v="364"/>
    <x v="185"/>
    <x v="372"/>
    <x v="168"/>
    <x v="370"/>
  </r>
  <r>
    <x v="2"/>
    <x v="2"/>
    <x v="2"/>
    <x v="167"/>
    <x v="329"/>
    <x v="165"/>
    <x v="361"/>
    <x v="170"/>
    <x v="375"/>
    <x v="163"/>
    <x v="384"/>
    <x v="166"/>
    <x v="358"/>
    <x v="166"/>
    <x v="361"/>
    <x v="168"/>
    <x v="368"/>
    <x v="161"/>
    <x v="372"/>
  </r>
  <r>
    <x v="2"/>
    <x v="3"/>
    <x v="2"/>
    <x v="164"/>
    <x v="291"/>
    <x v="160"/>
    <x v="324"/>
    <x v="161"/>
    <x v="344"/>
    <x v="156"/>
    <x v="356"/>
    <x v="162"/>
    <x v="337"/>
    <x v="161"/>
    <x v="338"/>
    <x v="162"/>
    <x v="352"/>
    <x v="159"/>
    <x v="368"/>
  </r>
  <r>
    <x v="2"/>
    <x v="4"/>
    <x v="2"/>
    <x v="162"/>
    <x v="334"/>
    <x v="157"/>
    <x v="369"/>
    <x v="159"/>
    <x v="393"/>
    <x v="155"/>
    <x v="397"/>
    <x v="163"/>
    <x v="390"/>
    <x v="165"/>
    <x v="384"/>
    <x v="165"/>
    <x v="392"/>
    <x v="160"/>
    <x v="389"/>
  </r>
  <r>
    <x v="2"/>
    <x v="5"/>
    <x v="2"/>
    <x v="173"/>
    <x v="379"/>
    <x v="171"/>
    <x v="402"/>
    <x v="182"/>
    <x v="418"/>
    <x v="177"/>
    <x v="425"/>
    <x v="171"/>
    <x v="413"/>
    <x v="176"/>
    <x v="417"/>
    <x v="181"/>
    <x v="416"/>
    <x v="182"/>
    <x v="428"/>
  </r>
  <r>
    <x v="2"/>
    <x v="6"/>
    <x v="2"/>
    <x v="188"/>
    <x v="304"/>
    <x v="200"/>
    <x v="372"/>
    <x v="206"/>
    <x v="399"/>
    <x v="195"/>
    <x v="404"/>
    <x v="190"/>
    <x v="372"/>
    <x v="193"/>
    <x v="386"/>
    <x v="199"/>
    <x v="391"/>
    <x v="179"/>
    <x v="386"/>
  </r>
  <r>
    <x v="2"/>
    <x v="7"/>
    <x v="2"/>
    <x v="191"/>
    <x v="401"/>
    <x v="193"/>
    <x v="428"/>
    <x v="207"/>
    <x v="440"/>
    <x v="204"/>
    <x v="439"/>
    <x v="207"/>
    <x v="435"/>
    <x v="201"/>
    <x v="435"/>
    <x v="204"/>
    <x v="431"/>
    <x v="188"/>
    <x v="412"/>
  </r>
  <r>
    <x v="2"/>
    <x v="8"/>
    <x v="2"/>
    <x v="171"/>
    <x v="330"/>
    <x v="164"/>
    <x v="370"/>
    <x v="167"/>
    <x v="385"/>
    <x v="164"/>
    <x v="401"/>
    <x v="170"/>
    <x v="378"/>
    <x v="170"/>
    <x v="385"/>
    <x v="169"/>
    <x v="382"/>
    <x v="162"/>
    <x v="378"/>
  </r>
  <r>
    <x v="2"/>
    <x v="9"/>
    <x v="2"/>
    <x v="182"/>
    <x v="297"/>
    <x v="179"/>
    <x v="333"/>
    <x v="178"/>
    <x v="340"/>
    <x v="179"/>
    <x v="373"/>
    <x v="183"/>
    <x v="353"/>
    <x v="186"/>
    <x v="360"/>
    <x v="178"/>
    <x v="358"/>
    <x v="177"/>
    <x v="373"/>
  </r>
  <r>
    <x v="2"/>
    <x v="10"/>
    <x v="2"/>
    <x v="177"/>
    <x v="336"/>
    <x v="173"/>
    <x v="348"/>
    <x v="172"/>
    <x v="348"/>
    <x v="171"/>
    <x v="379"/>
    <x v="176"/>
    <x v="364"/>
    <x v="173"/>
    <x v="367"/>
    <x v="172"/>
    <x v="363"/>
    <x v="178"/>
    <x v="396"/>
  </r>
  <r>
    <x v="2"/>
    <x v="11"/>
    <x v="2"/>
    <x v="189"/>
    <x v="309"/>
    <x v="192"/>
    <x v="326"/>
    <x v="193"/>
    <x v="329"/>
    <x v="188"/>
    <x v="357"/>
    <x v="195"/>
    <x v="349"/>
    <x v="188"/>
    <x v="335"/>
    <x v="192"/>
    <x v="345"/>
    <x v="198"/>
    <x v="388"/>
  </r>
  <r>
    <x v="3"/>
    <x v="0"/>
    <x v="2"/>
    <x v="186"/>
    <x v="342"/>
    <x v="182"/>
    <x v="362"/>
    <x v="174"/>
    <x v="358"/>
    <x v="172"/>
    <x v="395"/>
    <x v="181"/>
    <x v="377"/>
    <x v="178"/>
    <x v="382"/>
    <x v="174"/>
    <x v="390"/>
    <x v="183"/>
    <x v="410"/>
  </r>
  <r>
    <x v="3"/>
    <x v="1"/>
    <x v="2"/>
    <x v="193"/>
    <x v="420"/>
    <x v="194"/>
    <x v="438"/>
    <x v="195"/>
    <x v="437"/>
    <x v="196"/>
    <x v="435"/>
    <x v="196"/>
    <x v="423"/>
    <x v="189"/>
    <x v="422"/>
    <x v="190"/>
    <x v="412"/>
    <x v="196"/>
    <x v="401"/>
  </r>
  <r>
    <x v="3"/>
    <x v="2"/>
    <x v="2"/>
    <x v="195"/>
    <x v="404"/>
    <x v="189"/>
    <x v="401"/>
    <x v="185"/>
    <x v="403"/>
    <x v="187"/>
    <x v="415"/>
    <x v="192"/>
    <x v="409"/>
    <x v="187"/>
    <x v="401"/>
    <x v="194"/>
    <x v="405"/>
    <x v="207"/>
    <x v="424"/>
  </r>
  <r>
    <x v="3"/>
    <x v="3"/>
    <x v="2"/>
    <x v="200"/>
    <x v="354"/>
    <x v="198"/>
    <x v="356"/>
    <x v="196"/>
    <x v="367"/>
    <x v="186"/>
    <x v="385"/>
    <x v="197"/>
    <x v="381"/>
    <x v="190"/>
    <x v="368"/>
    <x v="196"/>
    <x v="378"/>
    <x v="199"/>
    <x v="395"/>
  </r>
  <r>
    <x v="3"/>
    <x v="4"/>
    <x v="2"/>
    <x v="184"/>
    <x v="393"/>
    <x v="178"/>
    <x v="399"/>
    <x v="175"/>
    <x v="407"/>
    <x v="180"/>
    <x v="421"/>
    <x v="186"/>
    <x v="416"/>
    <x v="185"/>
    <x v="420"/>
    <x v="189"/>
    <x v="409"/>
    <x v="202"/>
    <x v="433"/>
  </r>
  <r>
    <x v="3"/>
    <x v="5"/>
    <x v="2"/>
    <x v="179"/>
    <x v="387"/>
    <x v="170"/>
    <x v="395"/>
    <x v="164"/>
    <x v="410"/>
    <x v="167"/>
    <x v="424"/>
    <x v="172"/>
    <x v="420"/>
    <x v="172"/>
    <x v="425"/>
    <x v="171"/>
    <x v="417"/>
    <x v="187"/>
    <x v="434"/>
  </r>
  <r>
    <x v="3"/>
    <x v="6"/>
    <x v="2"/>
    <x v="194"/>
    <x v="360"/>
    <x v="199"/>
    <x v="387"/>
    <x v="192"/>
    <x v="397"/>
    <x v="193"/>
    <x v="410"/>
    <x v="193"/>
    <x v="403"/>
    <x v="192"/>
    <x v="406"/>
    <x v="191"/>
    <x v="402"/>
    <x v="205"/>
    <x v="421"/>
  </r>
  <r>
    <x v="3"/>
    <x v="7"/>
    <x v="2"/>
    <x v="196"/>
    <x v="417"/>
    <x v="204"/>
    <x v="436"/>
    <x v="199"/>
    <x v="435"/>
    <x v="208"/>
    <x v="441"/>
    <x v="205"/>
    <x v="440"/>
    <x v="204"/>
    <x v="439"/>
    <x v="198"/>
    <x v="435"/>
    <x v="222"/>
    <x v="437"/>
  </r>
  <r>
    <x v="3"/>
    <x v="8"/>
    <x v="2"/>
    <x v="190"/>
    <x v="415"/>
    <x v="183"/>
    <x v="427"/>
    <x v="181"/>
    <x v="425"/>
    <x v="183"/>
    <x v="432"/>
    <x v="189"/>
    <x v="428"/>
    <x v="191"/>
    <x v="432"/>
    <x v="193"/>
    <x v="428"/>
    <x v="204"/>
    <x v="430"/>
  </r>
  <r>
    <x v="3"/>
    <x v="9"/>
    <x v="2"/>
    <x v="198"/>
    <x v="382"/>
    <x v="196"/>
    <x v="377"/>
    <x v="186"/>
    <x v="370"/>
    <x v="198"/>
    <x v="402"/>
    <x v="191"/>
    <x v="375"/>
    <x v="196"/>
    <x v="388"/>
    <x v="195"/>
    <x v="384"/>
    <x v="210"/>
    <x v="406"/>
  </r>
  <r>
    <x v="3"/>
    <x v="10"/>
    <x v="2"/>
    <x v="181"/>
    <x v="333"/>
    <x v="169"/>
    <x v="336"/>
    <x v="166"/>
    <x v="343"/>
    <x v="173"/>
    <x v="393"/>
    <x v="175"/>
    <x v="367"/>
    <x v="182"/>
    <x v="370"/>
    <x v="179"/>
    <x v="380"/>
    <x v="197"/>
    <x v="411"/>
  </r>
  <r>
    <x v="3"/>
    <x v="11"/>
    <x v="2"/>
    <x v="202"/>
    <x v="316"/>
    <x v="201"/>
    <x v="319"/>
    <x v="198"/>
    <x v="334"/>
    <x v="212"/>
    <x v="364"/>
    <x v="204"/>
    <x v="352"/>
    <x v="205"/>
    <x v="358"/>
    <x v="206"/>
    <x v="370"/>
    <x v="225"/>
    <x v="397"/>
  </r>
  <r>
    <x v="4"/>
    <x v="0"/>
    <x v="2"/>
    <x v="180"/>
    <x v="348"/>
    <x v="175"/>
    <x v="380"/>
    <x v="171"/>
    <x v="384"/>
    <x v="174"/>
    <x v="407"/>
    <x v="178"/>
    <x v="397"/>
    <x v="174"/>
    <x v="392"/>
    <x v="173"/>
    <x v="398"/>
    <x v="194"/>
    <x v="417"/>
  </r>
  <r>
    <x v="4"/>
    <x v="1"/>
    <x v="2"/>
    <x v="192"/>
    <x v="397"/>
    <x v="181"/>
    <x v="413"/>
    <x v="176"/>
    <x v="406"/>
    <x v="181"/>
    <x v="423"/>
    <x v="179"/>
    <x v="402"/>
    <x v="179"/>
    <x v="416"/>
    <x v="175"/>
    <x v="397"/>
    <x v="186"/>
    <x v="402"/>
  </r>
  <r>
    <x v="4"/>
    <x v="2"/>
    <x v="2"/>
    <x v="197"/>
    <x v="422"/>
    <x v="187"/>
    <x v="430"/>
    <x v="188"/>
    <x v="429"/>
    <x v="207"/>
    <x v="437"/>
    <x v="202"/>
    <x v="427"/>
    <x v="202"/>
    <x v="428"/>
    <x v="209"/>
    <x v="433"/>
    <x v="227"/>
    <x v="436"/>
  </r>
  <r>
    <x v="4"/>
    <x v="3"/>
    <x v="2"/>
    <x v="203"/>
    <x v="380"/>
    <x v="195"/>
    <x v="373"/>
    <x v="190"/>
    <x v="377"/>
    <x v="194"/>
    <x v="403"/>
    <x v="201"/>
    <x v="392"/>
    <x v="198"/>
    <x v="390"/>
    <x v="203"/>
    <x v="400"/>
    <x v="216"/>
    <x v="409"/>
  </r>
  <r>
    <x v="4"/>
    <x v="4"/>
    <x v="2"/>
    <x v="199"/>
    <x v="418"/>
    <x v="186"/>
    <x v="423"/>
    <x v="191"/>
    <x v="427"/>
    <x v="199"/>
    <x v="436"/>
    <x v="206"/>
    <x v="436"/>
    <x v="211"/>
    <x v="440"/>
    <x v="213"/>
    <x v="440"/>
    <x v="230"/>
    <x v="441"/>
  </r>
  <r>
    <x v="4"/>
    <x v="5"/>
    <x v="2"/>
    <x v="204"/>
    <x v="396"/>
    <x v="202"/>
    <x v="405"/>
    <x v="200"/>
    <x v="420"/>
    <x v="210"/>
    <x v="429"/>
    <x v="212"/>
    <x v="425"/>
    <x v="213"/>
    <x v="429"/>
    <x v="216"/>
    <x v="437"/>
    <x v="226"/>
    <x v="439"/>
  </r>
  <r>
    <x v="4"/>
    <x v="6"/>
    <x v="2"/>
    <x v="210"/>
    <x v="388"/>
    <x v="215"/>
    <x v="403"/>
    <x v="219"/>
    <x v="417"/>
    <x v="219"/>
    <x v="420"/>
    <x v="223"/>
    <x v="422"/>
    <x v="222"/>
    <x v="423"/>
    <x v="222"/>
    <x v="425"/>
    <x v="239"/>
    <x v="429"/>
  </r>
  <r>
    <x v="4"/>
    <x v="7"/>
    <x v="2"/>
    <x v="209"/>
    <x v="414"/>
    <x v="213"/>
    <x v="435"/>
    <x v="212"/>
    <x v="436"/>
    <x v="215"/>
    <x v="440"/>
    <x v="217"/>
    <x v="439"/>
    <x v="217"/>
    <x v="437"/>
    <x v="221"/>
    <x v="439"/>
    <x v="232"/>
    <x v="438"/>
  </r>
  <r>
    <x v="4"/>
    <x v="8"/>
    <x v="2"/>
    <x v="201"/>
    <x v="399"/>
    <x v="190"/>
    <x v="398"/>
    <x v="189"/>
    <x v="400"/>
    <x v="185"/>
    <x v="416"/>
    <x v="198"/>
    <x v="399"/>
    <x v="195"/>
    <x v="412"/>
    <x v="205"/>
    <x v="410"/>
    <x v="206"/>
    <x v="416"/>
  </r>
  <r>
    <x v="4"/>
    <x v="9"/>
    <x v="2"/>
    <x v="185"/>
    <x v="343"/>
    <x v="168"/>
    <x v="342"/>
    <x v="169"/>
    <x v="350"/>
    <x v="158"/>
    <x v="368"/>
    <x v="173"/>
    <x v="365"/>
    <x v="164"/>
    <x v="352"/>
    <x v="176"/>
    <x v="376"/>
    <x v="172"/>
    <x v="393"/>
  </r>
  <r>
    <x v="4"/>
    <x v="10"/>
    <x v="2"/>
    <x v="206"/>
    <x v="359"/>
    <x v="191"/>
    <x v="345"/>
    <x v="194"/>
    <x v="354"/>
    <x v="184"/>
    <x v="381"/>
    <x v="203"/>
    <x v="384"/>
    <x v="200"/>
    <x v="381"/>
    <x v="215"/>
    <x v="403"/>
    <x v="218"/>
    <x v="413"/>
  </r>
  <r>
    <x v="4"/>
    <x v="11"/>
    <x v="2"/>
    <x v="230"/>
    <x v="374"/>
    <x v="224"/>
    <x v="367"/>
    <x v="227"/>
    <x v="374"/>
    <x v="228"/>
    <x v="383"/>
    <x v="239"/>
    <x v="388"/>
    <x v="232"/>
    <x v="379"/>
    <x v="246"/>
    <x v="406"/>
    <x v="250"/>
    <x v="415"/>
  </r>
  <r>
    <x v="5"/>
    <x v="0"/>
    <x v="2"/>
    <x v="205"/>
    <x v="412"/>
    <x v="206"/>
    <x v="432"/>
    <x v="209"/>
    <x v="433"/>
    <x v="205"/>
    <x v="434"/>
    <x v="215"/>
    <x v="437"/>
    <x v="210"/>
    <x v="438"/>
    <x v="219"/>
    <x v="442"/>
    <x v="234"/>
    <x v="442"/>
  </r>
  <r>
    <x v="5"/>
    <x v="1"/>
    <x v="2"/>
    <x v="178"/>
    <x v="349"/>
    <x v="174"/>
    <x v="391"/>
    <x v="177"/>
    <x v="381"/>
    <x v="168"/>
    <x v="390"/>
    <x v="185"/>
    <x v="371"/>
    <x v="177"/>
    <x v="362"/>
    <x v="186"/>
    <x v="366"/>
    <x v="191"/>
    <x v="377"/>
  </r>
  <r>
    <x v="5"/>
    <x v="2"/>
    <x v="2"/>
    <x v="214"/>
    <x v="406"/>
    <x v="212"/>
    <x v="408"/>
    <x v="216"/>
    <x v="411"/>
    <x v="216"/>
    <x v="412"/>
    <x v="226"/>
    <x v="417"/>
    <x v="224"/>
    <x v="421"/>
    <x v="233"/>
    <x v="418"/>
    <x v="248"/>
    <x v="426"/>
  </r>
  <r>
    <x v="5"/>
    <x v="3"/>
    <x v="2"/>
    <x v="212"/>
    <x v="364"/>
    <x v="205"/>
    <x v="352"/>
    <x v="204"/>
    <x v="369"/>
    <x v="189"/>
    <x v="387"/>
    <x v="214"/>
    <x v="387"/>
    <x v="212"/>
    <x v="387"/>
    <x v="218"/>
    <x v="399"/>
    <x v="233"/>
    <x v="414"/>
  </r>
  <r>
    <x v="5"/>
    <x v="4"/>
    <x v="2"/>
    <x v="208"/>
    <x v="385"/>
    <x v="208"/>
    <x v="386"/>
    <x v="213"/>
    <x v="409"/>
    <x v="202"/>
    <x v="408"/>
    <x v="222"/>
    <x v="421"/>
    <x v="220"/>
    <x v="424"/>
    <x v="228"/>
    <x v="432"/>
    <x v="242"/>
    <x v="435"/>
  </r>
  <r>
    <x v="5"/>
    <x v="5"/>
    <x v="2"/>
    <x v="207"/>
    <x v="323"/>
    <x v="207"/>
    <x v="335"/>
    <x v="210"/>
    <x v="368"/>
    <x v="192"/>
    <x v="376"/>
    <x v="219"/>
    <x v="395"/>
    <x v="208"/>
    <x v="393"/>
    <x v="220"/>
    <x v="411"/>
    <x v="224"/>
    <x v="418"/>
  </r>
  <r>
    <x v="5"/>
    <x v="6"/>
    <x v="2"/>
    <x v="231"/>
    <x v="392"/>
    <x v="237"/>
    <x v="410"/>
    <x v="245"/>
    <x v="426"/>
    <x v="238"/>
    <x v="419"/>
    <x v="251"/>
    <x v="430"/>
    <x v="251"/>
    <x v="426"/>
    <x v="261"/>
    <x v="438"/>
    <x v="272"/>
    <x v="440"/>
  </r>
  <r>
    <x v="5"/>
    <x v="7"/>
    <x v="2"/>
    <x v="232"/>
    <x v="425"/>
    <x v="238"/>
    <x v="442"/>
    <x v="247"/>
    <x v="442"/>
    <x v="241"/>
    <x v="442"/>
    <x v="253"/>
    <x v="442"/>
    <x v="252"/>
    <x v="442"/>
    <x v="257"/>
    <x v="443"/>
    <x v="273"/>
    <x v="443"/>
  </r>
  <r>
    <x v="5"/>
    <x v="8"/>
    <x v="2"/>
    <x v="211"/>
    <x v="357"/>
    <x v="216"/>
    <x v="383"/>
    <x v="226"/>
    <x v="391"/>
    <x v="211"/>
    <x v="389"/>
    <x v="230"/>
    <x v="396"/>
    <x v="219"/>
    <x v="377"/>
    <x v="234"/>
    <x v="408"/>
    <x v="235"/>
    <x v="400"/>
  </r>
  <r>
    <x v="5"/>
    <x v="9"/>
    <x v="2"/>
    <x v="228"/>
    <x v="383"/>
    <x v="230"/>
    <x v="381"/>
    <x v="237"/>
    <x v="402"/>
    <x v="233"/>
    <x v="399"/>
    <x v="256"/>
    <x v="419"/>
    <x v="250"/>
    <x v="413"/>
    <x v="267"/>
    <x v="430"/>
    <x v="275"/>
    <x v="431"/>
  </r>
  <r>
    <x v="5"/>
    <x v="10"/>
    <x v="2"/>
    <x v="236"/>
    <x v="363"/>
    <x v="234"/>
    <x v="351"/>
    <x v="248"/>
    <x v="373"/>
    <x v="240"/>
    <x v="374"/>
    <x v="264"/>
    <x v="405"/>
    <x v="260"/>
    <x v="404"/>
    <x v="273"/>
    <x v="427"/>
    <x v="282"/>
    <x v="427"/>
  </r>
  <r>
    <x v="5"/>
    <x v="11"/>
    <x v="2"/>
    <x v="238"/>
    <x v="340"/>
    <x v="240"/>
    <x v="338"/>
    <x v="257"/>
    <x v="353"/>
    <x v="243"/>
    <x v="359"/>
    <x v="267"/>
    <x v="401"/>
    <x v="256"/>
    <x v="383"/>
    <x v="278"/>
    <x v="407"/>
    <x v="279"/>
    <x v="419"/>
  </r>
  <r>
    <x v="6"/>
    <x v="0"/>
    <x v="2"/>
    <x v="234"/>
    <x v="350"/>
    <x v="235"/>
    <x v="376"/>
    <x v="249"/>
    <x v="392"/>
    <x v="236"/>
    <x v="391"/>
    <x v="261"/>
    <x v="415"/>
    <x v="255"/>
    <x v="419"/>
    <x v="272"/>
    <x v="429"/>
    <x v="277"/>
    <x v="432"/>
  </r>
  <r>
    <x v="6"/>
    <x v="1"/>
    <x v="2"/>
    <x v="218"/>
    <x v="279"/>
    <x v="209"/>
    <x v="299"/>
    <x v="225"/>
    <x v="321"/>
    <x v="206"/>
    <x v="331"/>
    <x v="232"/>
    <x v="333"/>
    <x v="225"/>
    <x v="326"/>
    <x v="237"/>
    <x v="343"/>
    <x v="244"/>
    <x v="351"/>
  </r>
  <r>
    <x v="0"/>
    <x v="0"/>
    <x v="3"/>
    <x v="254"/>
    <x v="307"/>
    <x v="276"/>
    <x v="341"/>
    <x v="275"/>
    <x v="310"/>
    <x v="279"/>
    <x v="327"/>
    <x v="241"/>
    <x v="248"/>
    <x v="248"/>
    <x v="274"/>
    <x v="245"/>
    <x v="280"/>
    <x v="241"/>
    <x v="301"/>
  </r>
  <r>
    <x v="0"/>
    <x v="1"/>
    <x v="3"/>
    <x v="213"/>
    <x v="218"/>
    <x v="228"/>
    <x v="226"/>
    <x v="222"/>
    <x v="184"/>
    <x v="226"/>
    <x v="219"/>
    <x v="187"/>
    <x v="163"/>
    <x v="194"/>
    <x v="200"/>
    <x v="183"/>
    <x v="190"/>
    <x v="174"/>
    <x v="215"/>
  </r>
  <r>
    <x v="0"/>
    <x v="2"/>
    <x v="3"/>
    <x v="215"/>
    <x v="215"/>
    <x v="226"/>
    <x v="205"/>
    <x v="220"/>
    <x v="180"/>
    <x v="225"/>
    <x v="209"/>
    <x v="188"/>
    <x v="167"/>
    <x v="197"/>
    <x v="188"/>
    <x v="187"/>
    <x v="194"/>
    <x v="176"/>
    <x v="210"/>
  </r>
  <r>
    <x v="0"/>
    <x v="3"/>
    <x v="3"/>
    <x v="226"/>
    <x v="292"/>
    <x v="250"/>
    <x v="297"/>
    <x v="229"/>
    <x v="276"/>
    <x v="229"/>
    <x v="285"/>
    <x v="210"/>
    <x v="223"/>
    <x v="215"/>
    <x v="268"/>
    <x v="210"/>
    <x v="284"/>
    <x v="193"/>
    <x v="293"/>
  </r>
  <r>
    <x v="0"/>
    <x v="4"/>
    <x v="3"/>
    <x v="237"/>
    <x v="267"/>
    <x v="260"/>
    <x v="274"/>
    <x v="243"/>
    <x v="250"/>
    <x v="257"/>
    <x v="274"/>
    <x v="227"/>
    <x v="221"/>
    <x v="230"/>
    <x v="233"/>
    <x v="225"/>
    <x v="239"/>
    <x v="215"/>
    <x v="276"/>
  </r>
  <r>
    <x v="0"/>
    <x v="5"/>
    <x v="3"/>
    <x v="229"/>
    <x v="230"/>
    <x v="255"/>
    <x v="240"/>
    <x v="238"/>
    <x v="209"/>
    <x v="251"/>
    <x v="239"/>
    <x v="225"/>
    <x v="185"/>
    <x v="228"/>
    <x v="218"/>
    <x v="226"/>
    <x v="241"/>
    <x v="211"/>
    <x v="257"/>
  </r>
  <r>
    <x v="0"/>
    <x v="6"/>
    <x v="3"/>
    <x v="242"/>
    <x v="232"/>
    <x v="266"/>
    <x v="244"/>
    <x v="259"/>
    <x v="216"/>
    <x v="260"/>
    <x v="230"/>
    <x v="231"/>
    <x v="175"/>
    <x v="231"/>
    <x v="209"/>
    <x v="229"/>
    <x v="215"/>
    <x v="219"/>
    <x v="229"/>
  </r>
  <r>
    <x v="0"/>
    <x v="7"/>
    <x v="3"/>
    <x v="240"/>
    <x v="238"/>
    <x v="264"/>
    <x v="257"/>
    <x v="252"/>
    <x v="215"/>
    <x v="255"/>
    <x v="240"/>
    <x v="228"/>
    <x v="188"/>
    <x v="233"/>
    <x v="210"/>
    <x v="223"/>
    <x v="225"/>
    <x v="221"/>
    <x v="232"/>
  </r>
  <r>
    <x v="0"/>
    <x v="8"/>
    <x v="3"/>
    <x v="221"/>
    <x v="281"/>
    <x v="232"/>
    <x v="290"/>
    <x v="223"/>
    <x v="272"/>
    <x v="223"/>
    <x v="281"/>
    <x v="199"/>
    <x v="247"/>
    <x v="206"/>
    <x v="263"/>
    <x v="197"/>
    <x v="283"/>
    <x v="189"/>
    <x v="305"/>
  </r>
  <r>
    <x v="0"/>
    <x v="9"/>
    <x v="3"/>
    <x v="286"/>
    <x v="435"/>
    <x v="294"/>
    <x v="441"/>
    <x v="287"/>
    <x v="389"/>
    <x v="288"/>
    <x v="382"/>
    <x v="265"/>
    <x v="330"/>
    <x v="271"/>
    <x v="327"/>
    <x v="265"/>
    <x v="332"/>
    <x v="262"/>
    <x v="355"/>
  </r>
  <r>
    <x v="0"/>
    <x v="10"/>
    <x v="3"/>
    <x v="282"/>
    <x v="424"/>
    <x v="289"/>
    <x v="424"/>
    <x v="282"/>
    <x v="352"/>
    <x v="280"/>
    <x v="352"/>
    <x v="260"/>
    <x v="324"/>
    <x v="269"/>
    <x v="321"/>
    <x v="263"/>
    <x v="327"/>
    <x v="255"/>
    <x v="350"/>
  </r>
  <r>
    <x v="0"/>
    <x v="11"/>
    <x v="3"/>
    <x v="280"/>
    <x v="365"/>
    <x v="293"/>
    <x v="366"/>
    <x v="285"/>
    <x v="319"/>
    <x v="286"/>
    <x v="328"/>
    <x v="266"/>
    <x v="295"/>
    <x v="270"/>
    <x v="294"/>
    <x v="266"/>
    <x v="306"/>
    <x v="261"/>
    <x v="325"/>
  </r>
  <r>
    <x v="1"/>
    <x v="0"/>
    <x v="3"/>
    <x v="239"/>
    <x v="271"/>
    <x v="258"/>
    <x v="277"/>
    <x v="250"/>
    <x v="263"/>
    <x v="256"/>
    <x v="275"/>
    <x v="233"/>
    <x v="215"/>
    <x v="235"/>
    <x v="251"/>
    <x v="231"/>
    <x v="248"/>
    <x v="228"/>
    <x v="287"/>
  </r>
  <r>
    <x v="1"/>
    <x v="1"/>
    <x v="3"/>
    <x v="260"/>
    <x v="326"/>
    <x v="271"/>
    <x v="332"/>
    <x v="272"/>
    <x v="300"/>
    <x v="270"/>
    <x v="308"/>
    <x v="245"/>
    <x v="249"/>
    <x v="246"/>
    <x v="272"/>
    <x v="243"/>
    <x v="279"/>
    <x v="236"/>
    <x v="309"/>
  </r>
  <r>
    <x v="1"/>
    <x v="2"/>
    <x v="3"/>
    <x v="223"/>
    <x v="245"/>
    <x v="225"/>
    <x v="234"/>
    <x v="224"/>
    <x v="196"/>
    <x v="221"/>
    <x v="210"/>
    <x v="200"/>
    <x v="182"/>
    <x v="207"/>
    <x v="227"/>
    <x v="205"/>
    <x v="222"/>
    <x v="185"/>
    <x v="249"/>
  </r>
  <r>
    <x v="1"/>
    <x v="3"/>
    <x v="3"/>
    <x v="244"/>
    <x v="320"/>
    <x v="253"/>
    <x v="307"/>
    <x v="240"/>
    <x v="292"/>
    <x v="244"/>
    <x v="292"/>
    <x v="229"/>
    <x v="273"/>
    <x v="229"/>
    <x v="259"/>
    <x v="232"/>
    <x v="297"/>
    <x v="213"/>
    <x v="300"/>
  </r>
  <r>
    <x v="1"/>
    <x v="4"/>
    <x v="3"/>
    <x v="257"/>
    <x v="287"/>
    <x v="263"/>
    <x v="279"/>
    <x v="262"/>
    <x v="261"/>
    <x v="266"/>
    <x v="278"/>
    <x v="243"/>
    <x v="239"/>
    <x v="243"/>
    <x v="253"/>
    <x v="248"/>
    <x v="264"/>
    <x v="240"/>
    <x v="308"/>
  </r>
  <r>
    <x v="1"/>
    <x v="5"/>
    <x v="3"/>
    <x v="245"/>
    <x v="246"/>
    <x v="256"/>
    <x v="250"/>
    <x v="251"/>
    <x v="218"/>
    <x v="253"/>
    <x v="243"/>
    <x v="235"/>
    <x v="201"/>
    <x v="236"/>
    <x v="224"/>
    <x v="235"/>
    <x v="238"/>
    <x v="220"/>
    <x v="299"/>
  </r>
  <r>
    <x v="1"/>
    <x v="6"/>
    <x v="3"/>
    <x v="253"/>
    <x v="240"/>
    <x v="267"/>
    <x v="242"/>
    <x v="266"/>
    <x v="219"/>
    <x v="265"/>
    <x v="237"/>
    <x v="240"/>
    <x v="187"/>
    <x v="239"/>
    <x v="212"/>
    <x v="242"/>
    <x v="233"/>
    <x v="229"/>
    <x v="230"/>
  </r>
  <r>
    <x v="1"/>
    <x v="7"/>
    <x v="3"/>
    <x v="255"/>
    <x v="241"/>
    <x v="268"/>
    <x v="241"/>
    <x v="267"/>
    <x v="213"/>
    <x v="267"/>
    <x v="228"/>
    <x v="242"/>
    <x v="192"/>
    <x v="245"/>
    <x v="219"/>
    <x v="244"/>
    <x v="218"/>
    <x v="237"/>
    <x v="241"/>
  </r>
  <r>
    <x v="1"/>
    <x v="8"/>
    <x v="3"/>
    <x v="233"/>
    <x v="288"/>
    <x v="241"/>
    <x v="284"/>
    <x v="231"/>
    <x v="279"/>
    <x v="231"/>
    <x v="293"/>
    <x v="224"/>
    <x v="277"/>
    <x v="227"/>
    <x v="261"/>
    <x v="227"/>
    <x v="300"/>
    <x v="208"/>
    <x v="311"/>
  </r>
  <r>
    <x v="1"/>
    <x v="9"/>
    <x v="3"/>
    <x v="290"/>
    <x v="439"/>
    <x v="295"/>
    <x v="440"/>
    <x v="289"/>
    <x v="395"/>
    <x v="290"/>
    <x v="380"/>
    <x v="284"/>
    <x v="351"/>
    <x v="284"/>
    <x v="329"/>
    <x v="279"/>
    <x v="336"/>
    <x v="270"/>
    <x v="359"/>
  </r>
  <r>
    <x v="1"/>
    <x v="10"/>
    <x v="3"/>
    <x v="288"/>
    <x v="432"/>
    <x v="290"/>
    <x v="429"/>
    <x v="284"/>
    <x v="378"/>
    <x v="283"/>
    <x v="355"/>
    <x v="277"/>
    <x v="356"/>
    <x v="285"/>
    <x v="347"/>
    <x v="280"/>
    <x v="348"/>
    <x v="265"/>
    <x v="366"/>
  </r>
  <r>
    <x v="1"/>
    <x v="11"/>
    <x v="3"/>
    <x v="285"/>
    <x v="371"/>
    <x v="288"/>
    <x v="346"/>
    <x v="286"/>
    <x v="305"/>
    <x v="285"/>
    <x v="319"/>
    <x v="281"/>
    <x v="293"/>
    <x v="281"/>
    <x v="293"/>
    <x v="281"/>
    <x v="309"/>
    <x v="266"/>
    <x v="329"/>
  </r>
  <r>
    <x v="2"/>
    <x v="0"/>
    <x v="3"/>
    <x v="275"/>
    <x v="347"/>
    <x v="281"/>
    <x v="330"/>
    <x v="281"/>
    <x v="302"/>
    <x v="278"/>
    <x v="310"/>
    <x v="274"/>
    <x v="291"/>
    <x v="275"/>
    <x v="291"/>
    <x v="268"/>
    <x v="296"/>
    <x v="263"/>
    <x v="323"/>
  </r>
  <r>
    <x v="2"/>
    <x v="1"/>
    <x v="3"/>
    <x v="268"/>
    <x v="319"/>
    <x v="270"/>
    <x v="306"/>
    <x v="273"/>
    <x v="286"/>
    <x v="269"/>
    <x v="288"/>
    <x v="255"/>
    <x v="244"/>
    <x v="258"/>
    <x v="264"/>
    <x v="251"/>
    <x v="270"/>
    <x v="245"/>
    <x v="296"/>
  </r>
  <r>
    <x v="2"/>
    <x v="2"/>
    <x v="3"/>
    <x v="217"/>
    <x v="229"/>
    <x v="211"/>
    <x v="184"/>
    <x v="211"/>
    <x v="172"/>
    <x v="201"/>
    <x v="177"/>
    <x v="208"/>
    <x v="196"/>
    <x v="218"/>
    <x v="213"/>
    <x v="208"/>
    <x v="213"/>
    <x v="175"/>
    <x v="205"/>
  </r>
  <r>
    <x v="2"/>
    <x v="3"/>
    <x v="3"/>
    <x v="246"/>
    <x v="298"/>
    <x v="242"/>
    <x v="281"/>
    <x v="235"/>
    <x v="273"/>
    <x v="230"/>
    <x v="263"/>
    <x v="236"/>
    <x v="259"/>
    <x v="240"/>
    <x v="275"/>
    <x v="236"/>
    <x v="290"/>
    <x v="209"/>
    <x v="281"/>
  </r>
  <r>
    <x v="2"/>
    <x v="4"/>
    <x v="3"/>
    <x v="248"/>
    <x v="259"/>
    <x v="236"/>
    <x v="230"/>
    <x v="234"/>
    <x v="201"/>
    <x v="232"/>
    <x v="206"/>
    <x v="237"/>
    <x v="205"/>
    <x v="244"/>
    <x v="236"/>
    <x v="240"/>
    <x v="255"/>
    <x v="217"/>
    <x v="227"/>
  </r>
  <r>
    <x v="2"/>
    <x v="5"/>
    <x v="3"/>
    <x v="264"/>
    <x v="262"/>
    <x v="265"/>
    <x v="263"/>
    <x v="261"/>
    <x v="234"/>
    <x v="262"/>
    <x v="242"/>
    <x v="248"/>
    <x v="210"/>
    <x v="254"/>
    <x v="243"/>
    <x v="250"/>
    <x v="249"/>
    <x v="249"/>
    <x v="278"/>
  </r>
  <r>
    <x v="2"/>
    <x v="6"/>
    <x v="3"/>
    <x v="266"/>
    <x v="257"/>
    <x v="262"/>
    <x v="254"/>
    <x v="268"/>
    <x v="229"/>
    <x v="263"/>
    <x v="241"/>
    <x v="252"/>
    <x v="212"/>
    <x v="263"/>
    <x v="252"/>
    <x v="252"/>
    <x v="257"/>
    <x v="238"/>
    <x v="267"/>
  </r>
  <r>
    <x v="2"/>
    <x v="7"/>
    <x v="3"/>
    <x v="235"/>
    <x v="212"/>
    <x v="220"/>
    <x v="158"/>
    <x v="228"/>
    <x v="153"/>
    <x v="224"/>
    <x v="142"/>
    <x v="234"/>
    <x v="176"/>
    <x v="237"/>
    <x v="190"/>
    <x v="224"/>
    <x v="195"/>
    <x v="200"/>
    <x v="169"/>
  </r>
  <r>
    <x v="2"/>
    <x v="8"/>
    <x v="3"/>
    <x v="224"/>
    <x v="269"/>
    <x v="219"/>
    <x v="249"/>
    <x v="221"/>
    <x v="231"/>
    <x v="214"/>
    <x v="229"/>
    <x v="220"/>
    <x v="222"/>
    <x v="226"/>
    <x v="247"/>
    <x v="214"/>
    <x v="250"/>
    <x v="190"/>
    <x v="243"/>
  </r>
  <r>
    <x v="2"/>
    <x v="9"/>
    <x v="3"/>
    <x v="279"/>
    <x v="426"/>
    <x v="275"/>
    <x v="397"/>
    <x v="276"/>
    <x v="336"/>
    <x v="272"/>
    <x v="340"/>
    <x v="273"/>
    <x v="326"/>
    <x v="277"/>
    <x v="313"/>
    <x v="255"/>
    <x v="324"/>
    <x v="252"/>
    <x v="338"/>
  </r>
  <r>
    <x v="2"/>
    <x v="10"/>
    <x v="3"/>
    <x v="278"/>
    <x v="427"/>
    <x v="278"/>
    <x v="400"/>
    <x v="269"/>
    <x v="332"/>
    <x v="268"/>
    <x v="339"/>
    <x v="271"/>
    <x v="347"/>
    <x v="272"/>
    <x v="334"/>
    <x v="262"/>
    <x v="337"/>
    <x v="259"/>
    <x v="367"/>
  </r>
  <r>
    <x v="2"/>
    <x v="11"/>
    <x v="3"/>
    <x v="276"/>
    <x v="358"/>
    <x v="282"/>
    <x v="323"/>
    <x v="278"/>
    <x v="289"/>
    <x v="276"/>
    <x v="296"/>
    <x v="282"/>
    <x v="301"/>
    <x v="273"/>
    <x v="295"/>
    <x v="270"/>
    <x v="293"/>
    <x v="267"/>
    <x v="332"/>
  </r>
  <r>
    <x v="3"/>
    <x v="0"/>
    <x v="3"/>
    <x v="273"/>
    <x v="352"/>
    <x v="272"/>
    <x v="320"/>
    <x v="270"/>
    <x v="294"/>
    <x v="273"/>
    <x v="307"/>
    <x v="272"/>
    <x v="290"/>
    <x v="268"/>
    <x v="292"/>
    <x v="254"/>
    <x v="292"/>
    <x v="268"/>
    <x v="330"/>
  </r>
  <r>
    <x v="3"/>
    <x v="1"/>
    <x v="3"/>
    <x v="220"/>
    <x v="225"/>
    <x v="221"/>
    <x v="193"/>
    <x v="214"/>
    <x v="158"/>
    <x v="217"/>
    <x v="185"/>
    <x v="218"/>
    <x v="183"/>
    <x v="216"/>
    <x v="201"/>
    <x v="201"/>
    <x v="197"/>
    <x v="203"/>
    <x v="242"/>
  </r>
  <r>
    <x v="3"/>
    <x v="2"/>
    <x v="3"/>
    <x v="216"/>
    <x v="233"/>
    <x v="214"/>
    <x v="187"/>
    <x v="203"/>
    <x v="159"/>
    <x v="200"/>
    <x v="181"/>
    <x v="211"/>
    <x v="190"/>
    <x v="203"/>
    <x v="206"/>
    <x v="202"/>
    <x v="210"/>
    <x v="201"/>
    <x v="269"/>
  </r>
  <r>
    <x v="3"/>
    <x v="3"/>
    <x v="3"/>
    <x v="249"/>
    <x v="311"/>
    <x v="247"/>
    <x v="292"/>
    <x v="236"/>
    <x v="271"/>
    <x v="242"/>
    <x v="283"/>
    <x v="244"/>
    <x v="256"/>
    <x v="238"/>
    <x v="277"/>
    <x v="239"/>
    <x v="281"/>
    <x v="243"/>
    <x v="324"/>
  </r>
  <r>
    <x v="3"/>
    <x v="4"/>
    <x v="3"/>
    <x v="250"/>
    <x v="283"/>
    <x v="243"/>
    <x v="251"/>
    <x v="232"/>
    <x v="220"/>
    <x v="245"/>
    <x v="253"/>
    <x v="246"/>
    <x v="230"/>
    <x v="242"/>
    <x v="244"/>
    <x v="241"/>
    <x v="261"/>
    <x v="251"/>
    <x v="314"/>
  </r>
  <r>
    <x v="3"/>
    <x v="5"/>
    <x v="3"/>
    <x v="227"/>
    <x v="206"/>
    <x v="223"/>
    <x v="169"/>
    <x v="217"/>
    <x v="143"/>
    <x v="220"/>
    <x v="154"/>
    <x v="221"/>
    <x v="168"/>
    <x v="223"/>
    <x v="193"/>
    <x v="212"/>
    <x v="216"/>
    <x v="231"/>
    <x v="275"/>
  </r>
  <r>
    <x v="3"/>
    <x v="6"/>
    <x v="3"/>
    <x v="261"/>
    <x v="248"/>
    <x v="257"/>
    <x v="232"/>
    <x v="246"/>
    <x v="185"/>
    <x v="252"/>
    <x v="213"/>
    <x v="249"/>
    <x v="197"/>
    <x v="247"/>
    <x v="222"/>
    <x v="238"/>
    <x v="227"/>
    <x v="253"/>
    <x v="288"/>
  </r>
  <r>
    <x v="3"/>
    <x v="7"/>
    <x v="3"/>
    <x v="247"/>
    <x v="222"/>
    <x v="245"/>
    <x v="192"/>
    <x v="230"/>
    <x v="154"/>
    <x v="235"/>
    <x v="179"/>
    <x v="238"/>
    <x v="184"/>
    <x v="234"/>
    <x v="189"/>
    <x v="230"/>
    <x v="207"/>
    <x v="246"/>
    <x v="245"/>
  </r>
  <r>
    <x v="3"/>
    <x v="8"/>
    <x v="3"/>
    <x v="219"/>
    <x v="251"/>
    <x v="217"/>
    <x v="228"/>
    <x v="205"/>
    <x v="178"/>
    <x v="209"/>
    <x v="214"/>
    <x v="213"/>
    <x v="208"/>
    <x v="214"/>
    <x v="226"/>
    <x v="207"/>
    <x v="259"/>
    <x v="212"/>
    <x v="304"/>
  </r>
  <r>
    <x v="3"/>
    <x v="9"/>
    <x v="3"/>
    <x v="284"/>
    <x v="431"/>
    <x v="286"/>
    <x v="433"/>
    <x v="279"/>
    <x v="351"/>
    <x v="281"/>
    <x v="371"/>
    <x v="278"/>
    <x v="350"/>
    <x v="276"/>
    <x v="322"/>
    <x v="271"/>
    <x v="341"/>
    <x v="280"/>
    <x v="371"/>
  </r>
  <r>
    <x v="3"/>
    <x v="10"/>
    <x v="3"/>
    <x v="283"/>
    <x v="436"/>
    <x v="277"/>
    <x v="412"/>
    <x v="274"/>
    <x v="349"/>
    <x v="274"/>
    <x v="358"/>
    <x v="276"/>
    <x v="361"/>
    <x v="282"/>
    <x v="345"/>
    <x v="275"/>
    <x v="360"/>
    <x v="278"/>
    <x v="382"/>
  </r>
  <r>
    <x v="3"/>
    <x v="11"/>
    <x v="3"/>
    <x v="281"/>
    <x v="361"/>
    <x v="280"/>
    <x v="317"/>
    <x v="277"/>
    <x v="290"/>
    <x v="277"/>
    <x v="299"/>
    <x v="279"/>
    <x v="292"/>
    <x v="278"/>
    <x v="302"/>
    <x v="277"/>
    <x v="304"/>
    <x v="281"/>
    <x v="347"/>
  </r>
  <r>
    <x v="4"/>
    <x v="0"/>
    <x v="3"/>
    <x v="222"/>
    <x v="237"/>
    <x v="222"/>
    <x v="206"/>
    <x v="218"/>
    <x v="168"/>
    <x v="222"/>
    <x v="215"/>
    <x v="216"/>
    <x v="198"/>
    <x v="221"/>
    <x v="229"/>
    <x v="217"/>
    <x v="228"/>
    <x v="223"/>
    <x v="279"/>
  </r>
  <r>
    <x v="4"/>
    <x v="1"/>
    <x v="3"/>
    <x v="270"/>
    <x v="335"/>
    <x v="269"/>
    <x v="312"/>
    <x v="265"/>
    <x v="277"/>
    <x v="271"/>
    <x v="297"/>
    <x v="259"/>
    <x v="276"/>
    <x v="259"/>
    <x v="282"/>
    <x v="253"/>
    <x v="277"/>
    <x v="260"/>
    <x v="315"/>
  </r>
  <r>
    <x v="4"/>
    <x v="2"/>
    <x v="3"/>
    <x v="225"/>
    <x v="253"/>
    <x v="218"/>
    <x v="211"/>
    <x v="208"/>
    <x v="170"/>
    <x v="213"/>
    <x v="212"/>
    <x v="209"/>
    <x v="191"/>
    <x v="209"/>
    <x v="228"/>
    <x v="211"/>
    <x v="229"/>
    <x v="214"/>
    <x v="291"/>
  </r>
  <r>
    <x v="4"/>
    <x v="3"/>
    <x v="3"/>
    <x v="256"/>
    <x v="324"/>
    <x v="249"/>
    <x v="294"/>
    <x v="233"/>
    <x v="255"/>
    <x v="249"/>
    <x v="284"/>
    <x v="247"/>
    <x v="274"/>
    <x v="249"/>
    <x v="279"/>
    <x v="247"/>
    <x v="269"/>
    <x v="254"/>
    <x v="327"/>
  </r>
  <r>
    <x v="4"/>
    <x v="4"/>
    <x v="3"/>
    <x v="272"/>
    <x v="318"/>
    <x v="254"/>
    <x v="280"/>
    <x v="255"/>
    <x v="251"/>
    <x v="259"/>
    <x v="272"/>
    <x v="262"/>
    <x v="263"/>
    <x v="265"/>
    <x v="276"/>
    <x v="264"/>
    <x v="287"/>
    <x v="269"/>
    <x v="334"/>
  </r>
  <r>
    <x v="4"/>
    <x v="5"/>
    <x v="3"/>
    <x v="259"/>
    <x v="254"/>
    <x v="248"/>
    <x v="222"/>
    <x v="242"/>
    <x v="189"/>
    <x v="250"/>
    <x v="223"/>
    <x v="258"/>
    <x v="219"/>
    <x v="261"/>
    <x v="245"/>
    <x v="256"/>
    <x v="251"/>
    <x v="258"/>
    <x v="292"/>
  </r>
  <r>
    <x v="4"/>
    <x v="6"/>
    <x v="3"/>
    <x v="271"/>
    <x v="265"/>
    <x v="259"/>
    <x v="235"/>
    <x v="263"/>
    <x v="195"/>
    <x v="264"/>
    <x v="218"/>
    <x v="268"/>
    <x v="211"/>
    <x v="267"/>
    <x v="255"/>
    <x v="269"/>
    <x v="244"/>
    <x v="271"/>
    <x v="285"/>
  </r>
  <r>
    <x v="4"/>
    <x v="7"/>
    <x v="3"/>
    <x v="263"/>
    <x v="249"/>
    <x v="252"/>
    <x v="227"/>
    <x v="258"/>
    <x v="187"/>
    <x v="254"/>
    <x v="201"/>
    <x v="257"/>
    <x v="204"/>
    <x v="262"/>
    <x v="230"/>
    <x v="260"/>
    <x v="242"/>
    <x v="264"/>
    <x v="274"/>
  </r>
  <r>
    <x v="4"/>
    <x v="8"/>
    <x v="3"/>
    <x v="262"/>
    <x v="315"/>
    <x v="244"/>
    <x v="282"/>
    <x v="239"/>
    <x v="248"/>
    <x v="247"/>
    <x v="271"/>
    <x v="254"/>
    <x v="265"/>
    <x v="257"/>
    <x v="285"/>
    <x v="258"/>
    <x v="299"/>
    <x v="257"/>
    <x v="316"/>
  </r>
  <r>
    <x v="4"/>
    <x v="9"/>
    <x v="3"/>
    <x v="267"/>
    <x v="402"/>
    <x v="261"/>
    <x v="389"/>
    <x v="241"/>
    <x v="316"/>
    <x v="237"/>
    <x v="329"/>
    <x v="250"/>
    <x v="323"/>
    <x v="241"/>
    <x v="308"/>
    <x v="249"/>
    <x v="329"/>
    <x v="247"/>
    <x v="349"/>
  </r>
  <r>
    <x v="4"/>
    <x v="10"/>
    <x v="3"/>
    <x v="292"/>
    <x v="440"/>
    <x v="283"/>
    <x v="421"/>
    <x v="283"/>
    <x v="366"/>
    <x v="282"/>
    <x v="360"/>
    <x v="287"/>
    <x v="373"/>
    <x v="287"/>
    <x v="372"/>
    <x v="287"/>
    <x v="383"/>
    <x v="288"/>
    <x v="375"/>
  </r>
  <r>
    <x v="4"/>
    <x v="11"/>
    <x v="3"/>
    <x v="294"/>
    <x v="403"/>
    <x v="291"/>
    <x v="343"/>
    <x v="291"/>
    <x v="318"/>
    <x v="291"/>
    <x v="318"/>
    <x v="289"/>
    <x v="322"/>
    <x v="289"/>
    <x v="311"/>
    <x v="289"/>
    <x v="326"/>
    <x v="290"/>
    <x v="352"/>
  </r>
  <r>
    <x v="5"/>
    <x v="0"/>
    <x v="3"/>
    <x v="274"/>
    <x v="337"/>
    <x v="274"/>
    <x v="303"/>
    <x v="280"/>
    <x v="284"/>
    <x v="275"/>
    <x v="286"/>
    <x v="286"/>
    <x v="308"/>
    <x v="286"/>
    <x v="296"/>
    <x v="285"/>
    <x v="303"/>
    <x v="286"/>
    <x v="341"/>
  </r>
  <r>
    <x v="5"/>
    <x v="1"/>
    <x v="3"/>
    <x v="241"/>
    <x v="263"/>
    <x v="239"/>
    <x v="229"/>
    <x v="244"/>
    <x v="206"/>
    <x v="239"/>
    <x v="200"/>
    <x v="263"/>
    <x v="218"/>
    <x v="253"/>
    <x v="234"/>
    <x v="259"/>
    <x v="245"/>
    <x v="256"/>
    <x v="273"/>
  </r>
  <r>
    <x v="5"/>
    <x v="2"/>
    <x v="3"/>
    <x v="269"/>
    <x v="296"/>
    <x v="251"/>
    <x v="265"/>
    <x v="264"/>
    <x v="246"/>
    <x v="258"/>
    <x v="250"/>
    <x v="280"/>
    <x v="285"/>
    <x v="279"/>
    <x v="287"/>
    <x v="283"/>
    <x v="288"/>
    <x v="284"/>
    <x v="318"/>
  </r>
  <r>
    <x v="5"/>
    <x v="3"/>
    <x v="3"/>
    <x v="258"/>
    <x v="306"/>
    <x v="231"/>
    <x v="264"/>
    <x v="256"/>
    <x v="254"/>
    <x v="246"/>
    <x v="258"/>
    <x v="275"/>
    <x v="305"/>
    <x v="274"/>
    <x v="299"/>
    <x v="282"/>
    <x v="298"/>
    <x v="283"/>
    <x v="340"/>
  </r>
  <r>
    <x v="5"/>
    <x v="4"/>
    <x v="3"/>
    <x v="251"/>
    <x v="277"/>
    <x v="229"/>
    <x v="216"/>
    <x v="260"/>
    <x v="243"/>
    <x v="248"/>
    <x v="235"/>
    <x v="283"/>
    <x v="269"/>
    <x v="280"/>
    <x v="289"/>
    <x v="284"/>
    <x v="291"/>
    <x v="285"/>
    <x v="328"/>
  </r>
  <r>
    <x v="5"/>
    <x v="5"/>
    <x v="3"/>
    <x v="265"/>
    <x v="258"/>
    <x v="246"/>
    <x v="201"/>
    <x v="271"/>
    <x v="212"/>
    <x v="261"/>
    <x v="203"/>
    <x v="285"/>
    <x v="231"/>
    <x v="283"/>
    <x v="257"/>
    <x v="286"/>
    <x v="262"/>
    <x v="287"/>
    <x v="297"/>
  </r>
  <r>
    <x v="5"/>
    <x v="6"/>
    <x v="3"/>
    <x v="277"/>
    <x v="294"/>
    <x v="273"/>
    <x v="269"/>
    <x v="288"/>
    <x v="266"/>
    <x v="284"/>
    <x v="264"/>
    <x v="288"/>
    <x v="275"/>
    <x v="288"/>
    <x v="283"/>
    <x v="288"/>
    <x v="289"/>
    <x v="291"/>
    <x v="320"/>
  </r>
  <r>
    <x v="5"/>
    <x v="7"/>
    <x v="3"/>
    <x v="287"/>
    <x v="314"/>
    <x v="285"/>
    <x v="286"/>
    <x v="290"/>
    <x v="285"/>
    <x v="289"/>
    <x v="276"/>
    <x v="290"/>
    <x v="284"/>
    <x v="290"/>
    <x v="288"/>
    <x v="290"/>
    <x v="313"/>
    <x v="292"/>
    <x v="342"/>
  </r>
  <r>
    <x v="5"/>
    <x v="8"/>
    <x v="3"/>
    <x v="243"/>
    <x v="276"/>
    <x v="233"/>
    <x v="259"/>
    <x v="253"/>
    <x v="267"/>
    <x v="234"/>
    <x v="251"/>
    <x v="270"/>
    <x v="299"/>
    <x v="264"/>
    <x v="284"/>
    <x v="274"/>
    <x v="307"/>
    <x v="276"/>
    <x v="331"/>
  </r>
  <r>
    <x v="5"/>
    <x v="9"/>
    <x v="3"/>
    <x v="291"/>
    <x v="438"/>
    <x v="284"/>
    <x v="414"/>
    <x v="293"/>
    <x v="408"/>
    <x v="292"/>
    <x v="372"/>
    <x v="292"/>
    <x v="424"/>
    <x v="292"/>
    <x v="402"/>
    <x v="292"/>
    <x v="404"/>
    <x v="300"/>
    <x v="399"/>
  </r>
  <r>
    <x v="5"/>
    <x v="10"/>
    <x v="3"/>
    <x v="295"/>
    <x v="442"/>
    <x v="292"/>
    <x v="420"/>
    <x v="295"/>
    <x v="414"/>
    <x v="294"/>
    <x v="377"/>
    <x v="294"/>
    <x v="429"/>
    <x v="294"/>
    <x v="407"/>
    <x v="297"/>
    <x v="422"/>
    <x v="311"/>
    <x v="407"/>
  </r>
  <r>
    <x v="5"/>
    <x v="11"/>
    <x v="3"/>
    <x v="289"/>
    <x v="372"/>
    <x v="279"/>
    <x v="300"/>
    <x v="292"/>
    <x v="309"/>
    <x v="287"/>
    <x v="301"/>
    <x v="291"/>
    <x v="343"/>
    <x v="291"/>
    <x v="319"/>
    <x v="291"/>
    <x v="340"/>
    <x v="293"/>
    <x v="354"/>
  </r>
  <r>
    <x v="6"/>
    <x v="0"/>
    <x v="3"/>
    <x v="293"/>
    <x v="408"/>
    <x v="287"/>
    <x v="347"/>
    <x v="294"/>
    <x v="342"/>
    <x v="293"/>
    <x v="325"/>
    <x v="293"/>
    <x v="370"/>
    <x v="293"/>
    <x v="340"/>
    <x v="295"/>
    <x v="356"/>
    <x v="303"/>
    <x v="365"/>
  </r>
  <r>
    <x v="6"/>
    <x v="1"/>
    <x v="3"/>
    <x v="252"/>
    <x v="250"/>
    <x v="227"/>
    <x v="177"/>
    <x v="254"/>
    <x v="202"/>
    <x v="227"/>
    <x v="168"/>
    <x v="269"/>
    <x v="227"/>
    <x v="266"/>
    <x v="250"/>
    <x v="276"/>
    <x v="256"/>
    <x v="274"/>
    <x v="284"/>
  </r>
  <r>
    <x v="0"/>
    <x v="0"/>
    <x v="1"/>
    <x v="410"/>
    <x v="455"/>
    <x v="397"/>
    <x v="451"/>
    <x v="390"/>
    <x v="453"/>
    <x v="396"/>
    <x v="451"/>
    <x v="325"/>
    <x v="449"/>
    <x v="353"/>
    <x v="452"/>
    <x v="349"/>
    <x v="451"/>
    <x v="364"/>
    <x v="449"/>
  </r>
  <r>
    <x v="0"/>
    <x v="1"/>
    <x v="1"/>
    <x v="341"/>
    <x v="444"/>
    <x v="343"/>
    <x v="444"/>
    <x v="321"/>
    <x v="444"/>
    <x v="346"/>
    <x v="444"/>
    <x v="298"/>
    <x v="443"/>
    <x v="316"/>
    <x v="443"/>
    <x v="317"/>
    <x v="441"/>
    <x v="332"/>
    <x v="444"/>
  </r>
  <r>
    <x v="0"/>
    <x v="2"/>
    <x v="1"/>
    <x v="422"/>
    <x v="452"/>
    <x v="413"/>
    <x v="446"/>
    <x v="398"/>
    <x v="446"/>
    <x v="409"/>
    <x v="449"/>
    <x v="329"/>
    <x v="446"/>
    <x v="358"/>
    <x v="449"/>
    <x v="361"/>
    <x v="449"/>
    <x v="372"/>
    <x v="453"/>
  </r>
  <r>
    <x v="0"/>
    <x v="3"/>
    <x v="1"/>
    <x v="385"/>
    <x v="446"/>
    <x v="395"/>
    <x v="449"/>
    <x v="388"/>
    <x v="449"/>
    <x v="392"/>
    <x v="448"/>
    <x v="324"/>
    <x v="448"/>
    <x v="348"/>
    <x v="450"/>
    <x v="351"/>
    <x v="453"/>
    <x v="368"/>
    <x v="451"/>
  </r>
  <r>
    <x v="0"/>
    <x v="4"/>
    <x v="1"/>
    <x v="421"/>
    <x v="485"/>
    <x v="432"/>
    <x v="502"/>
    <x v="422"/>
    <x v="508"/>
    <x v="423"/>
    <x v="509"/>
    <x v="354"/>
    <x v="508"/>
    <x v="377"/>
    <x v="504"/>
    <x v="393"/>
    <x v="512"/>
    <x v="407"/>
    <x v="510"/>
  </r>
  <r>
    <x v="0"/>
    <x v="5"/>
    <x v="1"/>
    <x v="405"/>
    <x v="454"/>
    <x v="412"/>
    <x v="456"/>
    <x v="403"/>
    <x v="459"/>
    <x v="404"/>
    <x v="461"/>
    <x v="336"/>
    <x v="460"/>
    <x v="362"/>
    <x v="464"/>
    <x v="371"/>
    <x v="480"/>
    <x v="376"/>
    <x v="469"/>
  </r>
  <r>
    <x v="0"/>
    <x v="6"/>
    <x v="1"/>
    <x v="414"/>
    <x v="450"/>
    <x v="398"/>
    <x v="447"/>
    <x v="395"/>
    <x v="448"/>
    <x v="391"/>
    <x v="447"/>
    <x v="337"/>
    <x v="447"/>
    <x v="354"/>
    <x v="447"/>
    <x v="376"/>
    <x v="448"/>
    <x v="366"/>
    <x v="446"/>
  </r>
  <r>
    <x v="0"/>
    <x v="7"/>
    <x v="1"/>
    <x v="420"/>
    <x v="453"/>
    <x v="411"/>
    <x v="448"/>
    <x v="400"/>
    <x v="447"/>
    <x v="397"/>
    <x v="446"/>
    <x v="342"/>
    <x v="451"/>
    <x v="361"/>
    <x v="448"/>
    <x v="374"/>
    <x v="446"/>
    <x v="373"/>
    <x v="450"/>
  </r>
  <r>
    <x v="0"/>
    <x v="8"/>
    <x v="1"/>
    <x v="430"/>
    <x v="459"/>
    <x v="425"/>
    <x v="457"/>
    <x v="413"/>
    <x v="457"/>
    <x v="417"/>
    <x v="457"/>
    <x v="348"/>
    <x v="454"/>
    <x v="368"/>
    <x v="456"/>
    <x v="380"/>
    <x v="454"/>
    <x v="384"/>
    <x v="455"/>
  </r>
  <r>
    <x v="0"/>
    <x v="9"/>
    <x v="1"/>
    <x v="428"/>
    <x v="456"/>
    <x v="421"/>
    <x v="458"/>
    <x v="411"/>
    <x v="455"/>
    <x v="406"/>
    <x v="455"/>
    <x v="344"/>
    <x v="453"/>
    <x v="367"/>
    <x v="453"/>
    <x v="383"/>
    <x v="452"/>
    <x v="377"/>
    <x v="447"/>
  </r>
  <r>
    <x v="0"/>
    <x v="10"/>
    <x v="1"/>
    <x v="416"/>
    <x v="451"/>
    <x v="410"/>
    <x v="452"/>
    <x v="401"/>
    <x v="452"/>
    <x v="395"/>
    <x v="452"/>
    <x v="333"/>
    <x v="450"/>
    <x v="357"/>
    <x v="451"/>
    <x v="377"/>
    <x v="450"/>
    <x v="369"/>
    <x v="452"/>
  </r>
  <r>
    <x v="0"/>
    <x v="11"/>
    <x v="1"/>
    <x v="448"/>
    <x v="494"/>
    <x v="445"/>
    <x v="481"/>
    <x v="444"/>
    <x v="481"/>
    <x v="444"/>
    <x v="475"/>
    <x v="366"/>
    <x v="469"/>
    <x v="416"/>
    <x v="467"/>
    <x v="423"/>
    <x v="469"/>
    <x v="426"/>
    <x v="463"/>
  </r>
  <r>
    <x v="1"/>
    <x v="0"/>
    <x v="1"/>
    <x v="435"/>
    <x v="458"/>
    <x v="434"/>
    <x v="455"/>
    <x v="428"/>
    <x v="456"/>
    <x v="426"/>
    <x v="454"/>
    <x v="351"/>
    <x v="456"/>
    <x v="382"/>
    <x v="454"/>
    <x v="396"/>
    <x v="455"/>
    <x v="403"/>
    <x v="454"/>
  </r>
  <r>
    <x v="1"/>
    <x v="1"/>
    <x v="1"/>
    <x v="351"/>
    <x v="445"/>
    <x v="359"/>
    <x v="445"/>
    <x v="346"/>
    <x v="445"/>
    <x v="352"/>
    <x v="445"/>
    <x v="307"/>
    <x v="444"/>
    <x v="326"/>
    <x v="445"/>
    <x v="335"/>
    <x v="444"/>
    <x v="339"/>
    <x v="445"/>
  </r>
  <r>
    <x v="1"/>
    <x v="2"/>
    <x v="1"/>
    <x v="447"/>
    <x v="467"/>
    <x v="447"/>
    <x v="459"/>
    <x v="454"/>
    <x v="458"/>
    <x v="449"/>
    <x v="456"/>
    <x v="368"/>
    <x v="457"/>
    <x v="427"/>
    <x v="458"/>
    <x v="431"/>
    <x v="459"/>
    <x v="433"/>
    <x v="458"/>
  </r>
  <r>
    <x v="1"/>
    <x v="3"/>
    <x v="1"/>
    <x v="434"/>
    <x v="463"/>
    <x v="435"/>
    <x v="460"/>
    <x v="430"/>
    <x v="462"/>
    <x v="427"/>
    <x v="462"/>
    <x v="358"/>
    <x v="472"/>
    <x v="395"/>
    <x v="476"/>
    <x v="407"/>
    <x v="486"/>
    <x v="409"/>
    <x v="482"/>
  </r>
  <r>
    <x v="1"/>
    <x v="4"/>
    <x v="1"/>
    <x v="438"/>
    <x v="509"/>
    <x v="444"/>
    <x v="512"/>
    <x v="451"/>
    <x v="513"/>
    <x v="441"/>
    <x v="513"/>
    <x v="374"/>
    <x v="513"/>
    <x v="426"/>
    <x v="513"/>
    <x v="437"/>
    <x v="513"/>
    <x v="445"/>
    <x v="513"/>
  </r>
  <r>
    <x v="1"/>
    <x v="5"/>
    <x v="1"/>
    <x v="437"/>
    <x v="470"/>
    <x v="438"/>
    <x v="468"/>
    <x v="435"/>
    <x v="471"/>
    <x v="434"/>
    <x v="473"/>
    <x v="362"/>
    <x v="480"/>
    <x v="404"/>
    <x v="477"/>
    <x v="414"/>
    <x v="490"/>
    <x v="414"/>
    <x v="477"/>
  </r>
  <r>
    <x v="1"/>
    <x v="6"/>
    <x v="1"/>
    <x v="443"/>
    <x v="460"/>
    <x v="454"/>
    <x v="461"/>
    <x v="460"/>
    <x v="460"/>
    <x v="457"/>
    <x v="459"/>
    <x v="377"/>
    <x v="459"/>
    <x v="445"/>
    <x v="461"/>
    <x v="442"/>
    <x v="461"/>
    <x v="447"/>
    <x v="457"/>
  </r>
  <r>
    <x v="1"/>
    <x v="7"/>
    <x v="1"/>
    <x v="444"/>
    <x v="464"/>
    <x v="448"/>
    <x v="462"/>
    <x v="458"/>
    <x v="461"/>
    <x v="443"/>
    <x v="458"/>
    <x v="373"/>
    <x v="461"/>
    <x v="462"/>
    <x v="462"/>
    <x v="432"/>
    <x v="462"/>
    <x v="436"/>
    <x v="462"/>
  </r>
  <r>
    <x v="1"/>
    <x v="8"/>
    <x v="1"/>
    <x v="441"/>
    <x v="468"/>
    <x v="443"/>
    <x v="464"/>
    <x v="453"/>
    <x v="469"/>
    <x v="451"/>
    <x v="474"/>
    <x v="376"/>
    <x v="475"/>
    <x v="420"/>
    <x v="482"/>
    <x v="426"/>
    <x v="479"/>
    <x v="438"/>
    <x v="491"/>
  </r>
  <r>
    <x v="1"/>
    <x v="9"/>
    <x v="1"/>
    <x v="451"/>
    <x v="476"/>
    <x v="457"/>
    <x v="472"/>
    <x v="462"/>
    <x v="474"/>
    <x v="455"/>
    <x v="466"/>
    <x v="415"/>
    <x v="464"/>
    <x v="428"/>
    <x v="473"/>
    <x v="451"/>
    <x v="473"/>
    <x v="425"/>
    <x v="475"/>
  </r>
  <r>
    <x v="1"/>
    <x v="10"/>
    <x v="1"/>
    <x v="452"/>
    <x v="474"/>
    <x v="466"/>
    <x v="474"/>
    <x v="469"/>
    <x v="473"/>
    <x v="459"/>
    <x v="469"/>
    <x v="397"/>
    <x v="466"/>
    <x v="436"/>
    <x v="472"/>
    <x v="445"/>
    <x v="476"/>
    <x v="450"/>
    <x v="473"/>
  </r>
  <r>
    <x v="1"/>
    <x v="11"/>
    <x v="1"/>
    <x v="462"/>
    <x v="498"/>
    <x v="475"/>
    <x v="489"/>
    <x v="475"/>
    <x v="489"/>
    <x v="470"/>
    <x v="485"/>
    <x v="412"/>
    <x v="483"/>
    <x v="455"/>
    <x v="486"/>
    <x v="455"/>
    <x v="482"/>
    <x v="457"/>
    <x v="472"/>
  </r>
  <r>
    <x v="2"/>
    <x v="0"/>
    <x v="1"/>
    <x v="454"/>
    <x v="477"/>
    <x v="463"/>
    <x v="470"/>
    <x v="464"/>
    <x v="476"/>
    <x v="454"/>
    <x v="464"/>
    <x v="389"/>
    <x v="470"/>
    <x v="430"/>
    <x v="475"/>
    <x v="438"/>
    <x v="470"/>
    <x v="430"/>
    <x v="468"/>
  </r>
  <r>
    <x v="2"/>
    <x v="1"/>
    <x v="1"/>
    <x v="418"/>
    <x v="448"/>
    <x v="419"/>
    <x v="450"/>
    <x v="416"/>
    <x v="451"/>
    <x v="402"/>
    <x v="450"/>
    <x v="347"/>
    <x v="455"/>
    <x v="364"/>
    <x v="455"/>
    <x v="379"/>
    <x v="456"/>
    <x v="370"/>
    <x v="456"/>
  </r>
  <r>
    <x v="2"/>
    <x v="2"/>
    <x v="1"/>
    <x v="470"/>
    <x v="490"/>
    <x v="478"/>
    <x v="482"/>
    <x v="491"/>
    <x v="484"/>
    <x v="479"/>
    <x v="476"/>
    <x v="430"/>
    <x v="484"/>
    <x v="471"/>
    <x v="489"/>
    <x v="471"/>
    <x v="483"/>
    <x v="475"/>
    <x v="480"/>
  </r>
  <r>
    <x v="2"/>
    <x v="3"/>
    <x v="1"/>
    <x v="449"/>
    <x v="483"/>
    <x v="460"/>
    <x v="478"/>
    <x v="463"/>
    <x v="482"/>
    <x v="446"/>
    <x v="472"/>
    <x v="396"/>
    <x v="487"/>
    <x v="438"/>
    <x v="496"/>
    <x v="444"/>
    <x v="493"/>
    <x v="442"/>
    <x v="487"/>
  </r>
  <r>
    <x v="2"/>
    <x v="4"/>
    <x v="1"/>
    <x v="458"/>
    <x v="513"/>
    <x v="462"/>
    <x v="514"/>
    <x v="457"/>
    <x v="514"/>
    <x v="450"/>
    <x v="514"/>
    <x v="400"/>
    <x v="514"/>
    <x v="451"/>
    <x v="514"/>
    <x v="446"/>
    <x v="514"/>
    <x v="462"/>
    <x v="514"/>
  </r>
  <r>
    <x v="2"/>
    <x v="5"/>
    <x v="1"/>
    <x v="469"/>
    <x v="480"/>
    <x v="456"/>
    <x v="469"/>
    <x v="449"/>
    <x v="468"/>
    <x v="439"/>
    <x v="465"/>
    <x v="394"/>
    <x v="478"/>
    <x v="434"/>
    <x v="483"/>
    <x v="435"/>
    <x v="484"/>
    <x v="441"/>
    <x v="474"/>
  </r>
  <r>
    <x v="2"/>
    <x v="6"/>
    <x v="1"/>
    <x v="478"/>
    <x v="479"/>
    <x v="480"/>
    <x v="473"/>
    <x v="483"/>
    <x v="478"/>
    <x v="474"/>
    <x v="470"/>
    <x v="447"/>
    <x v="479"/>
    <x v="460"/>
    <x v="487"/>
    <x v="464"/>
    <x v="478"/>
    <x v="466"/>
    <x v="479"/>
  </r>
  <r>
    <x v="2"/>
    <x v="7"/>
    <x v="1"/>
    <x v="476"/>
    <x v="493"/>
    <x v="467"/>
    <x v="485"/>
    <x v="478"/>
    <x v="490"/>
    <x v="467"/>
    <x v="493"/>
    <x v="438"/>
    <x v="493"/>
    <x v="457"/>
    <x v="493"/>
    <x v="459"/>
    <x v="496"/>
    <x v="465"/>
    <x v="498"/>
  </r>
  <r>
    <x v="2"/>
    <x v="8"/>
    <x v="1"/>
    <x v="450"/>
    <x v="475"/>
    <x v="442"/>
    <x v="466"/>
    <x v="436"/>
    <x v="466"/>
    <x v="438"/>
    <x v="468"/>
    <x v="406"/>
    <x v="474"/>
    <x v="463"/>
    <x v="478"/>
    <x v="433"/>
    <x v="467"/>
    <x v="423"/>
    <x v="470"/>
  </r>
  <r>
    <x v="2"/>
    <x v="9"/>
    <x v="1"/>
    <x v="466"/>
    <x v="473"/>
    <x v="461"/>
    <x v="465"/>
    <x v="446"/>
    <x v="465"/>
    <x v="453"/>
    <x v="463"/>
    <x v="407"/>
    <x v="468"/>
    <x v="439"/>
    <x v="471"/>
    <x v="415"/>
    <x v="465"/>
    <x v="459"/>
    <x v="461"/>
  </r>
  <r>
    <x v="2"/>
    <x v="10"/>
    <x v="1"/>
    <x v="480"/>
    <x v="481"/>
    <x v="488"/>
    <x v="484"/>
    <x v="488"/>
    <x v="485"/>
    <x v="483"/>
    <x v="484"/>
    <x v="448"/>
    <x v="476"/>
    <x v="447"/>
    <x v="468"/>
    <x v="461"/>
    <x v="472"/>
    <x v="458"/>
    <x v="478"/>
  </r>
  <r>
    <x v="2"/>
    <x v="11"/>
    <x v="1"/>
    <x v="483"/>
    <x v="497"/>
    <x v="486"/>
    <x v="500"/>
    <x v="489"/>
    <x v="499"/>
    <x v="482"/>
    <x v="498"/>
    <x v="455"/>
    <x v="492"/>
    <x v="452"/>
    <x v="485"/>
    <x v="462"/>
    <x v="485"/>
    <x v="464"/>
    <x v="489"/>
  </r>
  <r>
    <x v="3"/>
    <x v="0"/>
    <x v="1"/>
    <x v="453"/>
    <x v="472"/>
    <x v="452"/>
    <x v="476"/>
    <x v="438"/>
    <x v="470"/>
    <x v="447"/>
    <x v="480"/>
    <x v="392"/>
    <x v="462"/>
    <x v="387"/>
    <x v="463"/>
    <x v="387"/>
    <x v="458"/>
    <x v="418"/>
    <x v="464"/>
  </r>
  <r>
    <x v="3"/>
    <x v="1"/>
    <x v="1"/>
    <x v="436"/>
    <x v="447"/>
    <x v="431"/>
    <x v="453"/>
    <x v="399"/>
    <x v="450"/>
    <x v="405"/>
    <x v="453"/>
    <x v="363"/>
    <x v="452"/>
    <x v="350"/>
    <x v="446"/>
    <x v="352"/>
    <x v="447"/>
    <x v="382"/>
    <x v="448"/>
  </r>
  <r>
    <x v="3"/>
    <x v="2"/>
    <x v="1"/>
    <x v="488"/>
    <x v="484"/>
    <x v="491"/>
    <x v="486"/>
    <x v="490"/>
    <x v="483"/>
    <x v="491"/>
    <x v="486"/>
    <x v="461"/>
    <x v="473"/>
    <x v="477"/>
    <x v="466"/>
    <x v="465"/>
    <x v="466"/>
    <x v="474"/>
    <x v="466"/>
  </r>
  <r>
    <x v="3"/>
    <x v="3"/>
    <x v="1"/>
    <x v="472"/>
    <x v="461"/>
    <x v="474"/>
    <x v="471"/>
    <x v="479"/>
    <x v="472"/>
    <x v="468"/>
    <x v="467"/>
    <x v="440"/>
    <x v="467"/>
    <x v="433"/>
    <x v="457"/>
    <x v="453"/>
    <x v="460"/>
    <x v="455"/>
    <x v="459"/>
  </r>
  <r>
    <x v="3"/>
    <x v="4"/>
    <x v="1"/>
    <x v="481"/>
    <x v="511"/>
    <x v="487"/>
    <x v="516"/>
    <x v="481"/>
    <x v="516"/>
    <x v="493"/>
    <x v="515"/>
    <x v="457"/>
    <x v="515"/>
    <x v="461"/>
    <x v="515"/>
    <x v="460"/>
    <x v="516"/>
    <x v="476"/>
    <x v="515"/>
  </r>
  <r>
    <x v="3"/>
    <x v="5"/>
    <x v="1"/>
    <x v="460"/>
    <x v="466"/>
    <x v="459"/>
    <x v="477"/>
    <x v="423"/>
    <x v="479"/>
    <x v="445"/>
    <x v="488"/>
    <x v="387"/>
    <x v="489"/>
    <x v="391"/>
    <x v="488"/>
    <x v="382"/>
    <x v="491"/>
    <x v="453"/>
    <x v="495"/>
  </r>
  <r>
    <x v="3"/>
    <x v="6"/>
    <x v="1"/>
    <x v="467"/>
    <x v="465"/>
    <x v="470"/>
    <x v="475"/>
    <x v="443"/>
    <x v="467"/>
    <x v="469"/>
    <x v="477"/>
    <x v="404"/>
    <x v="471"/>
    <x v="412"/>
    <x v="465"/>
    <x v="395"/>
    <x v="468"/>
    <x v="460"/>
    <x v="476"/>
  </r>
  <r>
    <x v="3"/>
    <x v="7"/>
    <x v="1"/>
    <x v="473"/>
    <x v="469"/>
    <x v="469"/>
    <x v="480"/>
    <x v="447"/>
    <x v="477"/>
    <x v="462"/>
    <x v="483"/>
    <x v="420"/>
    <x v="477"/>
    <x v="415"/>
    <x v="470"/>
    <x v="406"/>
    <x v="471"/>
    <x v="456"/>
    <x v="484"/>
  </r>
  <r>
    <x v="3"/>
    <x v="8"/>
    <x v="1"/>
    <x v="463"/>
    <x v="471"/>
    <x v="464"/>
    <x v="479"/>
    <x v="432"/>
    <x v="475"/>
    <x v="458"/>
    <x v="481"/>
    <x v="398"/>
    <x v="482"/>
    <x v="397"/>
    <x v="474"/>
    <x v="390"/>
    <x v="474"/>
    <x v="470"/>
    <x v="483"/>
  </r>
  <r>
    <x v="3"/>
    <x v="9"/>
    <x v="1"/>
    <x v="474"/>
    <x v="462"/>
    <x v="471"/>
    <x v="467"/>
    <x v="440"/>
    <x v="463"/>
    <x v="478"/>
    <x v="471"/>
    <x v="399"/>
    <x v="463"/>
    <x v="423"/>
    <x v="459"/>
    <x v="400"/>
    <x v="463"/>
    <x v="451"/>
    <x v="465"/>
  </r>
  <r>
    <x v="3"/>
    <x v="10"/>
    <x v="1"/>
    <x v="484"/>
    <x v="488"/>
    <x v="482"/>
    <x v="496"/>
    <x v="466"/>
    <x v="495"/>
    <x v="488"/>
    <x v="496"/>
    <x v="422"/>
    <x v="488"/>
    <x v="444"/>
    <x v="479"/>
    <x v="425"/>
    <x v="481"/>
    <x v="469"/>
    <x v="485"/>
  </r>
  <r>
    <x v="3"/>
    <x v="11"/>
    <x v="1"/>
    <x v="482"/>
    <x v="495"/>
    <x v="476"/>
    <x v="499"/>
    <x v="456"/>
    <x v="498"/>
    <x v="472"/>
    <x v="501"/>
    <x v="409"/>
    <x v="490"/>
    <x v="432"/>
    <x v="484"/>
    <x v="416"/>
    <x v="488"/>
    <x v="461"/>
    <x v="486"/>
  </r>
  <r>
    <x v="4"/>
    <x v="0"/>
    <x v="1"/>
    <x v="475"/>
    <x v="478"/>
    <x v="473"/>
    <x v="483"/>
    <x v="442"/>
    <x v="480"/>
    <x v="466"/>
    <x v="494"/>
    <x v="401"/>
    <x v="465"/>
    <x v="418"/>
    <x v="469"/>
    <x v="401"/>
    <x v="464"/>
    <x v="449"/>
    <x v="467"/>
  </r>
  <r>
    <x v="4"/>
    <x v="1"/>
    <x v="1"/>
    <x v="440"/>
    <x v="449"/>
    <x v="429"/>
    <x v="454"/>
    <x v="376"/>
    <x v="454"/>
    <x v="408"/>
    <x v="460"/>
    <x v="359"/>
    <x v="458"/>
    <x v="355"/>
    <x v="460"/>
    <x v="348"/>
    <x v="457"/>
    <x v="392"/>
    <x v="460"/>
  </r>
  <r>
    <x v="4"/>
    <x v="2"/>
    <x v="1"/>
    <x v="487"/>
    <x v="487"/>
    <x v="485"/>
    <x v="497"/>
    <x v="468"/>
    <x v="491"/>
    <x v="480"/>
    <x v="500"/>
    <x v="428"/>
    <x v="486"/>
    <x v="448"/>
    <x v="481"/>
    <x v="434"/>
    <x v="477"/>
    <x v="473"/>
    <x v="481"/>
  </r>
  <r>
    <x v="4"/>
    <x v="3"/>
    <x v="1"/>
    <x v="485"/>
    <x v="486"/>
    <x v="481"/>
    <x v="488"/>
    <x v="470"/>
    <x v="487"/>
    <x v="477"/>
    <x v="491"/>
    <x v="431"/>
    <x v="481"/>
    <x v="454"/>
    <x v="480"/>
    <x v="440"/>
    <x v="475"/>
    <x v="472"/>
    <x v="471"/>
  </r>
  <r>
    <x v="4"/>
    <x v="4"/>
    <x v="1"/>
    <x v="515"/>
    <x v="517"/>
    <x v="517"/>
    <x v="517"/>
    <x v="514"/>
    <x v="517"/>
    <x v="516"/>
    <x v="517"/>
    <x v="508"/>
    <x v="517"/>
    <x v="508"/>
    <x v="517"/>
    <x v="508"/>
    <x v="517"/>
    <x v="513"/>
    <x v="517"/>
  </r>
  <r>
    <x v="4"/>
    <x v="5"/>
    <x v="1"/>
    <x v="493"/>
    <x v="502"/>
    <x v="490"/>
    <x v="492"/>
    <x v="480"/>
    <x v="497"/>
    <x v="486"/>
    <x v="495"/>
    <x v="463"/>
    <x v="500"/>
    <x v="473"/>
    <x v="498"/>
    <x v="474"/>
    <x v="501"/>
    <x v="481"/>
    <x v="493"/>
  </r>
  <r>
    <x v="4"/>
    <x v="6"/>
    <x v="1"/>
    <x v="502"/>
    <x v="503"/>
    <x v="499"/>
    <x v="501"/>
    <x v="496"/>
    <x v="501"/>
    <x v="498"/>
    <x v="502"/>
    <x v="482"/>
    <x v="497"/>
    <x v="480"/>
    <x v="500"/>
    <x v="478"/>
    <x v="495"/>
    <x v="491"/>
    <x v="492"/>
  </r>
  <r>
    <x v="4"/>
    <x v="7"/>
    <x v="1"/>
    <x v="491"/>
    <x v="500"/>
    <x v="489"/>
    <x v="494"/>
    <x v="482"/>
    <x v="494"/>
    <x v="485"/>
    <x v="497"/>
    <x v="466"/>
    <x v="495"/>
    <x v="472"/>
    <x v="494"/>
    <x v="470"/>
    <x v="492"/>
    <x v="482"/>
    <x v="497"/>
  </r>
  <r>
    <x v="4"/>
    <x v="8"/>
    <x v="1"/>
    <x v="489"/>
    <x v="492"/>
    <x v="484"/>
    <x v="491"/>
    <x v="473"/>
    <x v="486"/>
    <x v="476"/>
    <x v="487"/>
    <x v="453"/>
    <x v="491"/>
    <x v="466"/>
    <x v="490"/>
    <x v="458"/>
    <x v="489"/>
    <x v="477"/>
    <x v="490"/>
  </r>
  <r>
    <x v="4"/>
    <x v="9"/>
    <x v="1"/>
    <x v="492"/>
    <x v="501"/>
    <x v="493"/>
    <x v="493"/>
    <x v="486"/>
    <x v="496"/>
    <x v="487"/>
    <x v="492"/>
    <x v="467"/>
    <x v="499"/>
    <x v="475"/>
    <x v="501"/>
    <x v="472"/>
    <x v="497"/>
    <x v="485"/>
    <x v="494"/>
  </r>
  <r>
    <x v="4"/>
    <x v="10"/>
    <x v="1"/>
    <x v="501"/>
    <x v="506"/>
    <x v="500"/>
    <x v="504"/>
    <x v="497"/>
    <x v="504"/>
    <x v="496"/>
    <x v="507"/>
    <x v="485"/>
    <x v="502"/>
    <x v="482"/>
    <x v="503"/>
    <x v="480"/>
    <x v="499"/>
    <x v="492"/>
    <x v="499"/>
  </r>
  <r>
    <x v="4"/>
    <x v="11"/>
    <x v="1"/>
    <x v="507"/>
    <x v="515"/>
    <x v="503"/>
    <x v="511"/>
    <x v="499"/>
    <x v="511"/>
    <x v="500"/>
    <x v="510"/>
    <x v="491"/>
    <x v="511"/>
    <x v="485"/>
    <x v="511"/>
    <x v="482"/>
    <x v="510"/>
    <x v="495"/>
    <x v="504"/>
  </r>
  <r>
    <x v="5"/>
    <x v="0"/>
    <x v="1"/>
    <x v="506"/>
    <x v="510"/>
    <x v="507"/>
    <x v="510"/>
    <x v="500"/>
    <x v="509"/>
    <x v="502"/>
    <x v="511"/>
    <x v="494"/>
    <x v="506"/>
    <x v="488"/>
    <x v="510"/>
    <x v="485"/>
    <x v="504"/>
    <x v="497"/>
    <x v="501"/>
  </r>
  <r>
    <x v="5"/>
    <x v="1"/>
    <x v="1"/>
    <x v="468"/>
    <x v="457"/>
    <x v="465"/>
    <x v="463"/>
    <x v="445"/>
    <x v="464"/>
    <x v="452"/>
    <x v="478"/>
    <x v="413"/>
    <x v="485"/>
    <x v="450"/>
    <x v="491"/>
    <x v="439"/>
    <x v="487"/>
    <x v="471"/>
    <x v="488"/>
  </r>
  <r>
    <x v="5"/>
    <x v="2"/>
    <x v="1"/>
    <x v="504"/>
    <x v="508"/>
    <x v="501"/>
    <x v="507"/>
    <x v="498"/>
    <x v="505"/>
    <x v="497"/>
    <x v="505"/>
    <x v="490"/>
    <x v="507"/>
    <x v="486"/>
    <x v="509"/>
    <x v="484"/>
    <x v="505"/>
    <x v="499"/>
    <x v="503"/>
  </r>
  <r>
    <x v="5"/>
    <x v="3"/>
    <x v="1"/>
    <x v="497"/>
    <x v="507"/>
    <x v="496"/>
    <x v="508"/>
    <x v="494"/>
    <x v="507"/>
    <x v="495"/>
    <x v="506"/>
    <x v="487"/>
    <x v="505"/>
    <x v="484"/>
    <x v="507"/>
    <x v="486"/>
    <x v="506"/>
    <x v="500"/>
    <x v="505"/>
  </r>
  <r>
    <x v="5"/>
    <x v="4"/>
    <x v="1"/>
    <x v="500"/>
    <x v="516"/>
    <x v="502"/>
    <x v="515"/>
    <x v="501"/>
    <x v="515"/>
    <x v="504"/>
    <x v="516"/>
    <x v="499"/>
    <x v="516"/>
    <x v="497"/>
    <x v="516"/>
    <x v="498"/>
    <x v="515"/>
    <x v="504"/>
    <x v="516"/>
  </r>
  <r>
    <x v="5"/>
    <x v="5"/>
    <x v="1"/>
    <x v="494"/>
    <x v="482"/>
    <x v="494"/>
    <x v="487"/>
    <x v="493"/>
    <x v="488"/>
    <x v="490"/>
    <x v="482"/>
    <x v="483"/>
    <x v="498"/>
    <x v="481"/>
    <x v="497"/>
    <x v="483"/>
    <x v="498"/>
    <x v="496"/>
    <x v="500"/>
  </r>
  <r>
    <x v="5"/>
    <x v="6"/>
    <x v="1"/>
    <x v="517"/>
    <x v="512"/>
    <x v="516"/>
    <x v="509"/>
    <x v="511"/>
    <x v="510"/>
    <x v="514"/>
    <x v="508"/>
    <x v="506"/>
    <x v="510"/>
    <x v="507"/>
    <x v="508"/>
    <x v="507"/>
    <x v="509"/>
    <x v="511"/>
    <x v="512"/>
  </r>
  <r>
    <x v="5"/>
    <x v="7"/>
    <x v="1"/>
    <x v="509"/>
    <x v="499"/>
    <x v="511"/>
    <x v="503"/>
    <x v="505"/>
    <x v="502"/>
    <x v="503"/>
    <x v="503"/>
    <x v="500"/>
    <x v="503"/>
    <x v="493"/>
    <x v="502"/>
    <x v="495"/>
    <x v="502"/>
    <x v="502"/>
    <x v="509"/>
  </r>
  <r>
    <x v="5"/>
    <x v="8"/>
    <x v="1"/>
    <x v="495"/>
    <x v="489"/>
    <x v="495"/>
    <x v="495"/>
    <x v="495"/>
    <x v="492"/>
    <x v="492"/>
    <x v="489"/>
    <x v="492"/>
    <x v="494"/>
    <x v="483"/>
    <x v="495"/>
    <x v="488"/>
    <x v="500"/>
    <x v="498"/>
    <x v="508"/>
  </r>
  <r>
    <x v="5"/>
    <x v="9"/>
    <x v="1"/>
    <x v="513"/>
    <x v="504"/>
    <x v="510"/>
    <x v="505"/>
    <x v="506"/>
    <x v="503"/>
    <x v="507"/>
    <x v="499"/>
    <x v="503"/>
    <x v="504"/>
    <x v="502"/>
    <x v="505"/>
    <x v="502"/>
    <x v="508"/>
    <x v="506"/>
    <x v="506"/>
  </r>
  <r>
    <x v="5"/>
    <x v="10"/>
    <x v="1"/>
    <x v="514"/>
    <x v="505"/>
    <x v="509"/>
    <x v="506"/>
    <x v="507"/>
    <x v="506"/>
    <x v="506"/>
    <x v="504"/>
    <x v="504"/>
    <x v="509"/>
    <x v="503"/>
    <x v="506"/>
    <x v="503"/>
    <x v="507"/>
    <x v="508"/>
    <x v="507"/>
  </r>
  <r>
    <x v="5"/>
    <x v="11"/>
    <x v="1"/>
    <x v="516"/>
    <x v="514"/>
    <x v="514"/>
    <x v="513"/>
    <x v="509"/>
    <x v="512"/>
    <x v="510"/>
    <x v="512"/>
    <x v="505"/>
    <x v="512"/>
    <x v="506"/>
    <x v="512"/>
    <x v="506"/>
    <x v="511"/>
    <x v="510"/>
    <x v="511"/>
  </r>
  <r>
    <x v="6"/>
    <x v="0"/>
    <x v="1"/>
    <x v="510"/>
    <x v="496"/>
    <x v="504"/>
    <x v="498"/>
    <x v="502"/>
    <x v="500"/>
    <x v="499"/>
    <x v="490"/>
    <x v="501"/>
    <x v="501"/>
    <x v="495"/>
    <x v="499"/>
    <x v="499"/>
    <x v="503"/>
    <x v="503"/>
    <x v="502"/>
  </r>
  <r>
    <x v="6"/>
    <x v="1"/>
    <x v="1"/>
    <x v="511"/>
    <x v="491"/>
    <x v="505"/>
    <x v="490"/>
    <x v="503"/>
    <x v="493"/>
    <x v="501"/>
    <x v="479"/>
    <x v="502"/>
    <x v="496"/>
    <x v="501"/>
    <x v="492"/>
    <x v="501"/>
    <x v="494"/>
    <x v="505"/>
    <x v="496"/>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樞紐分析表4" cacheId="2"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0" r:id="rId1">
  <location ref="U2:AK11" firstHeaderRow="1" firstDataRow="2" firstDataCol="1"/>
  <pivotFields count="19">
    <pivotField axis="axisRow" showDropDowns="1" compact="1" outline="1" subtotalTop="1" dragToRow="1" dragToCol="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colFields count="1">
    <field x="-2"/>
  </colFields>
  <dataFields count="16">
    <dataField name="加總 - 未達50萬[金額，新台幣]" fld="4" subtotal="sum" showDataAs="normal" baseField="0" baseItem="0"/>
    <dataField name="加總 - 50萬[含]-75萬[金額，新台幣]" fld="6" subtotal="sum" showDataAs="normal" baseField="0" baseItem="0"/>
    <dataField name="加總 - 75萬[含]-100萬[金額，新台幣]" fld="8" subtotal="sum" showDataAs="normal" baseField="0" baseItem="0"/>
    <dataField name="加總 - 100萬[含]-125萬[金額，新台幣]" fld="10" subtotal="sum" showDataAs="normal" baseField="0" baseItem="0"/>
    <dataField name="加總 - 125萬[含]-150萬[金額，新台幣]" fld="12" subtotal="sum" showDataAs="normal" baseField="0" baseItem="0"/>
    <dataField name="加總 - 150萬[含]-175萬[金額，新台幣]" fld="14" subtotal="sum" showDataAs="normal" baseField="0" baseItem="0"/>
    <dataField name="加總 - 175萬[含]-200萬[金額，新台幣]" fld="16" subtotal="sum" showDataAs="normal" baseField="0" baseItem="0"/>
    <dataField name="加總 - 200萬[含]以上[金額，新台幣]" fld="18" subtotal="sum" showDataAs="normal" baseField="0" baseItem="0"/>
    <dataField name="加總 - 未達50萬[筆數]" fld="3" subtotal="sum" showDataAs="normal" baseField="0" baseItem="0"/>
    <dataField name="加總 - 50萬[含]-75萬[筆數]" fld="5" subtotal="sum" showDataAs="normal" baseField="0" baseItem="0"/>
    <dataField name="加總 - 75萬[含]-100萬[筆數]" fld="7" subtotal="sum" showDataAs="normal" baseField="0" baseItem="0"/>
    <dataField name="加總 - 100萬[含]-125萬[筆數]" fld="9" subtotal="sum" showDataAs="normal" baseField="0" baseItem="0"/>
    <dataField name="加總 - 125萬[含]-150萬[筆數]" fld="11" subtotal="sum" showDataAs="normal" baseField="0" baseItem="0"/>
    <dataField name="加總 - 150萬[含]-175萬[筆數]" fld="13" subtotal="sum" showDataAs="normal" baseField="0" baseItem="0"/>
    <dataField name="加總 - 175萬[含]-200萬[筆數]" fld="15" subtotal="sum" showDataAs="normal" baseField="0" baseItem="0"/>
    <dataField name="加總 - 200萬[含]以上[筆數]" fld="17" subtotal="sum"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creditcard" displayName="creditcard" ref="A1:AI1013" headerRowCount="1" totalsRowShown="0">
  <autoFilter ref="A1:AI1013"/>
  <tableColumns count="35">
    <tableColumn id="1" name="YYYYMM"/>
    <tableColumn id="2" name="年度"/>
    <tableColumn id="3" name="月份"/>
    <tableColumn id="4" name="季度"/>
    <tableColumn id="5" name="排序編號"/>
    <tableColumn id="6" name="Bank"/>
    <tableColumn id="7" name="Item"/>
    <tableColumn id="8" name="流通卡數"/>
    <tableColumn id="9" name="有效卡數"/>
    <tableColumn id="10" name="當月發卡數"/>
    <tableColumn id="11" name="當月停卡數"/>
    <tableColumn id="12" name="循環信用餘額"/>
    <tableColumn id="13" name="未到期分期付款餘額"/>
    <tableColumn id="14" name="當月簽帳金額"/>
    <tableColumn id="15" name="當月預借現金金額"/>
    <tableColumn id="16" name="逾期三個月以上帳款占應收帳款餘額（含催收款）之比率(%)"/>
    <tableColumn id="17" name="逾期六個月以上帳款占應收帳款餘額（含催收款）之比率(%)"/>
    <tableColumn id="18" name="備抵呆帳提足率"/>
    <tableColumn id="19" name="當月轉銷呆帳金額"/>
    <tableColumn id="20" name="當年度累計轉銷呆帳金額"/>
    <tableColumn id="21" name="當月轉帳卡簽帳金額"/>
    <tableColumn id="22" name="平均每人持卡張數"/>
    <tableColumn id="23" name="市場總計"/>
    <tableColumn id="24" name="TOP 5 流通卡"/>
    <tableColumn id="25" name="TOP 10 流通卡"/>
    <tableColumn id="26" name="TOP 5 有效卡"/>
    <tableColumn id="27" name="TOP 10 有效卡"/>
    <tableColumn id="28" name="TOP 5 當月發卡數"/>
    <tableColumn id="29" name="TOP 10 當月發卡數"/>
    <tableColumn id="30" name="TOP 5 當月停卡數"/>
    <tableColumn id="31" name="TOP 10 當月停卡數"/>
    <tableColumn id="32" name="TOP 5 循環信用餘額"/>
    <tableColumn id="33" name="TOP 10 循環信用餘額"/>
    <tableColumn id="34" name="TOP 5 當月簽帳金額"/>
    <tableColumn id="35" name="TOP 10 當月簽帳金額"/>
  </tableColumns>
  <tableStyleInfo name="TableStyleLight20" showFirstColumn="0" showLastColumn="0" showRowStripes="1" showColumnStripes="0"/>
</table>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www.jcic.org.tw/main_ch/fileRename/fileRename.aspx?uid=213&amp;fid=910&amp;kid=4" TargetMode="External" Id="rId1"/><Relationship Type="http://schemas.openxmlformats.org/officeDocument/2006/relationships/drawing" Target="/xl/drawings/drawing1.xml" Id="rId2"/></Relationships>
</file>

<file path=xl/worksheets/_rels/sheet3.xml.rels><Relationships xmlns="http://schemas.openxmlformats.org/package/2006/relationships"><Relationship Type="http://schemas.openxmlformats.org/officeDocument/2006/relationships/hyperlink" Target="https://www.jcic.org.tw/main_ch/fileRename/fileRename.aspx?uid=213&amp;fid=910&amp;kid=4" TargetMode="External" Id="rId1"/><Relationship Type="http://schemas.openxmlformats.org/officeDocument/2006/relationships/drawing" Target="/xl/drawings/drawing2.xml" Id="rId2"/></Relationships>
</file>

<file path=xl/worksheets/_rels/sheet6.xml.rels><Relationships xmlns="http://schemas.openxmlformats.org/package/2006/relationships"><Relationship Type="http://schemas.openxmlformats.org/officeDocument/2006/relationships/pivotTable" Target="/xl/pivotTables/pivotTable1.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I1013"/>
  <sheetViews>
    <sheetView topLeftCell="A517" zoomScaleNormal="100" workbookViewId="0">
      <selection activeCell="A947" sqref="A947:H947"/>
    </sheetView>
  </sheetViews>
  <sheetFormatPr baseColWidth="8" defaultColWidth="8.90625" defaultRowHeight="15.5"/>
  <cols>
    <col width="15.90625" customWidth="1" style="1" min="1" max="1"/>
    <col width="15.90625" customWidth="1" style="2" min="2" max="4"/>
    <col width="12.1796875" customWidth="1" style="2" min="5" max="6"/>
    <col width="15.54296875" customWidth="1" style="144" min="7" max="7"/>
    <col width="15.90625" customWidth="1" style="2" min="8" max="9"/>
    <col width="17.36328125" customWidth="1" style="2" min="10" max="11"/>
    <col width="19.81640625" customWidth="1" style="2" min="12" max="12"/>
    <col width="27.08984375" customWidth="1" style="2" min="13" max="13"/>
    <col width="19.81640625" customWidth="1" style="2" min="14" max="14"/>
    <col width="24.6328125" customWidth="1" style="2" min="15" max="15"/>
    <col width="67.81640625" customWidth="1" style="2" min="16" max="17"/>
    <col width="22.1796875" customWidth="1" style="2" min="18" max="18"/>
    <col width="24.6328125" customWidth="1" style="2" min="19" max="19"/>
    <col width="32" customWidth="1" style="2" min="20" max="20"/>
    <col width="27.08984375" customWidth="1" style="2" min="21" max="21"/>
    <col width="24.6328125" customWidth="1" style="145" min="22" max="22"/>
    <col width="12.6328125" customWidth="1" style="2" min="23" max="23"/>
    <col width="21.08984375" customWidth="1" style="3" min="24" max="24"/>
    <col width="19.08984375" customWidth="1" style="4" min="25" max="25"/>
    <col width="17.90625" customWidth="1" style="4" min="26" max="26"/>
    <col width="19.08984375" customWidth="1" style="4" min="27" max="27"/>
    <col width="23.08984375" customWidth="1" style="4" min="28" max="28"/>
    <col width="24.36328125" customWidth="1" style="4" min="29" max="29"/>
    <col width="23.08984375" customWidth="1" style="4" min="30" max="30"/>
    <col width="24.36328125" customWidth="1" style="4" min="31" max="31"/>
    <col width="25.6328125" customWidth="1" style="4" min="32" max="32"/>
    <col width="26.90625" customWidth="1" style="4" min="33" max="33"/>
    <col width="25.6328125" customWidth="1" style="4" min="34" max="34"/>
    <col width="26.90625" customWidth="1" style="4" min="35" max="35"/>
    <col width="8.90625" customWidth="1" style="72" min="36" max="39"/>
    <col width="8.90625" customWidth="1" style="72" min="40" max="16384"/>
  </cols>
  <sheetData>
    <row r="1" ht="15.75" customHeight="1" s="142">
      <c r="A1" s="146" t="inlineStr">
        <is>
          <t>YYYYMM</t>
        </is>
      </c>
      <c r="B1" s="147" t="inlineStr">
        <is>
          <t>年度</t>
        </is>
      </c>
      <c r="C1" s="147" t="inlineStr">
        <is>
          <t>月份</t>
        </is>
      </c>
      <c r="D1" s="147" t="inlineStr">
        <is>
          <t>季度</t>
        </is>
      </c>
      <c r="E1" s="147" t="inlineStr">
        <is>
          <t>排序編號</t>
        </is>
      </c>
      <c r="F1" s="148" t="inlineStr">
        <is>
          <t>Bank</t>
        </is>
      </c>
      <c r="G1" s="149" t="inlineStr">
        <is>
          <t>Item</t>
        </is>
      </c>
      <c r="H1" s="147" t="inlineStr">
        <is>
          <t>流通卡數</t>
        </is>
      </c>
      <c r="I1" s="147" t="inlineStr">
        <is>
          <t>有效卡數</t>
        </is>
      </c>
      <c r="J1" s="147" t="inlineStr">
        <is>
          <t>當月發卡數</t>
        </is>
      </c>
      <c r="K1" s="147" t="inlineStr">
        <is>
          <t>當月停卡數</t>
        </is>
      </c>
      <c r="L1" s="147" t="inlineStr">
        <is>
          <t>循環信用餘額</t>
        </is>
      </c>
      <c r="M1" s="147" t="inlineStr">
        <is>
          <t>未到期分期付款餘額</t>
        </is>
      </c>
      <c r="N1" s="147" t="inlineStr">
        <is>
          <t>當月簽帳金額</t>
        </is>
      </c>
      <c r="O1" s="147" t="inlineStr">
        <is>
          <t>當月預借現金金額</t>
        </is>
      </c>
      <c r="P1" s="5" t="inlineStr">
        <is>
          <t>逾期三個月以上帳款占應收帳款餘額（含催收款）之比率(%)</t>
        </is>
      </c>
      <c r="Q1" s="6" t="inlineStr">
        <is>
          <t>逾期六個月以上帳款占應收帳款餘額（含催收款）之比率(%)</t>
        </is>
      </c>
      <c r="R1" s="147" t="inlineStr">
        <is>
          <t>備抵呆帳提足率</t>
        </is>
      </c>
      <c r="S1" s="147" t="inlineStr">
        <is>
          <t>當月轉銷呆帳金額</t>
        </is>
      </c>
      <c r="T1" s="147" t="inlineStr">
        <is>
          <t>當年度累計轉銷呆帳金額</t>
        </is>
      </c>
      <c r="U1" s="147" t="inlineStr">
        <is>
          <t>當月轉帳卡簽帳金額</t>
        </is>
      </c>
      <c r="V1" s="150" t="inlineStr">
        <is>
          <t>平均每人持卡張數</t>
        </is>
      </c>
      <c r="W1" s="7" t="inlineStr">
        <is>
          <t>市場總計</t>
        </is>
      </c>
      <c r="X1" s="8" t="inlineStr">
        <is>
          <t>TOP 5 流通卡</t>
        </is>
      </c>
      <c r="Y1" s="4" t="inlineStr">
        <is>
          <t>TOP 10 流通卡</t>
        </is>
      </c>
      <c r="Z1" s="4" t="inlineStr">
        <is>
          <t>TOP 5 有效卡</t>
        </is>
      </c>
      <c r="AA1" s="4" t="inlineStr">
        <is>
          <t>TOP 10 有效卡</t>
        </is>
      </c>
      <c r="AB1" s="4" t="inlineStr">
        <is>
          <t>TOP 5 當月發卡數</t>
        </is>
      </c>
      <c r="AC1" s="4" t="inlineStr">
        <is>
          <t>TOP 10 當月發卡數</t>
        </is>
      </c>
      <c r="AD1" s="4" t="inlineStr">
        <is>
          <t>TOP 5 當月停卡數</t>
        </is>
      </c>
      <c r="AE1" s="4" t="inlineStr">
        <is>
          <t>TOP 10 當月停卡數</t>
        </is>
      </c>
      <c r="AF1" s="4" t="inlineStr">
        <is>
          <t>TOP 5 循環信用餘額</t>
        </is>
      </c>
      <c r="AG1" s="4" t="inlineStr">
        <is>
          <t>TOP 10 循環信用餘額</t>
        </is>
      </c>
      <c r="AH1" s="4" t="inlineStr">
        <is>
          <t>TOP 5 當月簽帳金額</t>
        </is>
      </c>
      <c r="AI1" s="4" t="inlineStr">
        <is>
          <t>TOP 10 當月簽帳金額</t>
        </is>
      </c>
    </row>
    <row r="2">
      <c r="A2" s="9" t="inlineStr">
        <is>
          <t>2015--</t>
        </is>
      </c>
      <c r="B2" s="10">
        <f>LEFT(creditcard[[#This Row],[YYYYMM]],4)</f>
        <v/>
      </c>
      <c r="C2" s="10">
        <f>RIGHT(creditcard[[#This Row],[YYYYMM]],2)</f>
        <v/>
      </c>
      <c r="D2" s="10">
        <f>IF(RIGHT(creditcard[[#This Row],[YYYYMM]],2)="--","--","Q"&amp;ROUNDUP(VALUE(RIGHT(creditcard[[#This Row],[YYYYMM]],2))/3,0))</f>
        <v/>
      </c>
      <c r="E2" s="10" t="n">
        <v>1</v>
      </c>
      <c r="F2" s="151" t="inlineStr">
        <is>
          <t>中信</t>
        </is>
      </c>
      <c r="G2" s="152" t="inlineStr">
        <is>
          <t>01 中信</t>
        </is>
      </c>
      <c r="H2" s="153" t="n">
        <v>5858730</v>
      </c>
      <c r="I2" s="153" t="n">
        <v>3837764</v>
      </c>
      <c r="J2" s="153" t="n">
        <v>567212</v>
      </c>
      <c r="K2" s="153" t="n">
        <v>442934</v>
      </c>
      <c r="L2" s="153" t="n">
        <v>14273</v>
      </c>
      <c r="M2" s="11" t="n"/>
      <c r="N2" s="153" t="n">
        <v>333935</v>
      </c>
      <c r="O2" s="11" t="n"/>
      <c r="P2" s="11" t="n"/>
      <c r="Q2" s="12" t="n"/>
      <c r="R2" s="11" t="n"/>
      <c r="S2" s="11" t="n"/>
      <c r="T2" s="11" t="n"/>
      <c r="U2" s="11" t="n"/>
      <c r="V2" s="154" t="n"/>
      <c r="W2" s="11" t="n"/>
      <c r="X2" s="13" t="n"/>
      <c r="Y2" s="13" t="n"/>
      <c r="Z2" s="13" t="n"/>
      <c r="AA2" s="13" t="n"/>
      <c r="AB2" s="13" t="n"/>
      <c r="AC2" s="13" t="n"/>
      <c r="AD2" s="13" t="n"/>
      <c r="AE2" s="13" t="n"/>
      <c r="AF2" s="13" t="n"/>
      <c r="AG2" s="13" t="n"/>
      <c r="AH2" s="13" t="n"/>
      <c r="AI2" s="13" t="n"/>
    </row>
    <row r="3">
      <c r="A3" s="14" t="inlineStr">
        <is>
          <t>2015--</t>
        </is>
      </c>
      <c r="B3" s="15">
        <f>LEFT(creditcard[[#This Row],[YYYYMM]],4)</f>
        <v/>
      </c>
      <c r="C3" s="15">
        <f>RIGHT(creditcard[[#This Row],[YYYYMM]],2)</f>
        <v/>
      </c>
      <c r="D3" s="15">
        <f>IF(RIGHT(creditcard[[#This Row],[YYYYMM]],2)="--","--","Q"&amp;ROUNDUP(VALUE(RIGHT(creditcard[[#This Row],[YYYYMM]],2))/3,0))</f>
        <v/>
      </c>
      <c r="E3" s="15" t="n">
        <v>2</v>
      </c>
      <c r="F3" s="155" t="inlineStr">
        <is>
          <t>富邦</t>
        </is>
      </c>
      <c r="G3" s="156" t="inlineStr">
        <is>
          <t>02 富邦</t>
        </is>
      </c>
      <c r="H3" s="157" t="n">
        <v>2251364</v>
      </c>
      <c r="I3" s="157" t="n">
        <v>1628623</v>
      </c>
      <c r="J3" s="157" t="n">
        <v>349630</v>
      </c>
      <c r="K3" s="157" t="n">
        <v>466261</v>
      </c>
      <c r="L3" s="157" t="n">
        <v>6736</v>
      </c>
      <c r="M3" s="16" t="n"/>
      <c r="N3" s="157" t="n">
        <v>174023</v>
      </c>
      <c r="O3" s="16" t="n"/>
      <c r="P3" s="16" t="n"/>
      <c r="Q3" s="17" t="n"/>
      <c r="R3" s="16" t="n"/>
      <c r="S3" s="16" t="n"/>
      <c r="T3" s="16" t="n"/>
      <c r="U3" s="16" t="n"/>
      <c r="V3" s="158" t="n"/>
      <c r="W3" s="16" t="n"/>
      <c r="X3" s="18" t="n"/>
      <c r="Y3" s="18" t="n"/>
      <c r="Z3" s="18" t="n"/>
      <c r="AA3" s="18" t="n"/>
      <c r="AB3" s="18" t="n"/>
      <c r="AC3" s="18" t="n"/>
      <c r="AD3" s="18" t="n"/>
      <c r="AE3" s="18" t="n"/>
      <c r="AF3" s="18" t="n"/>
      <c r="AG3" s="18" t="n"/>
      <c r="AH3" s="18" t="n"/>
      <c r="AI3" s="18" t="n"/>
    </row>
    <row r="4">
      <c r="A4" s="9" t="inlineStr">
        <is>
          <t>2015--</t>
        </is>
      </c>
      <c r="B4" s="10">
        <f>LEFT(creditcard[[#This Row],[YYYYMM]],4)</f>
        <v/>
      </c>
      <c r="C4" s="10">
        <f>RIGHT(creditcard[[#This Row],[YYYYMM]],2)</f>
        <v/>
      </c>
      <c r="D4" s="10">
        <f>IF(RIGHT(creditcard[[#This Row],[YYYYMM]],2)="--","--","Q"&amp;ROUNDUP(VALUE(RIGHT(creditcard[[#This Row],[YYYYMM]],2))/3,0))</f>
        <v/>
      </c>
      <c r="E4" s="10" t="n">
        <v>3</v>
      </c>
      <c r="F4" s="151" t="inlineStr">
        <is>
          <t>國泰</t>
        </is>
      </c>
      <c r="G4" s="152" t="inlineStr">
        <is>
          <t>03 國泰</t>
        </is>
      </c>
      <c r="H4" s="153" t="n">
        <v>5153580</v>
      </c>
      <c r="I4" s="153" t="n">
        <v>3625066</v>
      </c>
      <c r="J4" s="153" t="n">
        <v>772517</v>
      </c>
      <c r="K4" s="153" t="n">
        <v>381791</v>
      </c>
      <c r="L4" s="153" t="n">
        <v>14293</v>
      </c>
      <c r="M4" s="11" t="n"/>
      <c r="N4" s="153" t="n">
        <v>340806</v>
      </c>
      <c r="O4" s="11" t="n"/>
      <c r="P4" s="11" t="n"/>
      <c r="Q4" s="12" t="n"/>
      <c r="R4" s="11" t="n"/>
      <c r="S4" s="11" t="n"/>
      <c r="T4" s="11" t="n"/>
      <c r="U4" s="11" t="n"/>
      <c r="V4" s="154" t="n"/>
      <c r="W4" s="11" t="n"/>
      <c r="X4" s="13" t="n"/>
      <c r="Y4" s="13" t="n"/>
      <c r="Z4" s="13" t="n"/>
      <c r="AA4" s="13" t="n"/>
      <c r="AB4" s="13" t="n"/>
      <c r="AC4" s="13" t="n"/>
      <c r="AD4" s="13" t="n"/>
      <c r="AE4" s="13" t="n"/>
      <c r="AF4" s="13" t="n"/>
      <c r="AG4" s="13" t="n"/>
      <c r="AH4" s="13" t="n"/>
      <c r="AI4" s="13" t="n"/>
    </row>
    <row r="5">
      <c r="A5" s="14" t="inlineStr">
        <is>
          <t>2015--</t>
        </is>
      </c>
      <c r="B5" s="15">
        <f>LEFT(creditcard[[#This Row],[YYYYMM]],4)</f>
        <v/>
      </c>
      <c r="C5" s="15">
        <f>RIGHT(creditcard[[#This Row],[YYYYMM]],2)</f>
        <v/>
      </c>
      <c r="D5" s="15">
        <f>IF(RIGHT(creditcard[[#This Row],[YYYYMM]],2)="--","--","Q"&amp;ROUNDUP(VALUE(RIGHT(creditcard[[#This Row],[YYYYMM]],2))/3,0))</f>
        <v/>
      </c>
      <c r="E5" s="15" t="n">
        <v>4</v>
      </c>
      <c r="F5" s="155" t="inlineStr">
        <is>
          <t>玉山</t>
        </is>
      </c>
      <c r="G5" s="156" t="inlineStr">
        <is>
          <t>04 玉山</t>
        </is>
      </c>
      <c r="H5" s="157" t="n">
        <v>3950889</v>
      </c>
      <c r="I5" s="157" t="n">
        <v>2770051</v>
      </c>
      <c r="J5" s="157" t="n">
        <v>521929</v>
      </c>
      <c r="K5" s="157" t="n">
        <v>265308</v>
      </c>
      <c r="L5" s="157" t="n">
        <v>10448</v>
      </c>
      <c r="M5" s="16" t="n"/>
      <c r="N5" s="157" t="n">
        <v>251027</v>
      </c>
      <c r="O5" s="16" t="n"/>
      <c r="P5" s="16" t="n"/>
      <c r="Q5" s="17" t="n"/>
      <c r="R5" s="16" t="n"/>
      <c r="S5" s="16" t="n"/>
      <c r="T5" s="16" t="n"/>
      <c r="U5" s="16" t="n"/>
      <c r="V5" s="158" t="n"/>
      <c r="W5" s="16" t="n"/>
      <c r="X5" s="18" t="n"/>
      <c r="Y5" s="18" t="n"/>
      <c r="Z5" s="18" t="n"/>
      <c r="AA5" s="18" t="n"/>
      <c r="AB5" s="18" t="n"/>
      <c r="AC5" s="18" t="n"/>
      <c r="AD5" s="18" t="n"/>
      <c r="AE5" s="18" t="n"/>
      <c r="AF5" s="18" t="n"/>
      <c r="AG5" s="18" t="n"/>
      <c r="AH5" s="18" t="n"/>
      <c r="AI5" s="18" t="n"/>
    </row>
    <row r="6">
      <c r="A6" s="9" t="inlineStr">
        <is>
          <t>2015--</t>
        </is>
      </c>
      <c r="B6" s="10">
        <f>LEFT(creditcard[[#This Row],[YYYYMM]],4)</f>
        <v/>
      </c>
      <c r="C6" s="10">
        <f>RIGHT(creditcard[[#This Row],[YYYYMM]],2)</f>
        <v/>
      </c>
      <c r="D6" s="10">
        <f>IF(RIGHT(creditcard[[#This Row],[YYYYMM]],2)="--","--","Q"&amp;ROUNDUP(VALUE(RIGHT(creditcard[[#This Row],[YYYYMM]],2))/3,0))</f>
        <v/>
      </c>
      <c r="E6" s="10" t="n">
        <v>5</v>
      </c>
      <c r="F6" s="151" t="inlineStr">
        <is>
          <t>台新</t>
        </is>
      </c>
      <c r="G6" s="152" t="inlineStr">
        <is>
          <t>05 台新</t>
        </is>
      </c>
      <c r="H6" s="153" t="n">
        <v>3550799</v>
      </c>
      <c r="I6" s="153" t="n">
        <v>2464211</v>
      </c>
      <c r="J6" s="153" t="n">
        <v>400561</v>
      </c>
      <c r="K6" s="153" t="n">
        <v>346989</v>
      </c>
      <c r="L6" s="153" t="n">
        <v>10441</v>
      </c>
      <c r="M6" s="11" t="n"/>
      <c r="N6" s="153" t="n">
        <v>186595</v>
      </c>
      <c r="O6" s="11" t="n"/>
      <c r="P6" s="11" t="n"/>
      <c r="Q6" s="12" t="n"/>
      <c r="R6" s="11" t="n"/>
      <c r="S6" s="11" t="n"/>
      <c r="T6" s="11" t="n"/>
      <c r="U6" s="11" t="n"/>
      <c r="V6" s="154" t="n"/>
      <c r="W6" s="11" t="n"/>
      <c r="X6" s="13" t="n"/>
      <c r="Y6" s="13" t="n"/>
      <c r="Z6" s="13" t="n"/>
      <c r="AA6" s="13" t="n"/>
      <c r="AB6" s="13" t="n"/>
      <c r="AC6" s="13" t="n"/>
      <c r="AD6" s="13" t="n"/>
      <c r="AE6" s="13" t="n"/>
      <c r="AF6" s="13" t="n"/>
      <c r="AG6" s="13" t="n"/>
      <c r="AH6" s="13" t="n"/>
      <c r="AI6" s="13" t="n"/>
    </row>
    <row r="7">
      <c r="A7" s="14" t="inlineStr">
        <is>
          <t>2015--</t>
        </is>
      </c>
      <c r="B7" s="15">
        <f>LEFT(creditcard[[#This Row],[YYYYMM]],4)</f>
        <v/>
      </c>
      <c r="C7" s="15">
        <f>RIGHT(creditcard[[#This Row],[YYYYMM]],2)</f>
        <v/>
      </c>
      <c r="D7" s="15">
        <f>IF(RIGHT(creditcard[[#This Row],[YYYYMM]],2)="--","--","Q"&amp;ROUNDUP(VALUE(RIGHT(creditcard[[#This Row],[YYYYMM]],2))/3,0))</f>
        <v/>
      </c>
      <c r="E7" s="15" t="n">
        <v>6</v>
      </c>
      <c r="F7" s="155" t="inlineStr">
        <is>
          <t>星展</t>
        </is>
      </c>
      <c r="G7" s="156" t="inlineStr">
        <is>
          <t>06 星展</t>
        </is>
      </c>
      <c r="H7" s="157" t="n">
        <v>12668</v>
      </c>
      <c r="I7" s="157" t="n">
        <v>6263</v>
      </c>
      <c r="J7" s="157" t="n">
        <v>1314</v>
      </c>
      <c r="K7" s="157" t="n">
        <v>1190</v>
      </c>
      <c r="L7" s="157" t="n">
        <v>21</v>
      </c>
      <c r="M7" s="16" t="n"/>
      <c r="N7" s="157" t="n">
        <v>746</v>
      </c>
      <c r="O7" s="16" t="n"/>
      <c r="P7" s="16" t="n"/>
      <c r="Q7" s="17" t="n"/>
      <c r="R7" s="16" t="n"/>
      <c r="S7" s="16" t="n"/>
      <c r="T7" s="16" t="n"/>
      <c r="U7" s="16" t="n"/>
      <c r="V7" s="158" t="n"/>
      <c r="W7" s="16" t="n"/>
      <c r="X7" s="18" t="n"/>
      <c r="Y7" s="18" t="n"/>
      <c r="Z7" s="18" t="n"/>
      <c r="AA7" s="18" t="n"/>
      <c r="AB7" s="18" t="n"/>
      <c r="AC7" s="18" t="n"/>
      <c r="AD7" s="18" t="n"/>
      <c r="AE7" s="18" t="n"/>
      <c r="AF7" s="18" t="n"/>
      <c r="AG7" s="18" t="n"/>
      <c r="AH7" s="18" t="n"/>
      <c r="AI7" s="18" t="n"/>
    </row>
    <row r="8">
      <c r="A8" s="9" t="inlineStr">
        <is>
          <t>2015--</t>
        </is>
      </c>
      <c r="B8" s="10">
        <f>LEFT(creditcard[[#This Row],[YYYYMM]],4)</f>
        <v/>
      </c>
      <c r="C8" s="10">
        <f>RIGHT(creditcard[[#This Row],[YYYYMM]],2)</f>
        <v/>
      </c>
      <c r="D8" s="10">
        <f>IF(RIGHT(creditcard[[#This Row],[YYYYMM]],2)="--","--","Q"&amp;ROUNDUP(VALUE(RIGHT(creditcard[[#This Row],[YYYYMM]],2))/3,0))</f>
        <v/>
      </c>
      <c r="E8" s="10" t="n">
        <v>7</v>
      </c>
      <c r="F8" s="151" t="inlineStr">
        <is>
          <t>聯邦</t>
        </is>
      </c>
      <c r="G8" s="152" t="inlineStr">
        <is>
          <t>07 聯邦</t>
        </is>
      </c>
      <c r="H8" s="153" t="n">
        <v>1825288</v>
      </c>
      <c r="I8" s="153" t="n">
        <v>812939</v>
      </c>
      <c r="J8" s="153" t="n">
        <v>255916</v>
      </c>
      <c r="K8" s="153" t="n">
        <v>201402</v>
      </c>
      <c r="L8" s="153" t="n">
        <v>4667</v>
      </c>
      <c r="M8" s="11" t="n"/>
      <c r="N8" s="153" t="n">
        <v>65416</v>
      </c>
      <c r="O8" s="11" t="n"/>
      <c r="P8" s="11" t="n"/>
      <c r="Q8" s="12" t="n"/>
      <c r="R8" s="11" t="n"/>
      <c r="S8" s="11" t="n"/>
      <c r="T8" s="11" t="n"/>
      <c r="U8" s="11" t="n"/>
      <c r="V8" s="154" t="n"/>
      <c r="W8" s="11" t="n"/>
      <c r="X8" s="13" t="n"/>
      <c r="Y8" s="13" t="n"/>
      <c r="Z8" s="13" t="n"/>
      <c r="AA8" s="13" t="n"/>
      <c r="AB8" s="13" t="n"/>
      <c r="AC8" s="13" t="n"/>
      <c r="AD8" s="13" t="n"/>
      <c r="AE8" s="13" t="n"/>
      <c r="AF8" s="13" t="n"/>
      <c r="AG8" s="13" t="n"/>
      <c r="AH8" s="13" t="n"/>
      <c r="AI8" s="13" t="n"/>
    </row>
    <row r="9">
      <c r="A9" s="14" t="inlineStr">
        <is>
          <t>2015--</t>
        </is>
      </c>
      <c r="B9" s="15">
        <f>LEFT(creditcard[[#This Row],[YYYYMM]],4)</f>
        <v/>
      </c>
      <c r="C9" s="15">
        <f>RIGHT(creditcard[[#This Row],[YYYYMM]],2)</f>
        <v/>
      </c>
      <c r="D9" s="15">
        <f>IF(RIGHT(creditcard[[#This Row],[YYYYMM]],2)="--","--","Q"&amp;ROUNDUP(VALUE(RIGHT(creditcard[[#This Row],[YYYYMM]],2))/3,0))</f>
        <v/>
      </c>
      <c r="E9" s="15" t="n">
        <v>8</v>
      </c>
      <c r="F9" s="155" t="inlineStr">
        <is>
          <t>永豐</t>
        </is>
      </c>
      <c r="G9" s="156" t="inlineStr">
        <is>
          <t>08 永豐</t>
        </is>
      </c>
      <c r="H9" s="157" t="n">
        <v>2144920</v>
      </c>
      <c r="I9" s="157" t="n">
        <v>1323940</v>
      </c>
      <c r="J9" s="157" t="n">
        <v>231388</v>
      </c>
      <c r="K9" s="157" t="n">
        <v>264639</v>
      </c>
      <c r="L9" s="157" t="n">
        <v>5017</v>
      </c>
      <c r="M9" s="16" t="n"/>
      <c r="N9" s="157" t="n">
        <v>89430</v>
      </c>
      <c r="O9" s="16" t="n"/>
      <c r="P9" s="16" t="n"/>
      <c r="Q9" s="17" t="n"/>
      <c r="R9" s="16" t="n"/>
      <c r="S9" s="16" t="n"/>
      <c r="T9" s="16" t="n"/>
      <c r="U9" s="16" t="n"/>
      <c r="V9" s="158" t="n"/>
      <c r="W9" s="16" t="n"/>
      <c r="X9" s="18" t="n"/>
      <c r="Y9" s="18" t="n"/>
      <c r="Z9" s="18" t="n"/>
      <c r="AA9" s="18" t="n"/>
      <c r="AB9" s="18" t="n"/>
      <c r="AC9" s="18" t="n"/>
      <c r="AD9" s="18" t="n"/>
      <c r="AE9" s="18" t="n"/>
      <c r="AF9" s="18" t="n"/>
      <c r="AG9" s="18" t="n"/>
      <c r="AH9" s="18" t="n"/>
      <c r="AI9" s="18" t="n"/>
    </row>
    <row r="10">
      <c r="A10" s="9" t="inlineStr">
        <is>
          <t>2015--</t>
        </is>
      </c>
      <c r="B10" s="10">
        <f>LEFT(creditcard[[#This Row],[YYYYMM]],4)</f>
        <v/>
      </c>
      <c r="C10" s="10">
        <f>RIGHT(creditcard[[#This Row],[YYYYMM]],2)</f>
        <v/>
      </c>
      <c r="D10" s="10">
        <f>IF(RIGHT(creditcard[[#This Row],[YYYYMM]],2)="--","--","Q"&amp;ROUNDUP(VALUE(RIGHT(creditcard[[#This Row],[YYYYMM]],2))/3,0))</f>
        <v/>
      </c>
      <c r="E10" s="10" t="n">
        <v>9</v>
      </c>
      <c r="F10" s="151" t="inlineStr">
        <is>
          <t>第一</t>
        </is>
      </c>
      <c r="G10" s="152" t="inlineStr">
        <is>
          <t>09 第一</t>
        </is>
      </c>
      <c r="H10" s="153" t="n">
        <v>900003</v>
      </c>
      <c r="I10" s="153" t="n">
        <v>603248</v>
      </c>
      <c r="J10" s="153" t="n">
        <v>168427</v>
      </c>
      <c r="K10" s="153" t="n">
        <v>105385</v>
      </c>
      <c r="L10" s="153" t="n">
        <v>1374</v>
      </c>
      <c r="M10" s="11" t="n"/>
      <c r="N10" s="153" t="n">
        <v>46827</v>
      </c>
      <c r="O10" s="11" t="n"/>
      <c r="P10" s="11" t="n"/>
      <c r="Q10" s="12" t="n"/>
      <c r="R10" s="11" t="n"/>
      <c r="S10" s="11" t="n"/>
      <c r="T10" s="11" t="n"/>
      <c r="U10" s="11" t="n"/>
      <c r="V10" s="154" t="n"/>
      <c r="W10" s="11" t="n"/>
      <c r="X10" s="13" t="n"/>
      <c r="Y10" s="13" t="n"/>
      <c r="Z10" s="13" t="n"/>
      <c r="AA10" s="13" t="n"/>
      <c r="AB10" s="13" t="n"/>
      <c r="AC10" s="13" t="n"/>
      <c r="AD10" s="13" t="n"/>
      <c r="AE10" s="13" t="n"/>
      <c r="AF10" s="13" t="n"/>
      <c r="AG10" s="13" t="n"/>
      <c r="AH10" s="13" t="n"/>
      <c r="AI10" s="13" t="n"/>
    </row>
    <row r="11">
      <c r="A11" s="14" t="inlineStr">
        <is>
          <t>2015--</t>
        </is>
      </c>
      <c r="B11" s="15">
        <f>LEFT(creditcard[[#This Row],[YYYYMM]],4)</f>
        <v/>
      </c>
      <c r="C11" s="15">
        <f>RIGHT(creditcard[[#This Row],[YYYYMM]],2)</f>
        <v/>
      </c>
      <c r="D11" s="15">
        <f>IF(RIGHT(creditcard[[#This Row],[YYYYMM]],2)="--","--","Q"&amp;ROUNDUP(VALUE(RIGHT(creditcard[[#This Row],[YYYYMM]],2))/3,0))</f>
        <v/>
      </c>
      <c r="E11" s="15" t="n">
        <v>10</v>
      </c>
      <c r="F11" s="155" t="inlineStr">
        <is>
          <t>遠東</t>
        </is>
      </c>
      <c r="G11" s="156" t="inlineStr">
        <is>
          <t>10 遠東</t>
        </is>
      </c>
      <c r="H11" s="157" t="n">
        <v>1498301</v>
      </c>
      <c r="I11" s="157" t="n">
        <v>1023468</v>
      </c>
      <c r="J11" s="157" t="n">
        <v>156151</v>
      </c>
      <c r="K11" s="157" t="n">
        <v>145823</v>
      </c>
      <c r="L11" s="157" t="n">
        <v>4925</v>
      </c>
      <c r="M11" s="16" t="n"/>
      <c r="N11" s="157" t="n">
        <v>58087</v>
      </c>
      <c r="O11" s="16" t="n"/>
      <c r="P11" s="16" t="n"/>
      <c r="Q11" s="17" t="n"/>
      <c r="R11" s="16" t="n"/>
      <c r="S11" s="16" t="n"/>
      <c r="T11" s="16" t="n"/>
      <c r="U11" s="16" t="n"/>
      <c r="V11" s="158" t="n"/>
      <c r="W11" s="16" t="n"/>
      <c r="X11" s="18" t="n"/>
      <c r="Y11" s="18" t="n"/>
      <c r="Z11" s="18" t="n"/>
      <c r="AA11" s="18" t="n"/>
      <c r="AB11" s="18" t="n"/>
      <c r="AC11" s="18" t="n"/>
      <c r="AD11" s="18" t="n"/>
      <c r="AE11" s="18" t="n"/>
      <c r="AF11" s="18" t="n"/>
      <c r="AG11" s="18" t="n"/>
      <c r="AH11" s="18" t="n"/>
      <c r="AI11" s="18" t="n"/>
    </row>
    <row r="12">
      <c r="A12" s="9" t="inlineStr">
        <is>
          <t>2015--</t>
        </is>
      </c>
      <c r="B12" s="10">
        <f>LEFT(creditcard[[#This Row],[YYYYMM]],4)</f>
        <v/>
      </c>
      <c r="C12" s="10">
        <f>RIGHT(creditcard[[#This Row],[YYYYMM]],2)</f>
        <v/>
      </c>
      <c r="D12" s="10">
        <f>IF(RIGHT(creditcard[[#This Row],[YYYYMM]],2)="--","--","Q"&amp;ROUNDUP(VALUE(RIGHT(creditcard[[#This Row],[YYYYMM]],2))/3,0))</f>
        <v/>
      </c>
      <c r="E12" s="10" t="n">
        <v>11</v>
      </c>
      <c r="F12" s="151" t="inlineStr">
        <is>
          <t>市場總計</t>
        </is>
      </c>
      <c r="G12" s="152" t="inlineStr">
        <is>
          <t>11 市場總計</t>
        </is>
      </c>
      <c r="H12" s="153" t="n">
        <v>38518206</v>
      </c>
      <c r="I12" s="153" t="n">
        <v>25357316</v>
      </c>
      <c r="J12" s="153" t="n">
        <v>5034279</v>
      </c>
      <c r="K12" s="153" t="n">
        <v>3944562</v>
      </c>
      <c r="L12" s="153" t="n">
        <v>107955</v>
      </c>
      <c r="M12" s="11" t="n"/>
      <c r="N12" s="153" t="n">
        <v>2231797</v>
      </c>
      <c r="O12" s="11" t="n"/>
      <c r="P12" s="11" t="n"/>
      <c r="Q12" s="12" t="n"/>
      <c r="R12" s="11" t="n"/>
      <c r="S12" s="11" t="n"/>
      <c r="T12" s="11" t="n"/>
      <c r="U12" s="11" t="n"/>
      <c r="V12" s="159" t="n">
        <v>3.85953967935872</v>
      </c>
      <c r="W12" s="10">
        <f>SUMIFS(H:H,A:A,creditcard[[#This Row],[YYYYMM]],G:G,creditcard[[#This Row],[Item]])</f>
        <v/>
      </c>
      <c r="X12" s="4">
        <f>IFERROR(SUMIFS(H:H,A:A,creditcard[[#This Row],[YYYYMM]],E:E,"&lt;=5")/creditcard[[#This Row],[市場總計]],"")</f>
        <v/>
      </c>
      <c r="Y12" s="4">
        <f>IFERROR(SUMIFS(H:H,A:A,creditcard[[#This Row],[YYYYMM]],E:E,"&lt;=10")/creditcard[[#This Row],[市場總計]],"")</f>
        <v/>
      </c>
      <c r="Z12" s="4">
        <f>IFERROR(SUMIFS(I:I,A:A,creditcard[[#This Row],[YYYYMM]],E:E,"&lt;=5")/creditcard[[#This Row],[有效卡數]],"")</f>
        <v/>
      </c>
      <c r="AA12" s="4">
        <f>IFERROR(SUMIFS(I:I,A:A,creditcard[[#This Row],[YYYYMM]],E:E,"&lt;=10")/creditcard[[#This Row],[有效卡數]],"")</f>
        <v/>
      </c>
      <c r="AB12" s="4">
        <f>IFERROR(SUMIFS(J:J,A:A,creditcard[[#This Row],[YYYYMM]],E:E,"&lt;=5")/creditcard[[#This Row],[當月發卡數]],"")</f>
        <v/>
      </c>
      <c r="AC12" s="4">
        <f>IFERROR(SUMIFS(J:J,A:A,creditcard[[#This Row],[YYYYMM]],E:E,"&lt;=10")/creditcard[[#This Row],[當月發卡數]],"")</f>
        <v/>
      </c>
      <c r="AD12" s="4">
        <f>IFERROR(SUMIFS(K:K,A:A,creditcard[[#This Row],[YYYYMM]],E:E,"&lt;=5")/creditcard[[#This Row],[當月停卡數]],"")</f>
        <v/>
      </c>
      <c r="AE12" s="4">
        <f>IFERROR(SUMIFS(K:K,A:A,creditcard[[#This Row],[YYYYMM]],E:E,"&lt;=10")/creditcard[[#This Row],[當月停卡數]],"")</f>
        <v/>
      </c>
      <c r="AF12" s="4">
        <f>IFERROR(SUMIFS(L:L,A:A,creditcard[[#This Row],[YYYYMM]],E:E,"&lt;=5")/creditcard[[#This Row],[循環信用餘額]],"")</f>
        <v/>
      </c>
      <c r="AG12" s="4">
        <f>IFERROR(SUMIFS(L:L,A:A,creditcard[[#This Row],[YYYYMM]],E:E,"&lt;=10")/creditcard[[#This Row],[循環信用餘額]],"")</f>
        <v/>
      </c>
      <c r="AH12" s="4">
        <f>IFERROR(SUMIFS(N:N,A:A,creditcard[[#This Row],[YYYYMM]],E:E,"&lt;=5")/creditcard[[#This Row],[當月簽帳金額]],"")</f>
        <v/>
      </c>
      <c r="AI12" s="4">
        <f>IFERROR(SUMIFS(N:N,A:A,creditcard[[#This Row],[YYYYMM]],E:E,"&lt;=10")/creditcard[[#This Row],[當月簽帳金額]],"")</f>
        <v/>
      </c>
    </row>
    <row r="13">
      <c r="A13" s="14" t="inlineStr">
        <is>
          <t>2016--</t>
        </is>
      </c>
      <c r="B13" s="15">
        <f>LEFT(creditcard[[#This Row],[YYYYMM]],4)</f>
        <v/>
      </c>
      <c r="C13" s="15">
        <f>RIGHT(creditcard[[#This Row],[YYYYMM]],2)</f>
        <v/>
      </c>
      <c r="D13" s="15">
        <f>IF(RIGHT(creditcard[[#This Row],[YYYYMM]],2)="--","--","Q"&amp;ROUNDUP(VALUE(RIGHT(creditcard[[#This Row],[YYYYMM]],2))/3,0))</f>
        <v/>
      </c>
      <c r="E13" s="15" t="n">
        <v>1</v>
      </c>
      <c r="F13" s="155" t="inlineStr">
        <is>
          <t>中信</t>
        </is>
      </c>
      <c r="G13" s="156" t="inlineStr">
        <is>
          <t>01 中信</t>
        </is>
      </c>
      <c r="H13" s="157" t="n">
        <v>5984594</v>
      </c>
      <c r="I13" s="157" t="n">
        <v>3853818</v>
      </c>
      <c r="J13" s="157" t="n">
        <v>612854</v>
      </c>
      <c r="K13" s="157" t="n">
        <v>475423</v>
      </c>
      <c r="L13" s="157" t="n">
        <v>14930</v>
      </c>
      <c r="M13" s="16" t="n"/>
      <c r="N13" s="157" t="n">
        <v>335340</v>
      </c>
      <c r="O13" s="16" t="n"/>
      <c r="P13" s="16" t="n"/>
      <c r="Q13" s="17" t="n"/>
      <c r="R13" s="16" t="n"/>
      <c r="S13" s="16" t="n"/>
      <c r="T13" s="16" t="n"/>
      <c r="U13" s="16" t="n"/>
      <c r="V13" s="158" t="n"/>
      <c r="W13" s="16" t="n"/>
      <c r="X13" s="18" t="n"/>
      <c r="Y13" s="18" t="n"/>
      <c r="Z13" s="18" t="n"/>
      <c r="AA13" s="18" t="n"/>
      <c r="AB13" s="18" t="n"/>
      <c r="AC13" s="18" t="n"/>
      <c r="AD13" s="18" t="n"/>
      <c r="AE13" s="18" t="n"/>
      <c r="AF13" s="18" t="n"/>
      <c r="AG13" s="18" t="n"/>
      <c r="AH13" s="18" t="n"/>
      <c r="AI13" s="18" t="n"/>
    </row>
    <row r="14">
      <c r="A14" s="9" t="inlineStr">
        <is>
          <t>2016--</t>
        </is>
      </c>
      <c r="B14" s="10">
        <f>LEFT(creditcard[[#This Row],[YYYYMM]],4)</f>
        <v/>
      </c>
      <c r="C14" s="10">
        <f>RIGHT(creditcard[[#This Row],[YYYYMM]],2)</f>
        <v/>
      </c>
      <c r="D14" s="10">
        <f>IF(RIGHT(creditcard[[#This Row],[YYYYMM]],2)="--","--","Q"&amp;ROUNDUP(VALUE(RIGHT(creditcard[[#This Row],[YYYYMM]],2))/3,0))</f>
        <v/>
      </c>
      <c r="E14" s="10" t="n">
        <v>2</v>
      </c>
      <c r="F14" s="151" t="inlineStr">
        <is>
          <t>富邦</t>
        </is>
      </c>
      <c r="G14" s="152" t="inlineStr">
        <is>
          <t>02 富邦</t>
        </is>
      </c>
      <c r="H14" s="153" t="n">
        <v>2392960</v>
      </c>
      <c r="I14" s="153" t="n">
        <v>1745168</v>
      </c>
      <c r="J14" s="153" t="n">
        <v>480361</v>
      </c>
      <c r="K14" s="153" t="n">
        <v>338765</v>
      </c>
      <c r="L14" s="153" t="n">
        <v>6195</v>
      </c>
      <c r="M14" s="11" t="n"/>
      <c r="N14" s="153" t="n">
        <v>201367</v>
      </c>
      <c r="O14" s="11" t="n"/>
      <c r="P14" s="11" t="n"/>
      <c r="Q14" s="12" t="n"/>
      <c r="R14" s="11" t="n"/>
      <c r="S14" s="11" t="n"/>
      <c r="T14" s="11" t="n"/>
      <c r="U14" s="11" t="n"/>
      <c r="V14" s="154" t="n"/>
      <c r="W14" s="11" t="n"/>
      <c r="X14" s="13" t="n"/>
      <c r="Y14" s="13" t="n"/>
      <c r="Z14" s="13" t="n"/>
      <c r="AA14" s="13" t="n"/>
      <c r="AB14" s="13" t="n"/>
      <c r="AC14" s="13" t="n"/>
      <c r="AD14" s="13" t="n"/>
      <c r="AE14" s="13" t="n"/>
      <c r="AF14" s="13" t="n"/>
      <c r="AG14" s="13" t="n"/>
      <c r="AH14" s="13" t="n"/>
      <c r="AI14" s="13" t="n"/>
    </row>
    <row r="15">
      <c r="A15" s="14" t="inlineStr">
        <is>
          <t>2016--</t>
        </is>
      </c>
      <c r="B15" s="15">
        <f>LEFT(creditcard[[#This Row],[YYYYMM]],4)</f>
        <v/>
      </c>
      <c r="C15" s="15">
        <f>RIGHT(creditcard[[#This Row],[YYYYMM]],2)</f>
        <v/>
      </c>
      <c r="D15" s="15">
        <f>IF(RIGHT(creditcard[[#This Row],[YYYYMM]],2)="--","--","Q"&amp;ROUNDUP(VALUE(RIGHT(creditcard[[#This Row],[YYYYMM]],2))/3,0))</f>
        <v/>
      </c>
      <c r="E15" s="15" t="n">
        <v>3</v>
      </c>
      <c r="F15" s="155" t="inlineStr">
        <is>
          <t>國泰</t>
        </is>
      </c>
      <c r="G15" s="156" t="inlineStr">
        <is>
          <t>03 國泰</t>
        </is>
      </c>
      <c r="H15" s="157" t="n">
        <v>5889738</v>
      </c>
      <c r="I15" s="157" t="n">
        <v>4170575</v>
      </c>
      <c r="J15" s="157" t="n">
        <v>1183592</v>
      </c>
      <c r="K15" s="157" t="n">
        <v>447434</v>
      </c>
      <c r="L15" s="157" t="n">
        <v>15371</v>
      </c>
      <c r="M15" s="16" t="n"/>
      <c r="N15" s="157" t="n">
        <v>392948</v>
      </c>
      <c r="O15" s="16" t="n"/>
      <c r="P15" s="16" t="n"/>
      <c r="Q15" s="17" t="n"/>
      <c r="R15" s="16" t="n"/>
      <c r="S15" s="16" t="n"/>
      <c r="T15" s="16" t="n"/>
      <c r="U15" s="16" t="n"/>
      <c r="V15" s="158" t="n"/>
      <c r="W15" s="16" t="n"/>
      <c r="X15" s="18" t="n"/>
      <c r="Y15" s="18" t="n"/>
      <c r="Z15" s="18" t="n"/>
      <c r="AA15" s="18" t="n"/>
      <c r="AB15" s="18" t="n"/>
      <c r="AC15" s="18" t="n"/>
      <c r="AD15" s="18" t="n"/>
      <c r="AE15" s="18" t="n"/>
      <c r="AF15" s="18" t="n"/>
      <c r="AG15" s="18" t="n"/>
      <c r="AH15" s="18" t="n"/>
      <c r="AI15" s="18" t="n"/>
    </row>
    <row r="16">
      <c r="A16" s="9" t="inlineStr">
        <is>
          <t>2016--</t>
        </is>
      </c>
      <c r="B16" s="10">
        <f>LEFT(creditcard[[#This Row],[YYYYMM]],4)</f>
        <v/>
      </c>
      <c r="C16" s="10">
        <f>RIGHT(creditcard[[#This Row],[YYYYMM]],2)</f>
        <v/>
      </c>
      <c r="D16" s="10">
        <f>IF(RIGHT(creditcard[[#This Row],[YYYYMM]],2)="--","--","Q"&amp;ROUNDUP(VALUE(RIGHT(creditcard[[#This Row],[YYYYMM]],2))/3,0))</f>
        <v/>
      </c>
      <c r="E16" s="10" t="n">
        <v>4</v>
      </c>
      <c r="F16" s="151" t="inlineStr">
        <is>
          <t>玉山</t>
        </is>
      </c>
      <c r="G16" s="152" t="inlineStr">
        <is>
          <t>04 玉山</t>
        </is>
      </c>
      <c r="H16" s="153" t="n">
        <v>4293887</v>
      </c>
      <c r="I16" s="153" t="n">
        <v>2990512</v>
      </c>
      <c r="J16" s="153" t="n">
        <v>618600</v>
      </c>
      <c r="K16" s="153" t="n">
        <v>275602</v>
      </c>
      <c r="L16" s="153" t="n">
        <v>11476</v>
      </c>
      <c r="M16" s="11" t="n"/>
      <c r="N16" s="153" t="n">
        <v>298258</v>
      </c>
      <c r="O16" s="11" t="n"/>
      <c r="P16" s="11" t="n"/>
      <c r="Q16" s="12" t="n"/>
      <c r="R16" s="11" t="n"/>
      <c r="S16" s="11" t="n"/>
      <c r="T16" s="11" t="n"/>
      <c r="U16" s="11" t="n"/>
      <c r="V16" s="154" t="n"/>
      <c r="W16" s="11" t="n"/>
      <c r="X16" s="13" t="n"/>
      <c r="Y16" s="13" t="n"/>
      <c r="Z16" s="13" t="n"/>
      <c r="AA16" s="13" t="n"/>
      <c r="AB16" s="13" t="n"/>
      <c r="AC16" s="13" t="n"/>
      <c r="AD16" s="13" t="n"/>
      <c r="AE16" s="13" t="n"/>
      <c r="AF16" s="13" t="n"/>
      <c r="AG16" s="13" t="n"/>
      <c r="AH16" s="13" t="n"/>
      <c r="AI16" s="13" t="n"/>
    </row>
    <row r="17">
      <c r="A17" s="14" t="inlineStr">
        <is>
          <t>2016--</t>
        </is>
      </c>
      <c r="B17" s="15">
        <f>LEFT(creditcard[[#This Row],[YYYYMM]],4)</f>
        <v/>
      </c>
      <c r="C17" s="15">
        <f>RIGHT(creditcard[[#This Row],[YYYYMM]],2)</f>
        <v/>
      </c>
      <c r="D17" s="15">
        <f>IF(RIGHT(creditcard[[#This Row],[YYYYMM]],2)="--","--","Q"&amp;ROUNDUP(VALUE(RIGHT(creditcard[[#This Row],[YYYYMM]],2))/3,0))</f>
        <v/>
      </c>
      <c r="E17" s="15" t="n">
        <v>5</v>
      </c>
      <c r="F17" s="155" t="inlineStr">
        <is>
          <t>台新</t>
        </is>
      </c>
      <c r="G17" s="156" t="inlineStr">
        <is>
          <t>05 台新</t>
        </is>
      </c>
      <c r="H17" s="157" t="n">
        <v>3776524</v>
      </c>
      <c r="I17" s="157" t="n">
        <v>2640499</v>
      </c>
      <c r="J17" s="157" t="n">
        <v>487740</v>
      </c>
      <c r="K17" s="157" t="n">
        <v>262015</v>
      </c>
      <c r="L17" s="157" t="n">
        <v>10158</v>
      </c>
      <c r="M17" s="16" t="n"/>
      <c r="N17" s="157" t="n">
        <v>210271</v>
      </c>
      <c r="O17" s="16" t="n"/>
      <c r="P17" s="16" t="n"/>
      <c r="Q17" s="17" t="n"/>
      <c r="R17" s="16" t="n"/>
      <c r="S17" s="16" t="n"/>
      <c r="T17" s="16" t="n"/>
      <c r="U17" s="16" t="n"/>
      <c r="V17" s="158" t="n"/>
      <c r="W17" s="16" t="n"/>
      <c r="X17" s="18" t="n"/>
      <c r="Y17" s="18" t="n"/>
      <c r="Z17" s="18" t="n"/>
      <c r="AA17" s="18" t="n"/>
      <c r="AB17" s="18" t="n"/>
      <c r="AC17" s="18" t="n"/>
      <c r="AD17" s="18" t="n"/>
      <c r="AE17" s="18" t="n"/>
      <c r="AF17" s="18" t="n"/>
      <c r="AG17" s="18" t="n"/>
      <c r="AH17" s="18" t="n"/>
      <c r="AI17" s="18" t="n"/>
    </row>
    <row r="18">
      <c r="A18" s="9" t="inlineStr">
        <is>
          <t>2016--</t>
        </is>
      </c>
      <c r="B18" s="10">
        <f>LEFT(creditcard[[#This Row],[YYYYMM]],4)</f>
        <v/>
      </c>
      <c r="C18" s="10">
        <f>RIGHT(creditcard[[#This Row],[YYYYMM]],2)</f>
        <v/>
      </c>
      <c r="D18" s="10">
        <f>IF(RIGHT(creditcard[[#This Row],[YYYYMM]],2)="--","--","Q"&amp;ROUNDUP(VALUE(RIGHT(creditcard[[#This Row],[YYYYMM]],2))/3,0))</f>
        <v/>
      </c>
      <c r="E18" s="10" t="n">
        <v>6</v>
      </c>
      <c r="F18" s="151" t="inlineStr">
        <is>
          <t>星展</t>
        </is>
      </c>
      <c r="G18" s="152" t="inlineStr">
        <is>
          <t>06 星展</t>
        </is>
      </c>
      <c r="H18" s="153" t="n">
        <v>12663</v>
      </c>
      <c r="I18" s="153" t="n">
        <v>5765</v>
      </c>
      <c r="J18" s="153" t="n">
        <v>757</v>
      </c>
      <c r="K18" s="153" t="n">
        <v>762</v>
      </c>
      <c r="L18" s="153" t="n">
        <v>21</v>
      </c>
      <c r="M18" s="11" t="n"/>
      <c r="N18" s="153" t="n">
        <v>668</v>
      </c>
      <c r="O18" s="11" t="n"/>
      <c r="P18" s="11" t="n"/>
      <c r="Q18" s="12" t="n"/>
      <c r="R18" s="11" t="n"/>
      <c r="S18" s="11" t="n"/>
      <c r="T18" s="11" t="n"/>
      <c r="U18" s="11" t="n"/>
      <c r="V18" s="154" t="n"/>
      <c r="W18" s="11" t="n"/>
      <c r="X18" s="13" t="n"/>
      <c r="Y18" s="13" t="n"/>
      <c r="Z18" s="13" t="n"/>
      <c r="AA18" s="13" t="n"/>
      <c r="AB18" s="13" t="n"/>
      <c r="AC18" s="13" t="n"/>
      <c r="AD18" s="13" t="n"/>
      <c r="AE18" s="13" t="n"/>
      <c r="AF18" s="13" t="n"/>
      <c r="AG18" s="13" t="n"/>
      <c r="AH18" s="13" t="n"/>
      <c r="AI18" s="13" t="n"/>
    </row>
    <row r="19">
      <c r="A19" s="14" t="inlineStr">
        <is>
          <t>2016--</t>
        </is>
      </c>
      <c r="B19" s="15">
        <f>LEFT(creditcard[[#This Row],[YYYYMM]],4)</f>
        <v/>
      </c>
      <c r="C19" s="15">
        <f>RIGHT(creditcard[[#This Row],[YYYYMM]],2)</f>
        <v/>
      </c>
      <c r="D19" s="15">
        <f>IF(RIGHT(creditcard[[#This Row],[YYYYMM]],2)="--","--","Q"&amp;ROUNDUP(VALUE(RIGHT(creditcard[[#This Row],[YYYYMM]],2))/3,0))</f>
        <v/>
      </c>
      <c r="E19" s="15" t="n">
        <v>7</v>
      </c>
      <c r="F19" s="155" t="inlineStr">
        <is>
          <t>聯邦</t>
        </is>
      </c>
      <c r="G19" s="156" t="inlineStr">
        <is>
          <t>07 聯邦</t>
        </is>
      </c>
      <c r="H19" s="157" t="n">
        <v>2015520</v>
      </c>
      <c r="I19" s="157" t="n">
        <v>1083892</v>
      </c>
      <c r="J19" s="157" t="n">
        <v>471514</v>
      </c>
      <c r="K19" s="157" t="n">
        <v>281282</v>
      </c>
      <c r="L19" s="157" t="n">
        <v>4908</v>
      </c>
      <c r="M19" s="16" t="n"/>
      <c r="N19" s="157" t="n">
        <v>76984</v>
      </c>
      <c r="O19" s="16" t="n"/>
      <c r="P19" s="16" t="n"/>
      <c r="Q19" s="17" t="n"/>
      <c r="R19" s="16" t="n"/>
      <c r="S19" s="16" t="n"/>
      <c r="T19" s="16" t="n"/>
      <c r="U19" s="16" t="n"/>
      <c r="V19" s="158" t="n"/>
      <c r="W19" s="16" t="n"/>
      <c r="X19" s="18" t="n"/>
      <c r="Y19" s="18" t="n"/>
      <c r="Z19" s="18" t="n"/>
      <c r="AA19" s="18" t="n"/>
      <c r="AB19" s="18" t="n"/>
      <c r="AC19" s="18" t="n"/>
      <c r="AD19" s="18" t="n"/>
      <c r="AE19" s="18" t="n"/>
      <c r="AF19" s="18" t="n"/>
      <c r="AG19" s="18" t="n"/>
      <c r="AH19" s="18" t="n"/>
      <c r="AI19" s="18" t="n"/>
    </row>
    <row r="20">
      <c r="A20" s="9" t="inlineStr">
        <is>
          <t>2016--</t>
        </is>
      </c>
      <c r="B20" s="10">
        <f>LEFT(creditcard[[#This Row],[YYYYMM]],4)</f>
        <v/>
      </c>
      <c r="C20" s="10">
        <f>RIGHT(creditcard[[#This Row],[YYYYMM]],2)</f>
        <v/>
      </c>
      <c r="D20" s="10">
        <f>IF(RIGHT(creditcard[[#This Row],[YYYYMM]],2)="--","--","Q"&amp;ROUNDUP(VALUE(RIGHT(creditcard[[#This Row],[YYYYMM]],2))/3,0))</f>
        <v/>
      </c>
      <c r="E20" s="10" t="n">
        <v>8</v>
      </c>
      <c r="F20" s="151" t="inlineStr">
        <is>
          <t>永豐</t>
        </is>
      </c>
      <c r="G20" s="152" t="inlineStr">
        <is>
          <t>08 永豐</t>
        </is>
      </c>
      <c r="H20" s="153" t="n">
        <v>1935059</v>
      </c>
      <c r="I20" s="153" t="n">
        <v>1273076</v>
      </c>
      <c r="J20" s="153" t="n">
        <v>459777</v>
      </c>
      <c r="K20" s="153" t="n">
        <v>669638</v>
      </c>
      <c r="L20" s="153" t="n">
        <v>4875</v>
      </c>
      <c r="M20" s="11" t="n"/>
      <c r="N20" s="153" t="n">
        <v>87232</v>
      </c>
      <c r="O20" s="11" t="n"/>
      <c r="P20" s="11" t="n"/>
      <c r="Q20" s="12" t="n"/>
      <c r="R20" s="11" t="n"/>
      <c r="S20" s="11" t="n"/>
      <c r="T20" s="11" t="n"/>
      <c r="U20" s="11" t="n"/>
      <c r="V20" s="154" t="n"/>
      <c r="W20" s="11" t="n"/>
      <c r="X20" s="13" t="n"/>
      <c r="Y20" s="13" t="n"/>
      <c r="Z20" s="13" t="n"/>
      <c r="AA20" s="13" t="n"/>
      <c r="AB20" s="13" t="n"/>
      <c r="AC20" s="13" t="n"/>
      <c r="AD20" s="13" t="n"/>
      <c r="AE20" s="13" t="n"/>
      <c r="AF20" s="13" t="n"/>
      <c r="AG20" s="13" t="n"/>
      <c r="AH20" s="13" t="n"/>
      <c r="AI20" s="13" t="n"/>
    </row>
    <row r="21">
      <c r="A21" s="14" t="inlineStr">
        <is>
          <t>2016--</t>
        </is>
      </c>
      <c r="B21" s="15">
        <f>LEFT(creditcard[[#This Row],[YYYYMM]],4)</f>
        <v/>
      </c>
      <c r="C21" s="15">
        <f>RIGHT(creditcard[[#This Row],[YYYYMM]],2)</f>
        <v/>
      </c>
      <c r="D21" s="15">
        <f>IF(RIGHT(creditcard[[#This Row],[YYYYMM]],2)="--","--","Q"&amp;ROUNDUP(VALUE(RIGHT(creditcard[[#This Row],[YYYYMM]],2))/3,0))</f>
        <v/>
      </c>
      <c r="E21" s="15" t="n">
        <v>9</v>
      </c>
      <c r="F21" s="155" t="inlineStr">
        <is>
          <t>第一</t>
        </is>
      </c>
      <c r="G21" s="156" t="inlineStr">
        <is>
          <t>09 第一</t>
        </is>
      </c>
      <c r="H21" s="157" t="n">
        <v>951071</v>
      </c>
      <c r="I21" s="157" t="n">
        <v>640575</v>
      </c>
      <c r="J21" s="157" t="n">
        <v>127245</v>
      </c>
      <c r="K21" s="157" t="n">
        <v>112519</v>
      </c>
      <c r="L21" s="157" t="n">
        <v>1471</v>
      </c>
      <c r="M21" s="16" t="n"/>
      <c r="N21" s="157" t="n">
        <v>48750</v>
      </c>
      <c r="O21" s="16" t="n"/>
      <c r="P21" s="16" t="n"/>
      <c r="Q21" s="17" t="n"/>
      <c r="R21" s="16" t="n"/>
      <c r="S21" s="16" t="n"/>
      <c r="T21" s="16" t="n"/>
      <c r="U21" s="16" t="n"/>
      <c r="V21" s="158" t="n"/>
      <c r="W21" s="16" t="n"/>
      <c r="X21" s="18" t="n"/>
      <c r="Y21" s="18" t="n"/>
      <c r="Z21" s="18" t="n"/>
      <c r="AA21" s="18" t="n"/>
      <c r="AB21" s="18" t="n"/>
      <c r="AC21" s="18" t="n"/>
      <c r="AD21" s="18" t="n"/>
      <c r="AE21" s="18" t="n"/>
      <c r="AF21" s="18" t="n"/>
      <c r="AG21" s="18" t="n"/>
      <c r="AH21" s="18" t="n"/>
      <c r="AI21" s="18" t="n"/>
    </row>
    <row r="22">
      <c r="A22" s="9" t="inlineStr">
        <is>
          <t>2016--</t>
        </is>
      </c>
      <c r="B22" s="10">
        <f>LEFT(creditcard[[#This Row],[YYYYMM]],4)</f>
        <v/>
      </c>
      <c r="C22" s="10">
        <f>RIGHT(creditcard[[#This Row],[YYYYMM]],2)</f>
        <v/>
      </c>
      <c r="D22" s="10">
        <f>IF(RIGHT(creditcard[[#This Row],[YYYYMM]],2)="--","--","Q"&amp;ROUNDUP(VALUE(RIGHT(creditcard[[#This Row],[YYYYMM]],2))/3,0))</f>
        <v/>
      </c>
      <c r="E22" s="10" t="n">
        <v>10</v>
      </c>
      <c r="F22" s="151" t="inlineStr">
        <is>
          <t>遠東</t>
        </is>
      </c>
      <c r="G22" s="152" t="inlineStr">
        <is>
          <t>10 遠東</t>
        </is>
      </c>
      <c r="H22" s="153" t="n">
        <v>1790432</v>
      </c>
      <c r="I22" s="153" t="n">
        <v>1095414</v>
      </c>
      <c r="J22" s="153" t="n">
        <v>549255</v>
      </c>
      <c r="K22" s="153" t="n">
        <v>257211</v>
      </c>
      <c r="L22" s="153" t="n">
        <v>4688</v>
      </c>
      <c r="M22" s="11" t="n"/>
      <c r="N22" s="153" t="n">
        <v>55906</v>
      </c>
      <c r="O22" s="11" t="n"/>
      <c r="P22" s="11" t="n"/>
      <c r="Q22" s="12" t="n"/>
      <c r="R22" s="11" t="n"/>
      <c r="S22" s="11" t="n"/>
      <c r="T22" s="11" t="n"/>
      <c r="U22" s="11" t="n"/>
      <c r="V22" s="154" t="n"/>
      <c r="W22" s="11" t="n"/>
      <c r="X22" s="13" t="n"/>
      <c r="Y22" s="13" t="n"/>
      <c r="Z22" s="13" t="n"/>
      <c r="AA22" s="13" t="n"/>
      <c r="AB22" s="13" t="n"/>
      <c r="AC22" s="13" t="n"/>
      <c r="AD22" s="13" t="n"/>
      <c r="AE22" s="13" t="n"/>
      <c r="AF22" s="13" t="n"/>
      <c r="AG22" s="13" t="n"/>
      <c r="AH22" s="13" t="n"/>
      <c r="AI22" s="13" t="n"/>
    </row>
    <row r="23">
      <c r="A23" s="14" t="inlineStr">
        <is>
          <t>2016--</t>
        </is>
      </c>
      <c r="B23" s="15">
        <f>LEFT(creditcard[[#This Row],[YYYYMM]],4)</f>
        <v/>
      </c>
      <c r="C23" s="15">
        <f>RIGHT(creditcard[[#This Row],[YYYYMM]],2)</f>
        <v/>
      </c>
      <c r="D23" s="15">
        <f>IF(RIGHT(creditcard[[#This Row],[YYYYMM]],2)="--","--","Q"&amp;ROUNDUP(VALUE(RIGHT(creditcard[[#This Row],[YYYYMM]],2))/3,0))</f>
        <v/>
      </c>
      <c r="E23" s="15" t="n">
        <v>11</v>
      </c>
      <c r="F23" s="155" t="inlineStr">
        <is>
          <t>市場總計</t>
        </is>
      </c>
      <c r="G23" s="156" t="inlineStr">
        <is>
          <t>11 市場總計</t>
        </is>
      </c>
      <c r="H23" s="157" t="n">
        <v>40701606</v>
      </c>
      <c r="I23" s="157" t="n">
        <v>27023826</v>
      </c>
      <c r="J23" s="157" t="n">
        <v>6621020</v>
      </c>
      <c r="K23" s="157" t="n">
        <v>4569737</v>
      </c>
      <c r="L23" s="157" t="n">
        <v>109084</v>
      </c>
      <c r="M23" s="16" t="n"/>
      <c r="N23" s="157" t="n">
        <v>2422232</v>
      </c>
      <c r="O23" s="16" t="n"/>
      <c r="P23" s="16" t="n"/>
      <c r="Q23" s="17" t="n"/>
      <c r="R23" s="16" t="n"/>
      <c r="S23" s="16" t="n"/>
      <c r="T23" s="16" t="n"/>
      <c r="U23" s="16" t="n"/>
      <c r="V23" s="158" t="n">
        <v>3.94013610842207</v>
      </c>
      <c r="W23" s="16">
        <f>SUMIFS(H:H,A:A,creditcard[[#This Row],[YYYYMM]],G:G,creditcard[[#This Row],[Item]])</f>
        <v/>
      </c>
      <c r="X23" s="4">
        <f>IFERROR(SUMIFS(H:H,A:A,creditcard[[#This Row],[YYYYMM]],E:E,"&lt;=5")/creditcard[[#This Row],[市場總計]],"")</f>
        <v/>
      </c>
      <c r="Y23" s="4">
        <f>IFERROR(SUMIFS(H:H,A:A,creditcard[[#This Row],[YYYYMM]],E:E,"&lt;=10")/creditcard[[#This Row],[市場總計]],"")</f>
        <v/>
      </c>
      <c r="Z23" s="4">
        <f>IFERROR(SUMIFS(I:I,A:A,creditcard[[#This Row],[YYYYMM]],E:E,"&lt;=5")/creditcard[[#This Row],[有效卡數]],"")</f>
        <v/>
      </c>
      <c r="AA23" s="4">
        <f>IFERROR(SUMIFS(I:I,A:A,creditcard[[#This Row],[YYYYMM]],E:E,"&lt;=10")/creditcard[[#This Row],[有效卡數]],"")</f>
        <v/>
      </c>
      <c r="AB23" s="4">
        <f>IFERROR(SUMIFS(J:J,A:A,creditcard[[#This Row],[YYYYMM]],E:E,"&lt;=5")/creditcard[[#This Row],[當月發卡數]],"")</f>
        <v/>
      </c>
      <c r="AC23" s="4">
        <f>IFERROR(SUMIFS(J:J,A:A,creditcard[[#This Row],[YYYYMM]],E:E,"&lt;=10")/creditcard[[#This Row],[當月發卡數]],"")</f>
        <v/>
      </c>
      <c r="AD23" s="4">
        <f>IFERROR(SUMIFS(K:K,A:A,creditcard[[#This Row],[YYYYMM]],E:E,"&lt;=5")/creditcard[[#This Row],[當月停卡數]],"")</f>
        <v/>
      </c>
      <c r="AE23" s="4">
        <f>IFERROR(SUMIFS(K:K,A:A,creditcard[[#This Row],[YYYYMM]],E:E,"&lt;=10")/creditcard[[#This Row],[當月停卡數]],"")</f>
        <v/>
      </c>
      <c r="AF23" s="4">
        <f>IFERROR(SUMIFS(L:L,A:A,creditcard[[#This Row],[YYYYMM]],E:E,"&lt;=5")/creditcard[[#This Row],[循環信用餘額]],"")</f>
        <v/>
      </c>
      <c r="AG23" s="4">
        <f>IFERROR(SUMIFS(L:L,A:A,creditcard[[#This Row],[YYYYMM]],E:E,"&lt;=10")/creditcard[[#This Row],[循環信用餘額]],"")</f>
        <v/>
      </c>
      <c r="AH23" s="4">
        <f>IFERROR(SUMIFS(N:N,A:A,creditcard[[#This Row],[YYYYMM]],E:E,"&lt;=5")/creditcard[[#This Row],[當月簽帳金額]],"")</f>
        <v/>
      </c>
      <c r="AI23" s="4">
        <f>IFERROR(SUMIFS(N:N,A:A,creditcard[[#This Row],[YYYYMM]],E:E,"&lt;=10")/creditcard[[#This Row],[當月簽帳金額]],"")</f>
        <v/>
      </c>
    </row>
    <row r="24">
      <c r="A24" s="9" t="inlineStr">
        <is>
          <t>2017--</t>
        </is>
      </c>
      <c r="B24" s="10">
        <f>LEFT(creditcard[[#This Row],[YYYYMM]],4)</f>
        <v/>
      </c>
      <c r="C24" s="10">
        <f>RIGHT(creditcard[[#This Row],[YYYYMM]],2)</f>
        <v/>
      </c>
      <c r="D24" s="10">
        <f>IF(RIGHT(creditcard[[#This Row],[YYYYMM]],2)="--","--","Q"&amp;ROUNDUP(VALUE(RIGHT(creditcard[[#This Row],[YYYYMM]],2))/3,0))</f>
        <v/>
      </c>
      <c r="E24" s="10" t="n">
        <v>1</v>
      </c>
      <c r="F24" s="151" t="inlineStr">
        <is>
          <t>中信</t>
        </is>
      </c>
      <c r="G24" s="152" t="inlineStr">
        <is>
          <t>01 中信</t>
        </is>
      </c>
      <c r="H24" s="153" t="n">
        <v>6361648</v>
      </c>
      <c r="I24" s="153" t="n">
        <v>4106622</v>
      </c>
      <c r="J24" s="153" t="n">
        <v>914255</v>
      </c>
      <c r="K24" s="153" t="n">
        <v>510491</v>
      </c>
      <c r="L24" s="153" t="n">
        <v>16500</v>
      </c>
      <c r="M24" s="11" t="n"/>
      <c r="N24" s="153" t="n">
        <v>389798</v>
      </c>
      <c r="O24" s="11" t="n"/>
      <c r="P24" s="11" t="n"/>
      <c r="Q24" s="12" t="n"/>
      <c r="R24" s="11" t="n"/>
      <c r="S24" s="11" t="n"/>
      <c r="T24" s="11" t="n"/>
      <c r="U24" s="11" t="n"/>
      <c r="V24" s="154" t="n"/>
      <c r="W24" s="11" t="n"/>
      <c r="X24" s="13" t="n"/>
      <c r="Y24" s="13" t="n"/>
      <c r="Z24" s="13" t="n"/>
      <c r="AA24" s="13" t="n"/>
      <c r="AB24" s="13" t="n"/>
      <c r="AC24" s="13" t="n"/>
      <c r="AD24" s="13" t="n"/>
      <c r="AE24" s="13" t="n"/>
      <c r="AF24" s="13" t="n"/>
      <c r="AG24" s="13" t="n"/>
      <c r="AH24" s="13" t="n"/>
      <c r="AI24" s="13" t="n"/>
    </row>
    <row r="25">
      <c r="A25" s="14" t="inlineStr">
        <is>
          <t>2017--</t>
        </is>
      </c>
      <c r="B25" s="15">
        <f>LEFT(creditcard[[#This Row],[YYYYMM]],4)</f>
        <v/>
      </c>
      <c r="C25" s="15">
        <f>RIGHT(creditcard[[#This Row],[YYYYMM]],2)</f>
        <v/>
      </c>
      <c r="D25" s="15">
        <f>IF(RIGHT(creditcard[[#This Row],[YYYYMM]],2)="--","--","Q"&amp;ROUNDUP(VALUE(RIGHT(creditcard[[#This Row],[YYYYMM]],2))/3,0))</f>
        <v/>
      </c>
      <c r="E25" s="15" t="n">
        <v>2</v>
      </c>
      <c r="F25" s="155" t="inlineStr">
        <is>
          <t>富邦</t>
        </is>
      </c>
      <c r="G25" s="156" t="inlineStr">
        <is>
          <t>02 富邦</t>
        </is>
      </c>
      <c r="H25" s="157" t="n">
        <v>2371653</v>
      </c>
      <c r="I25" s="157" t="n">
        <v>1742111</v>
      </c>
      <c r="J25" s="157" t="n">
        <v>299995</v>
      </c>
      <c r="K25" s="157" t="n">
        <v>321302</v>
      </c>
      <c r="L25" s="157" t="n">
        <v>5582</v>
      </c>
      <c r="M25" s="16" t="n"/>
      <c r="N25" s="157" t="n">
        <v>215597</v>
      </c>
      <c r="O25" s="16" t="n"/>
      <c r="P25" s="16" t="n"/>
      <c r="Q25" s="17" t="n"/>
      <c r="R25" s="16" t="n"/>
      <c r="S25" s="16" t="n"/>
      <c r="T25" s="16" t="n"/>
      <c r="U25" s="16" t="n"/>
      <c r="V25" s="158" t="n"/>
      <c r="W25" s="16" t="n"/>
      <c r="X25" s="18" t="n"/>
      <c r="Y25" s="18" t="n"/>
      <c r="Z25" s="18" t="n"/>
      <c r="AA25" s="18" t="n"/>
      <c r="AB25" s="18" t="n"/>
      <c r="AC25" s="18" t="n"/>
      <c r="AD25" s="18" t="n"/>
      <c r="AE25" s="18" t="n"/>
      <c r="AF25" s="18" t="n"/>
      <c r="AG25" s="18" t="n"/>
      <c r="AH25" s="18" t="n"/>
      <c r="AI25" s="18" t="n"/>
    </row>
    <row r="26">
      <c r="A26" s="9" t="inlineStr">
        <is>
          <t>2017--</t>
        </is>
      </c>
      <c r="B26" s="10">
        <f>LEFT(creditcard[[#This Row],[YYYYMM]],4)</f>
        <v/>
      </c>
      <c r="C26" s="10">
        <f>RIGHT(creditcard[[#This Row],[YYYYMM]],2)</f>
        <v/>
      </c>
      <c r="D26" s="10">
        <f>IF(RIGHT(creditcard[[#This Row],[YYYYMM]],2)="--","--","Q"&amp;ROUNDUP(VALUE(RIGHT(creditcard[[#This Row],[YYYYMM]],2))/3,0))</f>
        <v/>
      </c>
      <c r="E26" s="10" t="n">
        <v>3</v>
      </c>
      <c r="F26" s="151" t="inlineStr">
        <is>
          <t>國泰</t>
        </is>
      </c>
      <c r="G26" s="152" t="inlineStr">
        <is>
          <t>03 國泰</t>
        </is>
      </c>
      <c r="H26" s="153" t="n">
        <v>6053831</v>
      </c>
      <c r="I26" s="153" t="n">
        <v>4356648</v>
      </c>
      <c r="J26" s="153" t="n">
        <v>732247</v>
      </c>
      <c r="K26" s="153" t="n">
        <v>568155</v>
      </c>
      <c r="L26" s="153" t="n">
        <v>16555</v>
      </c>
      <c r="M26" s="11" t="n"/>
      <c r="N26" s="153" t="n">
        <v>441591</v>
      </c>
      <c r="O26" s="11" t="n"/>
      <c r="P26" s="11" t="n"/>
      <c r="Q26" s="12" t="n"/>
      <c r="R26" s="11" t="n"/>
      <c r="S26" s="11" t="n"/>
      <c r="T26" s="11" t="n"/>
      <c r="U26" s="11" t="n"/>
      <c r="V26" s="154" t="n"/>
      <c r="W26" s="11" t="n"/>
      <c r="X26" s="13" t="n"/>
      <c r="Y26" s="13" t="n"/>
      <c r="Z26" s="13" t="n"/>
      <c r="AA26" s="13" t="n"/>
      <c r="AB26" s="13" t="n"/>
      <c r="AC26" s="13" t="n"/>
      <c r="AD26" s="13" t="n"/>
      <c r="AE26" s="13" t="n"/>
      <c r="AF26" s="13" t="n"/>
      <c r="AG26" s="13" t="n"/>
      <c r="AH26" s="13" t="n"/>
      <c r="AI26" s="13" t="n"/>
    </row>
    <row r="27">
      <c r="A27" s="14" t="inlineStr">
        <is>
          <t>2017--</t>
        </is>
      </c>
      <c r="B27" s="15">
        <f>LEFT(creditcard[[#This Row],[YYYYMM]],4)</f>
        <v/>
      </c>
      <c r="C27" s="15">
        <f>RIGHT(creditcard[[#This Row],[YYYYMM]],2)</f>
        <v/>
      </c>
      <c r="D27" s="15">
        <f>IF(RIGHT(creditcard[[#This Row],[YYYYMM]],2)="--","--","Q"&amp;ROUNDUP(VALUE(RIGHT(creditcard[[#This Row],[YYYYMM]],2))/3,0))</f>
        <v/>
      </c>
      <c r="E27" s="15" t="n">
        <v>4</v>
      </c>
      <c r="F27" s="155" t="inlineStr">
        <is>
          <t>玉山</t>
        </is>
      </c>
      <c r="G27" s="156" t="inlineStr">
        <is>
          <t>04 玉山</t>
        </is>
      </c>
      <c r="H27" s="157" t="n">
        <v>4573228</v>
      </c>
      <c r="I27" s="157" t="n">
        <v>3218922</v>
      </c>
      <c r="J27" s="157" t="n">
        <v>584989</v>
      </c>
      <c r="K27" s="157" t="n">
        <v>305648</v>
      </c>
      <c r="L27" s="157" t="n">
        <v>12211</v>
      </c>
      <c r="M27" s="16" t="n"/>
      <c r="N27" s="157" t="n">
        <v>316076</v>
      </c>
      <c r="O27" s="16" t="n"/>
      <c r="P27" s="16" t="n"/>
      <c r="Q27" s="17" t="n"/>
      <c r="R27" s="16" t="n"/>
      <c r="S27" s="16" t="n"/>
      <c r="T27" s="16" t="n"/>
      <c r="U27" s="16" t="n"/>
      <c r="V27" s="158" t="n"/>
      <c r="W27" s="16" t="n"/>
      <c r="X27" s="18" t="n"/>
      <c r="Y27" s="18" t="n"/>
      <c r="Z27" s="18" t="n"/>
      <c r="AA27" s="18" t="n"/>
      <c r="AB27" s="18" t="n"/>
      <c r="AC27" s="18" t="n"/>
      <c r="AD27" s="18" t="n"/>
      <c r="AE27" s="18" t="n"/>
      <c r="AF27" s="18" t="n"/>
      <c r="AG27" s="18" t="n"/>
      <c r="AH27" s="18" t="n"/>
      <c r="AI27" s="18" t="n"/>
    </row>
    <row r="28">
      <c r="A28" s="9" t="inlineStr">
        <is>
          <t>2017--</t>
        </is>
      </c>
      <c r="B28" s="10">
        <f>LEFT(creditcard[[#This Row],[YYYYMM]],4)</f>
        <v/>
      </c>
      <c r="C28" s="10">
        <f>RIGHT(creditcard[[#This Row],[YYYYMM]],2)</f>
        <v/>
      </c>
      <c r="D28" s="10">
        <f>IF(RIGHT(creditcard[[#This Row],[YYYYMM]],2)="--","--","Q"&amp;ROUNDUP(VALUE(RIGHT(creditcard[[#This Row],[YYYYMM]],2))/3,0))</f>
        <v/>
      </c>
      <c r="E28" s="10" t="n">
        <v>5</v>
      </c>
      <c r="F28" s="151" t="inlineStr">
        <is>
          <t>台新</t>
        </is>
      </c>
      <c r="G28" s="152" t="inlineStr">
        <is>
          <t>05 台新</t>
        </is>
      </c>
      <c r="H28" s="153" t="n">
        <v>4119324</v>
      </c>
      <c r="I28" s="153" t="n">
        <v>2920177</v>
      </c>
      <c r="J28" s="153" t="n">
        <v>616649</v>
      </c>
      <c r="K28" s="153" t="n">
        <v>273849</v>
      </c>
      <c r="L28" s="153" t="n">
        <v>10305</v>
      </c>
      <c r="M28" s="11" t="n"/>
      <c r="N28" s="153" t="n">
        <v>242423</v>
      </c>
      <c r="O28" s="11" t="n"/>
      <c r="P28" s="11" t="n"/>
      <c r="Q28" s="12" t="n"/>
      <c r="R28" s="11" t="n"/>
      <c r="S28" s="11" t="n"/>
      <c r="T28" s="11" t="n"/>
      <c r="U28" s="11" t="n"/>
      <c r="V28" s="154" t="n"/>
      <c r="W28" s="11" t="n"/>
      <c r="X28" s="13" t="n"/>
      <c r="Y28" s="13" t="n"/>
      <c r="Z28" s="13" t="n"/>
      <c r="AA28" s="13" t="n"/>
      <c r="AB28" s="13" t="n"/>
      <c r="AC28" s="13" t="n"/>
      <c r="AD28" s="13" t="n"/>
      <c r="AE28" s="13" t="n"/>
      <c r="AF28" s="13" t="n"/>
      <c r="AG28" s="13" t="n"/>
      <c r="AH28" s="13" t="n"/>
      <c r="AI28" s="13" t="n"/>
    </row>
    <row r="29">
      <c r="A29" s="14" t="inlineStr">
        <is>
          <t>2017--</t>
        </is>
      </c>
      <c r="B29" s="15">
        <f>LEFT(creditcard[[#This Row],[YYYYMM]],4)</f>
        <v/>
      </c>
      <c r="C29" s="15">
        <f>RIGHT(creditcard[[#This Row],[YYYYMM]],2)</f>
        <v/>
      </c>
      <c r="D29" s="15">
        <f>IF(RIGHT(creditcard[[#This Row],[YYYYMM]],2)="--","--","Q"&amp;ROUNDUP(VALUE(RIGHT(creditcard[[#This Row],[YYYYMM]],2))/3,0))</f>
        <v/>
      </c>
      <c r="E29" s="15" t="n">
        <v>6</v>
      </c>
      <c r="F29" s="155" t="inlineStr">
        <is>
          <t>星展</t>
        </is>
      </c>
      <c r="G29" s="156" t="inlineStr">
        <is>
          <t>06 星展</t>
        </is>
      </c>
      <c r="H29" s="157" t="n">
        <v>548108</v>
      </c>
      <c r="I29" s="157" t="n">
        <v>321791</v>
      </c>
      <c r="J29" s="157" t="n">
        <v>527</v>
      </c>
      <c r="K29" s="157" t="n">
        <v>5387</v>
      </c>
      <c r="L29" s="157" t="n">
        <v>1835</v>
      </c>
      <c r="M29" s="16" t="n"/>
      <c r="N29" s="157" t="n">
        <v>2267</v>
      </c>
      <c r="O29" s="16" t="n"/>
      <c r="P29" s="16" t="n"/>
      <c r="Q29" s="17" t="n"/>
      <c r="R29" s="16" t="n"/>
      <c r="S29" s="16" t="n"/>
      <c r="T29" s="16" t="n"/>
      <c r="U29" s="16" t="n"/>
      <c r="V29" s="158" t="n"/>
      <c r="W29" s="16" t="n"/>
      <c r="X29" s="18" t="n"/>
      <c r="Y29" s="18" t="n"/>
      <c r="Z29" s="18" t="n"/>
      <c r="AA29" s="18" t="n"/>
      <c r="AB29" s="18" t="n"/>
      <c r="AC29" s="18" t="n"/>
      <c r="AD29" s="18" t="n"/>
      <c r="AE29" s="18" t="n"/>
      <c r="AF29" s="18" t="n"/>
      <c r="AG29" s="18" t="n"/>
      <c r="AH29" s="18" t="n"/>
      <c r="AI29" s="18" t="n"/>
    </row>
    <row r="30">
      <c r="A30" s="9" t="inlineStr">
        <is>
          <t>2017--</t>
        </is>
      </c>
      <c r="B30" s="10">
        <f>LEFT(creditcard[[#This Row],[YYYYMM]],4)</f>
        <v/>
      </c>
      <c r="C30" s="10">
        <f>RIGHT(creditcard[[#This Row],[YYYYMM]],2)</f>
        <v/>
      </c>
      <c r="D30" s="10">
        <f>IF(RIGHT(creditcard[[#This Row],[YYYYMM]],2)="--","--","Q"&amp;ROUNDUP(VALUE(RIGHT(creditcard[[#This Row],[YYYYMM]],2))/3,0))</f>
        <v/>
      </c>
      <c r="E30" s="10" t="n">
        <v>7</v>
      </c>
      <c r="F30" s="151" t="inlineStr">
        <is>
          <t>聯邦</t>
        </is>
      </c>
      <c r="G30" s="152" t="inlineStr">
        <is>
          <t>07 聯邦</t>
        </is>
      </c>
      <c r="H30" s="153" t="n">
        <v>2036860</v>
      </c>
      <c r="I30" s="153" t="n">
        <v>1152629</v>
      </c>
      <c r="J30" s="153" t="n">
        <v>300525</v>
      </c>
      <c r="K30" s="153" t="n">
        <v>278735</v>
      </c>
      <c r="L30" s="153" t="n">
        <v>5439</v>
      </c>
      <c r="M30" s="11" t="n"/>
      <c r="N30" s="153" t="n">
        <v>85760</v>
      </c>
      <c r="O30" s="11" t="n"/>
      <c r="P30" s="11" t="n"/>
      <c r="Q30" s="12" t="n"/>
      <c r="R30" s="11" t="n"/>
      <c r="S30" s="11" t="n"/>
      <c r="T30" s="11" t="n"/>
      <c r="U30" s="11" t="n"/>
      <c r="V30" s="154" t="n"/>
      <c r="W30" s="11" t="n"/>
      <c r="X30" s="13" t="n"/>
      <c r="Y30" s="13" t="n"/>
      <c r="Z30" s="13" t="n"/>
      <c r="AA30" s="13" t="n"/>
      <c r="AB30" s="13" t="n"/>
      <c r="AC30" s="13" t="n"/>
      <c r="AD30" s="13" t="n"/>
      <c r="AE30" s="13" t="n"/>
      <c r="AF30" s="13" t="n"/>
      <c r="AG30" s="13" t="n"/>
      <c r="AH30" s="13" t="n"/>
      <c r="AI30" s="13" t="n"/>
    </row>
    <row r="31">
      <c r="A31" s="14" t="inlineStr">
        <is>
          <t>2017--</t>
        </is>
      </c>
      <c r="B31" s="15">
        <f>LEFT(creditcard[[#This Row],[YYYYMM]],4)</f>
        <v/>
      </c>
      <c r="C31" s="15">
        <f>RIGHT(creditcard[[#This Row],[YYYYMM]],2)</f>
        <v/>
      </c>
      <c r="D31" s="15">
        <f>IF(RIGHT(creditcard[[#This Row],[YYYYMM]],2)="--","--","Q"&amp;ROUNDUP(VALUE(RIGHT(creditcard[[#This Row],[YYYYMM]],2))/3,0))</f>
        <v/>
      </c>
      <c r="E31" s="15" t="n">
        <v>8</v>
      </c>
      <c r="F31" s="155" t="inlineStr">
        <is>
          <t>永豐</t>
        </is>
      </c>
      <c r="G31" s="156" t="inlineStr">
        <is>
          <t>08 永豐</t>
        </is>
      </c>
      <c r="H31" s="157" t="n">
        <v>1784613</v>
      </c>
      <c r="I31" s="157" t="n">
        <v>1030411</v>
      </c>
      <c r="J31" s="157" t="n">
        <v>170412</v>
      </c>
      <c r="K31" s="157" t="n">
        <v>321425</v>
      </c>
      <c r="L31" s="157" t="n">
        <v>4672</v>
      </c>
      <c r="M31" s="16" t="n"/>
      <c r="N31" s="157" t="n">
        <v>80931</v>
      </c>
      <c r="O31" s="16" t="n"/>
      <c r="P31" s="16" t="n"/>
      <c r="Q31" s="17" t="n"/>
      <c r="R31" s="16" t="n"/>
      <c r="S31" s="16" t="n"/>
      <c r="T31" s="16" t="n"/>
      <c r="U31" s="16" t="n"/>
      <c r="V31" s="158" t="n"/>
      <c r="W31" s="16" t="n"/>
      <c r="X31" s="18" t="n"/>
      <c r="Y31" s="18" t="n"/>
      <c r="Z31" s="18" t="n"/>
      <c r="AA31" s="18" t="n"/>
      <c r="AB31" s="18" t="n"/>
      <c r="AC31" s="18" t="n"/>
      <c r="AD31" s="18" t="n"/>
      <c r="AE31" s="18" t="n"/>
      <c r="AF31" s="18" t="n"/>
      <c r="AG31" s="18" t="n"/>
      <c r="AH31" s="18" t="n"/>
      <c r="AI31" s="18" t="n"/>
    </row>
    <row r="32">
      <c r="A32" s="9" t="inlineStr">
        <is>
          <t>2017--</t>
        </is>
      </c>
      <c r="B32" s="10">
        <f>LEFT(creditcard[[#This Row],[YYYYMM]],4)</f>
        <v/>
      </c>
      <c r="C32" s="10">
        <f>RIGHT(creditcard[[#This Row],[YYYYMM]],2)</f>
        <v/>
      </c>
      <c r="D32" s="10">
        <f>IF(RIGHT(creditcard[[#This Row],[YYYYMM]],2)="--","--","Q"&amp;ROUNDUP(VALUE(RIGHT(creditcard[[#This Row],[YYYYMM]],2))/3,0))</f>
        <v/>
      </c>
      <c r="E32" s="10" t="n">
        <v>9</v>
      </c>
      <c r="F32" s="151" t="inlineStr">
        <is>
          <t>第一</t>
        </is>
      </c>
      <c r="G32" s="152" t="inlineStr">
        <is>
          <t>09 第一</t>
        </is>
      </c>
      <c r="H32" s="153" t="n">
        <v>1000449</v>
      </c>
      <c r="I32" s="153" t="n">
        <v>654065</v>
      </c>
      <c r="J32" s="153" t="n">
        <v>124253</v>
      </c>
      <c r="K32" s="153" t="n">
        <v>110385</v>
      </c>
      <c r="L32" s="153" t="n">
        <v>1471</v>
      </c>
      <c r="M32" s="11" t="n"/>
      <c r="N32" s="153" t="n">
        <v>50449</v>
      </c>
      <c r="O32" s="11" t="n"/>
      <c r="P32" s="11" t="n"/>
      <c r="Q32" s="12" t="n"/>
      <c r="R32" s="11" t="n"/>
      <c r="S32" s="11" t="n"/>
      <c r="T32" s="11" t="n"/>
      <c r="U32" s="11" t="n"/>
      <c r="V32" s="154" t="n"/>
      <c r="W32" s="11" t="n"/>
      <c r="X32" s="13" t="n"/>
      <c r="Y32" s="13" t="n"/>
      <c r="Z32" s="13" t="n"/>
      <c r="AA32" s="13" t="n"/>
      <c r="AB32" s="13" t="n"/>
      <c r="AC32" s="13" t="n"/>
      <c r="AD32" s="13" t="n"/>
      <c r="AE32" s="13" t="n"/>
      <c r="AF32" s="13" t="n"/>
      <c r="AG32" s="13" t="n"/>
      <c r="AH32" s="13" t="n"/>
      <c r="AI32" s="13" t="n"/>
    </row>
    <row r="33">
      <c r="A33" s="14" t="inlineStr">
        <is>
          <t>2017--</t>
        </is>
      </c>
      <c r="B33" s="15">
        <f>LEFT(creditcard[[#This Row],[YYYYMM]],4)</f>
        <v/>
      </c>
      <c r="C33" s="15">
        <f>RIGHT(creditcard[[#This Row],[YYYYMM]],2)</f>
        <v/>
      </c>
      <c r="D33" s="15">
        <f>IF(RIGHT(creditcard[[#This Row],[YYYYMM]],2)="--","--","Q"&amp;ROUNDUP(VALUE(RIGHT(creditcard[[#This Row],[YYYYMM]],2))/3,0))</f>
        <v/>
      </c>
      <c r="E33" s="15" t="n">
        <v>10</v>
      </c>
      <c r="F33" s="155" t="inlineStr">
        <is>
          <t>遠東</t>
        </is>
      </c>
      <c r="G33" s="156" t="inlineStr">
        <is>
          <t>10 遠東</t>
        </is>
      </c>
      <c r="H33" s="157" t="n">
        <v>1481903</v>
      </c>
      <c r="I33" s="157" t="n">
        <v>980455</v>
      </c>
      <c r="J33" s="157" t="n">
        <v>175846</v>
      </c>
      <c r="K33" s="157" t="n">
        <v>485018</v>
      </c>
      <c r="L33" s="157" t="n">
        <v>4524</v>
      </c>
      <c r="M33" s="16" t="n"/>
      <c r="N33" s="157" t="n">
        <v>52809</v>
      </c>
      <c r="O33" s="16" t="n"/>
      <c r="P33" s="16" t="n"/>
      <c r="Q33" s="17" t="n"/>
      <c r="R33" s="16" t="n"/>
      <c r="S33" s="16" t="n"/>
      <c r="T33" s="16" t="n"/>
      <c r="U33" s="16" t="n"/>
      <c r="V33" s="158" t="n"/>
      <c r="W33" s="16" t="n"/>
      <c r="X33" s="18" t="n"/>
      <c r="Y33" s="18" t="n"/>
      <c r="Z33" s="18" t="n"/>
      <c r="AA33" s="18" t="n"/>
      <c r="AB33" s="18" t="n"/>
      <c r="AC33" s="18" t="n"/>
      <c r="AD33" s="18" t="n"/>
      <c r="AE33" s="18" t="n"/>
      <c r="AF33" s="18" t="n"/>
      <c r="AG33" s="18" t="n"/>
      <c r="AH33" s="18" t="n"/>
      <c r="AI33" s="18" t="n"/>
    </row>
    <row r="34">
      <c r="A34" s="9" t="inlineStr">
        <is>
          <t>2017--</t>
        </is>
      </c>
      <c r="B34" s="10">
        <f>LEFT(creditcard[[#This Row],[YYYYMM]],4)</f>
        <v/>
      </c>
      <c r="C34" s="10">
        <f>RIGHT(creditcard[[#This Row],[YYYYMM]],2)</f>
        <v/>
      </c>
      <c r="D34" s="10">
        <f>IF(RIGHT(creditcard[[#This Row],[YYYYMM]],2)="--","--","Q"&amp;ROUNDUP(VALUE(RIGHT(creditcard[[#This Row],[YYYYMM]],2))/3,0))</f>
        <v/>
      </c>
      <c r="E34" s="10" t="n">
        <v>11</v>
      </c>
      <c r="F34" s="151" t="inlineStr">
        <is>
          <t>市場總計</t>
        </is>
      </c>
      <c r="G34" s="152" t="inlineStr">
        <is>
          <t>11 市場總計</t>
        </is>
      </c>
      <c r="H34" s="153" t="n">
        <v>41729994</v>
      </c>
      <c r="I34" s="153" t="n">
        <v>28034710</v>
      </c>
      <c r="J34" s="153" t="n">
        <v>5666395</v>
      </c>
      <c r="K34" s="153" t="n">
        <v>4699348</v>
      </c>
      <c r="L34" s="153" t="n">
        <v>111114</v>
      </c>
      <c r="M34" s="11" t="n"/>
      <c r="N34" s="153" t="n">
        <v>2623159</v>
      </c>
      <c r="O34" s="11" t="n"/>
      <c r="P34" s="11" t="n"/>
      <c r="Q34" s="12" t="n"/>
      <c r="R34" s="11" t="n"/>
      <c r="S34" s="11" t="n"/>
      <c r="T34" s="11" t="n"/>
      <c r="U34" s="11" t="n"/>
      <c r="V34" s="154" t="n">
        <v>3.91830929577465</v>
      </c>
      <c r="W34" s="11">
        <f>SUMIFS(H:H,A:A,creditcard[[#This Row],[YYYYMM]],G:G,creditcard[[#This Row],[Item]])</f>
        <v/>
      </c>
      <c r="X34" s="4">
        <f>IFERROR(SUMIFS(H:H,A:A,creditcard[[#This Row],[YYYYMM]],E:E,"&lt;=5")/creditcard[[#This Row],[市場總計]],"")</f>
        <v/>
      </c>
      <c r="Y34" s="4">
        <f>IFERROR(SUMIFS(H:H,A:A,creditcard[[#This Row],[YYYYMM]],E:E,"&lt;=10")/creditcard[[#This Row],[市場總計]],"")</f>
        <v/>
      </c>
      <c r="Z34" s="4">
        <f>IFERROR(SUMIFS(I:I,A:A,creditcard[[#This Row],[YYYYMM]],E:E,"&lt;=5")/creditcard[[#This Row],[有效卡數]],"")</f>
        <v/>
      </c>
      <c r="AA34" s="4">
        <f>IFERROR(SUMIFS(I:I,A:A,creditcard[[#This Row],[YYYYMM]],E:E,"&lt;=10")/creditcard[[#This Row],[有效卡數]],"")</f>
        <v/>
      </c>
      <c r="AB34" s="4">
        <f>IFERROR(SUMIFS(J:J,A:A,creditcard[[#This Row],[YYYYMM]],E:E,"&lt;=5")/creditcard[[#This Row],[當月發卡數]],"")</f>
        <v/>
      </c>
      <c r="AC34" s="4">
        <f>IFERROR(SUMIFS(J:J,A:A,creditcard[[#This Row],[YYYYMM]],E:E,"&lt;=10")/creditcard[[#This Row],[當月發卡數]],"")</f>
        <v/>
      </c>
      <c r="AD34" s="4">
        <f>IFERROR(SUMIFS(K:K,A:A,creditcard[[#This Row],[YYYYMM]],E:E,"&lt;=5")/creditcard[[#This Row],[當月停卡數]],"")</f>
        <v/>
      </c>
      <c r="AE34" s="4">
        <f>IFERROR(SUMIFS(K:K,A:A,creditcard[[#This Row],[YYYYMM]],E:E,"&lt;=10")/creditcard[[#This Row],[當月停卡數]],"")</f>
        <v/>
      </c>
      <c r="AF34" s="4">
        <f>IFERROR(SUMIFS(L:L,A:A,creditcard[[#This Row],[YYYYMM]],E:E,"&lt;=5")/creditcard[[#This Row],[循環信用餘額]],"")</f>
        <v/>
      </c>
      <c r="AG34" s="4">
        <f>IFERROR(SUMIFS(L:L,A:A,creditcard[[#This Row],[YYYYMM]],E:E,"&lt;=10")/creditcard[[#This Row],[循環信用餘額]],"")</f>
        <v/>
      </c>
      <c r="AH34" s="4">
        <f>IFERROR(SUMIFS(N:N,A:A,creditcard[[#This Row],[YYYYMM]],E:E,"&lt;=5")/creditcard[[#This Row],[當月簽帳金額]],"")</f>
        <v/>
      </c>
      <c r="AI34" s="4">
        <f>IFERROR(SUMIFS(N:N,A:A,creditcard[[#This Row],[YYYYMM]],E:E,"&lt;=10")/creditcard[[#This Row],[當月簽帳金額]],"")</f>
        <v/>
      </c>
    </row>
    <row r="35">
      <c r="A35" s="14" t="inlineStr">
        <is>
          <t>2018--</t>
        </is>
      </c>
      <c r="B35" s="15">
        <f>LEFT(creditcard[[#This Row],[YYYYMM]],4)</f>
        <v/>
      </c>
      <c r="C35" s="15">
        <f>RIGHT(creditcard[[#This Row],[YYYYMM]],2)</f>
        <v/>
      </c>
      <c r="D35" s="15">
        <f>IF(RIGHT(creditcard[[#This Row],[YYYYMM]],2)="--","--","Q"&amp;ROUNDUP(VALUE(RIGHT(creditcard[[#This Row],[YYYYMM]],2))/3,0))</f>
        <v/>
      </c>
      <c r="E35" s="15" t="n">
        <v>1</v>
      </c>
      <c r="F35" s="155" t="inlineStr">
        <is>
          <t>中信</t>
        </is>
      </c>
      <c r="G35" s="156" t="inlineStr">
        <is>
          <t>01 中信</t>
        </is>
      </c>
      <c r="H35" s="157" t="n">
        <v>6835717</v>
      </c>
      <c r="I35" s="157" t="n">
        <v>4476559</v>
      </c>
      <c r="J35" s="157" t="n">
        <v>884748</v>
      </c>
      <c r="K35" s="157" t="n">
        <v>415338</v>
      </c>
      <c r="L35" s="157" t="n">
        <v>17724</v>
      </c>
      <c r="M35" s="16" t="n"/>
      <c r="N35" s="157" t="n">
        <v>488330</v>
      </c>
      <c r="O35" s="16" t="n"/>
      <c r="P35" s="16" t="n"/>
      <c r="Q35" s="17" t="n"/>
      <c r="R35" s="16" t="n"/>
      <c r="S35" s="16" t="n"/>
      <c r="T35" s="16" t="n"/>
      <c r="U35" s="16" t="n"/>
      <c r="V35" s="158" t="n"/>
      <c r="W35" s="16" t="n"/>
      <c r="X35" s="18" t="n"/>
      <c r="Y35" s="18" t="n"/>
      <c r="Z35" s="18" t="n"/>
      <c r="AA35" s="18" t="n"/>
      <c r="AB35" s="18" t="n"/>
      <c r="AC35" s="18" t="n"/>
      <c r="AD35" s="18" t="n"/>
      <c r="AE35" s="18" t="n"/>
      <c r="AF35" s="18" t="n"/>
      <c r="AG35" s="18" t="n"/>
      <c r="AH35" s="18" t="n"/>
      <c r="AI35" s="18" t="n"/>
    </row>
    <row r="36">
      <c r="A36" s="9" t="inlineStr">
        <is>
          <t>2018--</t>
        </is>
      </c>
      <c r="B36" s="10">
        <f>LEFT(creditcard[[#This Row],[YYYYMM]],4)</f>
        <v/>
      </c>
      <c r="C36" s="10">
        <f>RIGHT(creditcard[[#This Row],[YYYYMM]],2)</f>
        <v/>
      </c>
      <c r="D36" s="10">
        <f>IF(RIGHT(creditcard[[#This Row],[YYYYMM]],2)="--","--","Q"&amp;ROUNDUP(VALUE(RIGHT(creditcard[[#This Row],[YYYYMM]],2))/3,0))</f>
        <v/>
      </c>
      <c r="E36" s="10" t="n">
        <v>2</v>
      </c>
      <c r="F36" s="151" t="inlineStr">
        <is>
          <t>富邦</t>
        </is>
      </c>
      <c r="G36" s="152" t="inlineStr">
        <is>
          <t>02 富邦</t>
        </is>
      </c>
      <c r="H36" s="153" t="n">
        <v>2483835</v>
      </c>
      <c r="I36" s="153" t="n">
        <v>1779209</v>
      </c>
      <c r="J36" s="153" t="n">
        <v>267235</v>
      </c>
      <c r="K36" s="153" t="n">
        <v>155053</v>
      </c>
      <c r="L36" s="153" t="n">
        <v>5349</v>
      </c>
      <c r="M36" s="11" t="n"/>
      <c r="N36" s="153" t="n">
        <v>221320</v>
      </c>
      <c r="O36" s="11" t="n"/>
      <c r="P36" s="11" t="n"/>
      <c r="Q36" s="12" t="n"/>
      <c r="R36" s="11" t="n"/>
      <c r="S36" s="11" t="n"/>
      <c r="T36" s="11" t="n"/>
      <c r="U36" s="11" t="n"/>
      <c r="V36" s="154" t="n"/>
      <c r="W36" s="11" t="n"/>
      <c r="X36" s="13" t="n"/>
      <c r="Y36" s="13" t="n"/>
      <c r="Z36" s="13" t="n"/>
      <c r="AA36" s="13" t="n"/>
      <c r="AB36" s="13" t="n"/>
      <c r="AC36" s="13" t="n"/>
      <c r="AD36" s="13" t="n"/>
      <c r="AE36" s="13" t="n"/>
      <c r="AF36" s="13" t="n"/>
      <c r="AG36" s="13" t="n"/>
      <c r="AH36" s="13" t="n"/>
      <c r="AI36" s="13" t="n"/>
    </row>
    <row r="37">
      <c r="A37" s="14" t="inlineStr">
        <is>
          <t>2018--</t>
        </is>
      </c>
      <c r="B37" s="15">
        <f>LEFT(creditcard[[#This Row],[YYYYMM]],4)</f>
        <v/>
      </c>
      <c r="C37" s="15">
        <f>RIGHT(creditcard[[#This Row],[YYYYMM]],2)</f>
        <v/>
      </c>
      <c r="D37" s="15">
        <f>IF(RIGHT(creditcard[[#This Row],[YYYYMM]],2)="--","--","Q"&amp;ROUNDUP(VALUE(RIGHT(creditcard[[#This Row],[YYYYMM]],2))/3,0))</f>
        <v/>
      </c>
      <c r="E37" s="15" t="n">
        <v>3</v>
      </c>
      <c r="F37" s="155" t="inlineStr">
        <is>
          <t>國泰</t>
        </is>
      </c>
      <c r="G37" s="156" t="inlineStr">
        <is>
          <t>03 國泰</t>
        </is>
      </c>
      <c r="H37" s="157" t="n">
        <v>6351621</v>
      </c>
      <c r="I37" s="157" t="n">
        <v>4666053</v>
      </c>
      <c r="J37" s="157" t="n">
        <v>788420</v>
      </c>
      <c r="K37" s="157" t="n">
        <v>490630</v>
      </c>
      <c r="L37" s="157" t="n">
        <v>17791</v>
      </c>
      <c r="M37" s="16" t="n"/>
      <c r="N37" s="157" t="n">
        <v>489518</v>
      </c>
      <c r="O37" s="16" t="n"/>
      <c r="P37" s="16" t="n"/>
      <c r="Q37" s="17" t="n"/>
      <c r="R37" s="16" t="n"/>
      <c r="S37" s="16" t="n"/>
      <c r="T37" s="16" t="n"/>
      <c r="U37" s="16" t="n"/>
      <c r="V37" s="158" t="n"/>
      <c r="W37" s="16" t="n"/>
      <c r="X37" s="18" t="n"/>
      <c r="Y37" s="18" t="n"/>
      <c r="Z37" s="18" t="n"/>
      <c r="AA37" s="18" t="n"/>
      <c r="AB37" s="18" t="n"/>
      <c r="AC37" s="18" t="n"/>
      <c r="AD37" s="18" t="n"/>
      <c r="AE37" s="18" t="n"/>
      <c r="AF37" s="18" t="n"/>
      <c r="AG37" s="18" t="n"/>
      <c r="AH37" s="18" t="n"/>
      <c r="AI37" s="18" t="n"/>
    </row>
    <row r="38">
      <c r="A38" s="9" t="inlineStr">
        <is>
          <t>2018--</t>
        </is>
      </c>
      <c r="B38" s="10">
        <f>LEFT(creditcard[[#This Row],[YYYYMM]],4)</f>
        <v/>
      </c>
      <c r="C38" s="10">
        <f>RIGHT(creditcard[[#This Row],[YYYYMM]],2)</f>
        <v/>
      </c>
      <c r="D38" s="10">
        <f>IF(RIGHT(creditcard[[#This Row],[YYYYMM]],2)="--","--","Q"&amp;ROUNDUP(VALUE(RIGHT(creditcard[[#This Row],[YYYYMM]],2))/3,0))</f>
        <v/>
      </c>
      <c r="E38" s="10" t="n">
        <v>4</v>
      </c>
      <c r="F38" s="151" t="inlineStr">
        <is>
          <t>玉山</t>
        </is>
      </c>
      <c r="G38" s="152" t="inlineStr">
        <is>
          <t>04 玉山</t>
        </is>
      </c>
      <c r="H38" s="153" t="n">
        <v>4869490</v>
      </c>
      <c r="I38" s="153" t="n">
        <v>3403851</v>
      </c>
      <c r="J38" s="153" t="n">
        <v>564726</v>
      </c>
      <c r="K38" s="153" t="n">
        <v>268464</v>
      </c>
      <c r="L38" s="153" t="n">
        <v>12817</v>
      </c>
      <c r="M38" s="11" t="n"/>
      <c r="N38" s="153" t="n">
        <v>336665</v>
      </c>
      <c r="O38" s="11" t="n"/>
      <c r="P38" s="11" t="n"/>
      <c r="Q38" s="12" t="n"/>
      <c r="R38" s="11" t="n"/>
      <c r="S38" s="11" t="n"/>
      <c r="T38" s="11" t="n"/>
      <c r="U38" s="11" t="n"/>
      <c r="V38" s="154" t="n"/>
      <c r="W38" s="11" t="n"/>
      <c r="X38" s="13" t="n"/>
      <c r="Y38" s="13" t="n"/>
      <c r="Z38" s="13" t="n"/>
      <c r="AA38" s="13" t="n"/>
      <c r="AB38" s="13" t="n"/>
      <c r="AC38" s="13" t="n"/>
      <c r="AD38" s="13" t="n"/>
      <c r="AE38" s="13" t="n"/>
      <c r="AF38" s="13" t="n"/>
      <c r="AG38" s="13" t="n"/>
      <c r="AH38" s="13" t="n"/>
      <c r="AI38" s="13" t="n"/>
    </row>
    <row r="39">
      <c r="A39" s="14" t="inlineStr">
        <is>
          <t>2018--</t>
        </is>
      </c>
      <c r="B39" s="15">
        <f>LEFT(creditcard[[#This Row],[YYYYMM]],4)</f>
        <v/>
      </c>
      <c r="C39" s="15">
        <f>RIGHT(creditcard[[#This Row],[YYYYMM]],2)</f>
        <v/>
      </c>
      <c r="D39" s="15">
        <f>IF(RIGHT(creditcard[[#This Row],[YYYYMM]],2)="--","--","Q"&amp;ROUNDUP(VALUE(RIGHT(creditcard[[#This Row],[YYYYMM]],2))/3,0))</f>
        <v/>
      </c>
      <c r="E39" s="15" t="n">
        <v>5</v>
      </c>
      <c r="F39" s="155" t="inlineStr">
        <is>
          <t>台新</t>
        </is>
      </c>
      <c r="G39" s="156" t="inlineStr">
        <is>
          <t>05 台新</t>
        </is>
      </c>
      <c r="H39" s="157" t="n">
        <v>4644710</v>
      </c>
      <c r="I39" s="157" t="n">
        <v>3261631</v>
      </c>
      <c r="J39" s="157" t="n">
        <v>781930</v>
      </c>
      <c r="K39" s="157" t="n">
        <v>256544</v>
      </c>
      <c r="L39" s="157" t="n">
        <v>10731</v>
      </c>
      <c r="M39" s="16" t="n"/>
      <c r="N39" s="157" t="n">
        <v>289198</v>
      </c>
      <c r="O39" s="16" t="n"/>
      <c r="P39" s="16" t="n"/>
      <c r="Q39" s="17" t="n"/>
      <c r="R39" s="16" t="n"/>
      <c r="S39" s="16" t="n"/>
      <c r="T39" s="16" t="n"/>
      <c r="U39" s="16" t="n"/>
      <c r="V39" s="158" t="n"/>
      <c r="W39" s="16" t="n"/>
      <c r="X39" s="18" t="n"/>
      <c r="Y39" s="18" t="n"/>
      <c r="Z39" s="18" t="n"/>
      <c r="AA39" s="18" t="n"/>
      <c r="AB39" s="18" t="n"/>
      <c r="AC39" s="18" t="n"/>
      <c r="AD39" s="18" t="n"/>
      <c r="AE39" s="18" t="n"/>
      <c r="AF39" s="18" t="n"/>
      <c r="AG39" s="18" t="n"/>
      <c r="AH39" s="18" t="n"/>
      <c r="AI39" s="18" t="n"/>
    </row>
    <row r="40">
      <c r="A40" s="9" t="inlineStr">
        <is>
          <t>2018--</t>
        </is>
      </c>
      <c r="B40" s="10">
        <f>LEFT(creditcard[[#This Row],[YYYYMM]],4)</f>
        <v/>
      </c>
      <c r="C40" s="10">
        <f>RIGHT(creditcard[[#This Row],[YYYYMM]],2)</f>
        <v/>
      </c>
      <c r="D40" s="10">
        <f>IF(RIGHT(creditcard[[#This Row],[YYYYMM]],2)="--","--","Q"&amp;ROUNDUP(VALUE(RIGHT(creditcard[[#This Row],[YYYYMM]],2))/3,0))</f>
        <v/>
      </c>
      <c r="E40" s="10" t="n">
        <v>6</v>
      </c>
      <c r="F40" s="151" t="inlineStr">
        <is>
          <t>星展</t>
        </is>
      </c>
      <c r="G40" s="152" t="inlineStr">
        <is>
          <t>06 星展</t>
        </is>
      </c>
      <c r="H40" s="153" t="n">
        <v>554049</v>
      </c>
      <c r="I40" s="153" t="n">
        <v>314502</v>
      </c>
      <c r="J40" s="153" t="n">
        <v>219116</v>
      </c>
      <c r="K40" s="153" t="n">
        <v>222576</v>
      </c>
      <c r="L40" s="153" t="n">
        <v>1669</v>
      </c>
      <c r="M40" s="11" t="n"/>
      <c r="N40" s="153" t="n">
        <v>31630</v>
      </c>
      <c r="O40" s="11" t="n"/>
      <c r="P40" s="11" t="n"/>
      <c r="Q40" s="12" t="n"/>
      <c r="R40" s="11" t="n"/>
      <c r="S40" s="11" t="n"/>
      <c r="T40" s="11" t="n"/>
      <c r="U40" s="11" t="n"/>
      <c r="V40" s="154" t="n"/>
      <c r="W40" s="11" t="n"/>
      <c r="X40" s="13" t="n"/>
      <c r="Y40" s="13" t="n"/>
      <c r="Z40" s="13" t="n"/>
      <c r="AA40" s="13" t="n"/>
      <c r="AB40" s="13" t="n"/>
      <c r="AC40" s="13" t="n"/>
      <c r="AD40" s="13" t="n"/>
      <c r="AE40" s="13" t="n"/>
      <c r="AF40" s="13" t="n"/>
      <c r="AG40" s="13" t="n"/>
      <c r="AH40" s="13" t="n"/>
      <c r="AI40" s="13" t="n"/>
    </row>
    <row r="41">
      <c r="A41" s="14" t="inlineStr">
        <is>
          <t>2018--</t>
        </is>
      </c>
      <c r="B41" s="15">
        <f>LEFT(creditcard[[#This Row],[YYYYMM]],4)</f>
        <v/>
      </c>
      <c r="C41" s="15">
        <f>RIGHT(creditcard[[#This Row],[YYYYMM]],2)</f>
        <v/>
      </c>
      <c r="D41" s="15">
        <f>IF(RIGHT(creditcard[[#This Row],[YYYYMM]],2)="--","--","Q"&amp;ROUNDUP(VALUE(RIGHT(creditcard[[#This Row],[YYYYMM]],2))/3,0))</f>
        <v/>
      </c>
      <c r="E41" s="15" t="n">
        <v>7</v>
      </c>
      <c r="F41" s="155" t="inlineStr">
        <is>
          <t>聯邦</t>
        </is>
      </c>
      <c r="G41" s="156" t="inlineStr">
        <is>
          <t>07 聯邦</t>
        </is>
      </c>
      <c r="H41" s="157" t="n">
        <v>2126989</v>
      </c>
      <c r="I41" s="157" t="n">
        <v>1174896</v>
      </c>
      <c r="J41" s="157" t="n">
        <v>257072</v>
      </c>
      <c r="K41" s="157" t="n">
        <v>166943</v>
      </c>
      <c r="L41" s="157" t="n">
        <v>5779</v>
      </c>
      <c r="M41" s="16" t="n"/>
      <c r="N41" s="157" t="n">
        <v>89452</v>
      </c>
      <c r="O41" s="16" t="n"/>
      <c r="P41" s="16" t="n"/>
      <c r="Q41" s="17" t="n"/>
      <c r="R41" s="16" t="n"/>
      <c r="S41" s="16" t="n"/>
      <c r="T41" s="16" t="n"/>
      <c r="U41" s="16" t="n"/>
      <c r="V41" s="158" t="n"/>
      <c r="W41" s="16" t="n"/>
      <c r="X41" s="18" t="n"/>
      <c r="Y41" s="18" t="n"/>
      <c r="Z41" s="18" t="n"/>
      <c r="AA41" s="18" t="n"/>
      <c r="AB41" s="18" t="n"/>
      <c r="AC41" s="18" t="n"/>
      <c r="AD41" s="18" t="n"/>
      <c r="AE41" s="18" t="n"/>
      <c r="AF41" s="18" t="n"/>
      <c r="AG41" s="18" t="n"/>
      <c r="AH41" s="18" t="n"/>
      <c r="AI41" s="18" t="n"/>
    </row>
    <row r="42">
      <c r="A42" s="9" t="inlineStr">
        <is>
          <t>2018--</t>
        </is>
      </c>
      <c r="B42" s="10">
        <f>LEFT(creditcard[[#This Row],[YYYYMM]],4)</f>
        <v/>
      </c>
      <c r="C42" s="10">
        <f>RIGHT(creditcard[[#This Row],[YYYYMM]],2)</f>
        <v/>
      </c>
      <c r="D42" s="10">
        <f>IF(RIGHT(creditcard[[#This Row],[YYYYMM]],2)="--","--","Q"&amp;ROUNDUP(VALUE(RIGHT(creditcard[[#This Row],[YYYYMM]],2))/3,0))</f>
        <v/>
      </c>
      <c r="E42" s="10" t="n">
        <v>8</v>
      </c>
      <c r="F42" s="151" t="inlineStr">
        <is>
          <t>永豐</t>
        </is>
      </c>
      <c r="G42" s="152" t="inlineStr">
        <is>
          <t>08 永豐</t>
        </is>
      </c>
      <c r="H42" s="153" t="n">
        <v>1826196</v>
      </c>
      <c r="I42" s="153" t="n">
        <v>1015669</v>
      </c>
      <c r="J42" s="153" t="n">
        <v>170544</v>
      </c>
      <c r="K42" s="153" t="n">
        <v>132798</v>
      </c>
      <c r="L42" s="153" t="n">
        <v>4484</v>
      </c>
      <c r="M42" s="11" t="n"/>
      <c r="N42" s="153" t="n">
        <v>83569</v>
      </c>
      <c r="O42" s="11" t="n"/>
      <c r="P42" s="11" t="n"/>
      <c r="Q42" s="12" t="n"/>
      <c r="R42" s="11" t="n"/>
      <c r="S42" s="11" t="n"/>
      <c r="T42" s="11" t="n"/>
      <c r="U42" s="11" t="n"/>
      <c r="V42" s="154" t="n"/>
      <c r="W42" s="11" t="n"/>
      <c r="X42" s="13" t="n"/>
      <c r="Y42" s="13" t="n"/>
      <c r="Z42" s="13" t="n"/>
      <c r="AA42" s="13" t="n"/>
      <c r="AB42" s="13" t="n"/>
      <c r="AC42" s="13" t="n"/>
      <c r="AD42" s="13" t="n"/>
      <c r="AE42" s="13" t="n"/>
      <c r="AF42" s="13" t="n"/>
      <c r="AG42" s="13" t="n"/>
      <c r="AH42" s="13" t="n"/>
      <c r="AI42" s="13" t="n"/>
    </row>
    <row r="43">
      <c r="A43" s="14" t="inlineStr">
        <is>
          <t>2018--</t>
        </is>
      </c>
      <c r="B43" s="15">
        <f>LEFT(creditcard[[#This Row],[YYYYMM]],4)</f>
        <v/>
      </c>
      <c r="C43" s="15">
        <f>RIGHT(creditcard[[#This Row],[YYYYMM]],2)</f>
        <v/>
      </c>
      <c r="D43" s="15">
        <f>IF(RIGHT(creditcard[[#This Row],[YYYYMM]],2)="--","--","Q"&amp;ROUNDUP(VALUE(RIGHT(creditcard[[#This Row],[YYYYMM]],2))/3,0))</f>
        <v/>
      </c>
      <c r="E43" s="15" t="n">
        <v>9</v>
      </c>
      <c r="F43" s="155" t="inlineStr">
        <is>
          <t>第一</t>
        </is>
      </c>
      <c r="G43" s="156" t="inlineStr">
        <is>
          <t>09 第一</t>
        </is>
      </c>
      <c r="H43" s="157" t="n">
        <v>1122732</v>
      </c>
      <c r="I43" s="157" t="n">
        <v>715657</v>
      </c>
      <c r="J43" s="157" t="n">
        <v>196632</v>
      </c>
      <c r="K43" s="157" t="n">
        <v>111246</v>
      </c>
      <c r="L43" s="157" t="n">
        <v>1490</v>
      </c>
      <c r="M43" s="16" t="n"/>
      <c r="N43" s="157" t="n">
        <v>52160</v>
      </c>
      <c r="O43" s="16" t="n"/>
      <c r="P43" s="16" t="n"/>
      <c r="Q43" s="17" t="n"/>
      <c r="R43" s="16" t="n"/>
      <c r="S43" s="16" t="n"/>
      <c r="T43" s="16" t="n"/>
      <c r="U43" s="16" t="n"/>
      <c r="V43" s="158" t="n"/>
      <c r="W43" s="16" t="n"/>
      <c r="X43" s="18" t="n"/>
      <c r="Y43" s="18" t="n"/>
      <c r="Z43" s="18" t="n"/>
      <c r="AA43" s="18" t="n"/>
      <c r="AB43" s="18" t="n"/>
      <c r="AC43" s="18" t="n"/>
      <c r="AD43" s="18" t="n"/>
      <c r="AE43" s="18" t="n"/>
      <c r="AF43" s="18" t="n"/>
      <c r="AG43" s="18" t="n"/>
      <c r="AH43" s="18" t="n"/>
      <c r="AI43" s="18" t="n"/>
    </row>
    <row r="44">
      <c r="A44" s="9" t="inlineStr">
        <is>
          <t>2018--</t>
        </is>
      </c>
      <c r="B44" s="10">
        <f>LEFT(creditcard[[#This Row],[YYYYMM]],4)</f>
        <v/>
      </c>
      <c r="C44" s="10">
        <f>RIGHT(creditcard[[#This Row],[YYYYMM]],2)</f>
        <v/>
      </c>
      <c r="D44" s="10">
        <f>IF(RIGHT(creditcard[[#This Row],[YYYYMM]],2)="--","--","Q"&amp;ROUNDUP(VALUE(RIGHT(creditcard[[#This Row],[YYYYMM]],2))/3,0))</f>
        <v/>
      </c>
      <c r="E44" s="10" t="n">
        <v>10</v>
      </c>
      <c r="F44" s="151" t="inlineStr">
        <is>
          <t>遠東</t>
        </is>
      </c>
      <c r="G44" s="152" t="inlineStr">
        <is>
          <t>10 遠東</t>
        </is>
      </c>
      <c r="H44" s="153" t="n">
        <v>1501790</v>
      </c>
      <c r="I44" s="153" t="n">
        <v>1017995</v>
      </c>
      <c r="J44" s="153" t="n">
        <v>146539</v>
      </c>
      <c r="K44" s="153" t="n">
        <v>127024</v>
      </c>
      <c r="L44" s="153" t="n">
        <v>4561</v>
      </c>
      <c r="M44" s="11" t="n"/>
      <c r="N44" s="153" t="n">
        <v>52896</v>
      </c>
      <c r="O44" s="11" t="n"/>
      <c r="P44" s="11" t="n"/>
      <c r="Q44" s="12" t="n"/>
      <c r="R44" s="11" t="n"/>
      <c r="S44" s="11" t="n"/>
      <c r="T44" s="11" t="n"/>
      <c r="U44" s="11" t="n"/>
      <c r="V44" s="154" t="n"/>
      <c r="W44" s="11" t="n"/>
      <c r="X44" s="13" t="n"/>
      <c r="Y44" s="13" t="n"/>
      <c r="Z44" s="13" t="n"/>
      <c r="AA44" s="13" t="n"/>
      <c r="AB44" s="13" t="n"/>
      <c r="AC44" s="13" t="n"/>
      <c r="AD44" s="13" t="n"/>
      <c r="AE44" s="13" t="n"/>
      <c r="AF44" s="13" t="n"/>
      <c r="AG44" s="13" t="n"/>
      <c r="AH44" s="13" t="n"/>
      <c r="AI44" s="13" t="n"/>
    </row>
    <row r="45">
      <c r="A45" s="14" t="inlineStr">
        <is>
          <t>2018--</t>
        </is>
      </c>
      <c r="B45" s="15">
        <f>LEFT(creditcard[[#This Row],[YYYYMM]],4)</f>
        <v/>
      </c>
      <c r="C45" s="15">
        <f>RIGHT(creditcard[[#This Row],[YYYYMM]],2)</f>
        <v/>
      </c>
      <c r="D45" s="15">
        <f>IF(RIGHT(creditcard[[#This Row],[YYYYMM]],2)="--","--","Q"&amp;ROUNDUP(VALUE(RIGHT(creditcard[[#This Row],[YYYYMM]],2))/3,0))</f>
        <v/>
      </c>
      <c r="E45" s="15" t="n">
        <v>11</v>
      </c>
      <c r="F45" s="155" t="inlineStr">
        <is>
          <t>市場總計</t>
        </is>
      </c>
      <c r="G45" s="156" t="inlineStr">
        <is>
          <t>11 市場總計</t>
        </is>
      </c>
      <c r="H45" s="157" t="n">
        <v>44031472</v>
      </c>
      <c r="I45" s="157" t="n">
        <v>29573988</v>
      </c>
      <c r="J45" s="157" t="n">
        <v>5966859</v>
      </c>
      <c r="K45" s="157" t="n">
        <v>3771270</v>
      </c>
      <c r="L45" s="157" t="n">
        <v>113901</v>
      </c>
      <c r="M45" s="16" t="n"/>
      <c r="N45" s="157" t="n">
        <v>2883634</v>
      </c>
      <c r="O45" s="16" t="n"/>
      <c r="P45" s="16" t="n"/>
      <c r="Q45" s="17" t="n"/>
      <c r="R45" s="16" t="n"/>
      <c r="S45" s="16" t="n"/>
      <c r="T45" s="16" t="n"/>
      <c r="U45" s="16" t="n"/>
      <c r="V45" s="158" t="n">
        <v>3.99922543142598</v>
      </c>
      <c r="W45" s="16">
        <f>SUMIFS(H:H,A:A,creditcard[[#This Row],[YYYYMM]],G:G,creditcard[[#This Row],[Item]])</f>
        <v/>
      </c>
      <c r="X45" s="4">
        <f>IFERROR(SUMIFS(H:H,A:A,creditcard[[#This Row],[YYYYMM]],E:E,"&lt;=5")/creditcard[[#This Row],[市場總計]],"")</f>
        <v/>
      </c>
      <c r="Y45" s="4">
        <f>IFERROR(SUMIFS(H:H,A:A,creditcard[[#This Row],[YYYYMM]],E:E,"&lt;=10")/creditcard[[#This Row],[市場總計]],"")</f>
        <v/>
      </c>
      <c r="Z45" s="4">
        <f>IFERROR(SUMIFS(I:I,A:A,creditcard[[#This Row],[YYYYMM]],E:E,"&lt;=5")/creditcard[[#This Row],[有效卡數]],"")</f>
        <v/>
      </c>
      <c r="AA45" s="4">
        <f>IFERROR(SUMIFS(I:I,A:A,creditcard[[#This Row],[YYYYMM]],E:E,"&lt;=10")/creditcard[[#This Row],[有效卡數]],"")</f>
        <v/>
      </c>
      <c r="AB45" s="4">
        <f>IFERROR(SUMIFS(J:J,A:A,creditcard[[#This Row],[YYYYMM]],E:E,"&lt;=5")/creditcard[[#This Row],[當月發卡數]],"")</f>
        <v/>
      </c>
      <c r="AC45" s="4">
        <f>IFERROR(SUMIFS(J:J,A:A,creditcard[[#This Row],[YYYYMM]],E:E,"&lt;=10")/creditcard[[#This Row],[當月發卡數]],"")</f>
        <v/>
      </c>
      <c r="AD45" s="4">
        <f>IFERROR(SUMIFS(K:K,A:A,creditcard[[#This Row],[YYYYMM]],E:E,"&lt;=5")/creditcard[[#This Row],[當月停卡數]],"")</f>
        <v/>
      </c>
      <c r="AE45" s="4">
        <f>IFERROR(SUMIFS(K:K,A:A,creditcard[[#This Row],[YYYYMM]],E:E,"&lt;=10")/creditcard[[#This Row],[當月停卡數]],"")</f>
        <v/>
      </c>
      <c r="AF45" s="4">
        <f>IFERROR(SUMIFS(L:L,A:A,creditcard[[#This Row],[YYYYMM]],E:E,"&lt;=5")/creditcard[[#This Row],[循環信用餘額]],"")</f>
        <v/>
      </c>
      <c r="AG45" s="4">
        <f>IFERROR(SUMIFS(L:L,A:A,creditcard[[#This Row],[YYYYMM]],E:E,"&lt;=10")/creditcard[[#This Row],[循環信用餘額]],"")</f>
        <v/>
      </c>
      <c r="AH45" s="4">
        <f>IFERROR(SUMIFS(N:N,A:A,creditcard[[#This Row],[YYYYMM]],E:E,"&lt;=5")/creditcard[[#This Row],[當月簽帳金額]],"")</f>
        <v/>
      </c>
      <c r="AI45" s="4">
        <f>IFERROR(SUMIFS(N:N,A:A,creditcard[[#This Row],[YYYYMM]],E:E,"&lt;=10")/creditcard[[#This Row],[當月簽帳金額]],"")</f>
        <v/>
      </c>
    </row>
    <row r="46">
      <c r="A46" s="9" t="inlineStr">
        <is>
          <t>2019--</t>
        </is>
      </c>
      <c r="B46" s="10">
        <f>LEFT(creditcard[[#This Row],[YYYYMM]],4)</f>
        <v/>
      </c>
      <c r="C46" s="10">
        <f>RIGHT(creditcard[[#This Row],[YYYYMM]],2)</f>
        <v/>
      </c>
      <c r="D46" s="10">
        <f>IF(RIGHT(creditcard[[#This Row],[YYYYMM]],2)="--","--","Q"&amp;ROUNDUP(VALUE(RIGHT(creditcard[[#This Row],[YYYYMM]],2))/3,0))</f>
        <v/>
      </c>
      <c r="E46" s="10" t="n">
        <v>1</v>
      </c>
      <c r="F46" s="151" t="inlineStr">
        <is>
          <t>中信</t>
        </is>
      </c>
      <c r="G46" s="152" t="inlineStr">
        <is>
          <t>01 中信</t>
        </is>
      </c>
      <c r="H46" s="153" t="n">
        <v>6872801</v>
      </c>
      <c r="I46" s="153" t="n">
        <v>4669805</v>
      </c>
      <c r="J46" s="153" t="n">
        <v>854788</v>
      </c>
      <c r="K46" s="153" t="n">
        <v>669287</v>
      </c>
      <c r="L46" s="153" t="n">
        <v>17915</v>
      </c>
      <c r="M46" s="11" t="n"/>
      <c r="N46" s="153" t="n">
        <v>500580</v>
      </c>
      <c r="O46" s="11" t="n"/>
      <c r="P46" s="11" t="n"/>
      <c r="Q46" s="12" t="n"/>
      <c r="R46" s="11" t="n"/>
      <c r="S46" s="11" t="n"/>
      <c r="T46" s="11" t="n"/>
      <c r="U46" s="11" t="n"/>
      <c r="V46" s="154" t="n"/>
      <c r="W46" s="11" t="n"/>
      <c r="X46" s="13" t="n"/>
      <c r="Y46" s="13" t="n"/>
      <c r="Z46" s="13" t="n"/>
      <c r="AA46" s="13" t="n"/>
      <c r="AB46" s="13" t="n"/>
      <c r="AC46" s="13" t="n"/>
      <c r="AD46" s="13" t="n"/>
      <c r="AE46" s="13" t="n"/>
      <c r="AF46" s="13" t="n"/>
      <c r="AG46" s="13" t="n"/>
      <c r="AH46" s="13" t="n"/>
      <c r="AI46" s="13" t="n"/>
    </row>
    <row r="47">
      <c r="A47" s="14" t="inlineStr">
        <is>
          <t>2019--</t>
        </is>
      </c>
      <c r="B47" s="15">
        <f>LEFT(creditcard[[#This Row],[YYYYMM]],4)</f>
        <v/>
      </c>
      <c r="C47" s="15">
        <f>RIGHT(creditcard[[#This Row],[YYYYMM]],2)</f>
        <v/>
      </c>
      <c r="D47" s="15">
        <f>IF(RIGHT(creditcard[[#This Row],[YYYYMM]],2)="--","--","Q"&amp;ROUNDUP(VALUE(RIGHT(creditcard[[#This Row],[YYYYMM]],2))/3,0))</f>
        <v/>
      </c>
      <c r="E47" s="15" t="n">
        <v>2</v>
      </c>
      <c r="F47" s="155" t="inlineStr">
        <is>
          <t>富邦</t>
        </is>
      </c>
      <c r="G47" s="156" t="inlineStr">
        <is>
          <t>02 富邦</t>
        </is>
      </c>
      <c r="H47" s="157" t="n">
        <v>3288239</v>
      </c>
      <c r="I47" s="157" t="n">
        <v>2102023</v>
      </c>
      <c r="J47" s="157" t="n">
        <v>967469</v>
      </c>
      <c r="K47" s="157" t="n">
        <v>163065</v>
      </c>
      <c r="L47" s="157" t="n">
        <v>5446</v>
      </c>
      <c r="M47" s="16" t="n"/>
      <c r="N47" s="157" t="n">
        <v>268608</v>
      </c>
      <c r="O47" s="16" t="n"/>
      <c r="P47" s="16" t="n"/>
      <c r="Q47" s="17" t="n"/>
      <c r="R47" s="16" t="n"/>
      <c r="S47" s="16" t="n"/>
      <c r="T47" s="16" t="n"/>
      <c r="U47" s="16" t="n"/>
      <c r="V47" s="158" t="n"/>
      <c r="W47" s="16" t="n"/>
      <c r="X47" s="18" t="n"/>
      <c r="Y47" s="18" t="n"/>
      <c r="Z47" s="18" t="n"/>
      <c r="AA47" s="18" t="n"/>
      <c r="AB47" s="18" t="n"/>
      <c r="AC47" s="18" t="n"/>
      <c r="AD47" s="18" t="n"/>
      <c r="AE47" s="18" t="n"/>
      <c r="AF47" s="18" t="n"/>
      <c r="AG47" s="18" t="n"/>
      <c r="AH47" s="18" t="n"/>
      <c r="AI47" s="18" t="n"/>
    </row>
    <row r="48">
      <c r="A48" s="9" t="inlineStr">
        <is>
          <t>2019--</t>
        </is>
      </c>
      <c r="B48" s="10">
        <f>LEFT(creditcard[[#This Row],[YYYYMM]],4)</f>
        <v/>
      </c>
      <c r="C48" s="10">
        <f>RIGHT(creditcard[[#This Row],[YYYYMM]],2)</f>
        <v/>
      </c>
      <c r="D48" s="10">
        <f>IF(RIGHT(creditcard[[#This Row],[YYYYMM]],2)="--","--","Q"&amp;ROUNDUP(VALUE(RIGHT(creditcard[[#This Row],[YYYYMM]],2))/3,0))</f>
        <v/>
      </c>
      <c r="E48" s="10" t="n">
        <v>3</v>
      </c>
      <c r="F48" s="151" t="inlineStr">
        <is>
          <t>國泰</t>
        </is>
      </c>
      <c r="G48" s="152" t="inlineStr">
        <is>
          <t>03 國泰</t>
        </is>
      </c>
      <c r="H48" s="153" t="n">
        <v>6734229</v>
      </c>
      <c r="I48" s="153" t="n">
        <v>4974594</v>
      </c>
      <c r="J48" s="153" t="n">
        <v>785554</v>
      </c>
      <c r="K48" s="153" t="n">
        <v>402946</v>
      </c>
      <c r="L48" s="153" t="n">
        <v>19043</v>
      </c>
      <c r="M48" s="11" t="n"/>
      <c r="N48" s="153" t="n">
        <v>543275</v>
      </c>
      <c r="O48" s="11" t="n"/>
      <c r="P48" s="11" t="n"/>
      <c r="Q48" s="12" t="n"/>
      <c r="R48" s="11" t="n"/>
      <c r="S48" s="11" t="n"/>
      <c r="T48" s="11" t="n"/>
      <c r="U48" s="11" t="n"/>
      <c r="V48" s="154" t="n"/>
      <c r="W48" s="11" t="n"/>
      <c r="X48" s="13" t="n"/>
      <c r="Y48" s="13" t="n"/>
      <c r="Z48" s="13" t="n"/>
      <c r="AA48" s="13" t="n"/>
      <c r="AB48" s="13" t="n"/>
      <c r="AC48" s="13" t="n"/>
      <c r="AD48" s="13" t="n"/>
      <c r="AE48" s="13" t="n"/>
      <c r="AF48" s="13" t="n"/>
      <c r="AG48" s="13" t="n"/>
      <c r="AH48" s="13" t="n"/>
      <c r="AI48" s="13" t="n"/>
    </row>
    <row r="49">
      <c r="A49" s="14" t="inlineStr">
        <is>
          <t>2019--</t>
        </is>
      </c>
      <c r="B49" s="15">
        <f>LEFT(creditcard[[#This Row],[YYYYMM]],4)</f>
        <v/>
      </c>
      <c r="C49" s="15">
        <f>RIGHT(creditcard[[#This Row],[YYYYMM]],2)</f>
        <v/>
      </c>
      <c r="D49" s="15">
        <f>IF(RIGHT(creditcard[[#This Row],[YYYYMM]],2)="--","--","Q"&amp;ROUNDUP(VALUE(RIGHT(creditcard[[#This Row],[YYYYMM]],2))/3,0))</f>
        <v/>
      </c>
      <c r="E49" s="15" t="n">
        <v>4</v>
      </c>
      <c r="F49" s="155" t="inlineStr">
        <is>
          <t>玉山</t>
        </is>
      </c>
      <c r="G49" s="156" t="inlineStr">
        <is>
          <t>04 玉山</t>
        </is>
      </c>
      <c r="H49" s="157" t="n">
        <v>5824072</v>
      </c>
      <c r="I49" s="157" t="n">
        <v>4173821</v>
      </c>
      <c r="J49" s="157" t="n">
        <v>1289865</v>
      </c>
      <c r="K49" s="157" t="n">
        <v>335283</v>
      </c>
      <c r="L49" s="157" t="n">
        <v>13498</v>
      </c>
      <c r="M49" s="16" t="n"/>
      <c r="N49" s="157" t="n">
        <v>427007</v>
      </c>
      <c r="O49" s="16" t="n"/>
      <c r="P49" s="16" t="n"/>
      <c r="Q49" s="17" t="n"/>
      <c r="R49" s="16" t="n"/>
      <c r="S49" s="16" t="n"/>
      <c r="T49" s="16" t="n"/>
      <c r="U49" s="16" t="n"/>
      <c r="V49" s="158" t="n"/>
      <c r="W49" s="16" t="n"/>
      <c r="X49" s="18" t="n"/>
      <c r="Y49" s="18" t="n"/>
      <c r="Z49" s="18" t="n"/>
      <c r="AA49" s="18" t="n"/>
      <c r="AB49" s="18" t="n"/>
      <c r="AC49" s="18" t="n"/>
      <c r="AD49" s="18" t="n"/>
      <c r="AE49" s="18" t="n"/>
      <c r="AF49" s="18" t="n"/>
      <c r="AG49" s="18" t="n"/>
      <c r="AH49" s="18" t="n"/>
      <c r="AI49" s="18" t="n"/>
    </row>
    <row r="50">
      <c r="A50" s="9" t="inlineStr">
        <is>
          <t>2019--</t>
        </is>
      </c>
      <c r="B50" s="10">
        <f>LEFT(creditcard[[#This Row],[YYYYMM]],4)</f>
        <v/>
      </c>
      <c r="C50" s="10">
        <f>RIGHT(creditcard[[#This Row],[YYYYMM]],2)</f>
        <v/>
      </c>
      <c r="D50" s="10">
        <f>IF(RIGHT(creditcard[[#This Row],[YYYYMM]],2)="--","--","Q"&amp;ROUNDUP(VALUE(RIGHT(creditcard[[#This Row],[YYYYMM]],2))/3,0))</f>
        <v/>
      </c>
      <c r="E50" s="10" t="n">
        <v>5</v>
      </c>
      <c r="F50" s="151" t="inlineStr">
        <is>
          <t>台新</t>
        </is>
      </c>
      <c r="G50" s="152" t="inlineStr">
        <is>
          <t>05 台新</t>
        </is>
      </c>
      <c r="H50" s="153" t="n">
        <v>5353487</v>
      </c>
      <c r="I50" s="153" t="n">
        <v>3794049</v>
      </c>
      <c r="J50" s="153" t="n">
        <v>1054362</v>
      </c>
      <c r="K50" s="153" t="n">
        <v>345585</v>
      </c>
      <c r="L50" s="153" t="n">
        <v>11120</v>
      </c>
      <c r="M50" s="11" t="n"/>
      <c r="N50" s="153" t="n">
        <v>354709</v>
      </c>
      <c r="O50" s="11" t="n"/>
      <c r="P50" s="11" t="n"/>
      <c r="Q50" s="12" t="n"/>
      <c r="R50" s="11" t="n"/>
      <c r="S50" s="11" t="n"/>
      <c r="T50" s="11" t="n"/>
      <c r="U50" s="11" t="n"/>
      <c r="V50" s="154" t="n"/>
      <c r="W50" s="11" t="n"/>
      <c r="X50" s="13" t="n"/>
      <c r="Y50" s="13" t="n"/>
      <c r="Z50" s="13" t="n"/>
      <c r="AA50" s="13" t="n"/>
      <c r="AB50" s="13" t="n"/>
      <c r="AC50" s="13" t="n"/>
      <c r="AD50" s="13" t="n"/>
      <c r="AE50" s="13" t="n"/>
      <c r="AF50" s="13" t="n"/>
      <c r="AG50" s="13" t="n"/>
      <c r="AH50" s="13" t="n"/>
      <c r="AI50" s="13" t="n"/>
    </row>
    <row r="51">
      <c r="A51" s="14" t="inlineStr">
        <is>
          <t>2019--</t>
        </is>
      </c>
      <c r="B51" s="15">
        <f>LEFT(creditcard[[#This Row],[YYYYMM]],4)</f>
        <v/>
      </c>
      <c r="C51" s="15">
        <f>RIGHT(creditcard[[#This Row],[YYYYMM]],2)</f>
        <v/>
      </c>
      <c r="D51" s="15">
        <f>IF(RIGHT(creditcard[[#This Row],[YYYYMM]],2)="--","--","Q"&amp;ROUNDUP(VALUE(RIGHT(creditcard[[#This Row],[YYYYMM]],2))/3,0))</f>
        <v/>
      </c>
      <c r="E51" s="15" t="n">
        <v>6</v>
      </c>
      <c r="F51" s="155" t="inlineStr">
        <is>
          <t>星展</t>
        </is>
      </c>
      <c r="G51" s="156" t="inlineStr">
        <is>
          <t>06 星展</t>
        </is>
      </c>
      <c r="H51" s="157" t="n">
        <v>596567</v>
      </c>
      <c r="I51" s="157" t="n">
        <v>325753</v>
      </c>
      <c r="J51" s="157" t="n">
        <v>90433</v>
      </c>
      <c r="K51" s="157" t="n">
        <v>69830</v>
      </c>
      <c r="L51" s="157" t="n">
        <v>1552</v>
      </c>
      <c r="M51" s="16" t="n"/>
      <c r="N51" s="157" t="n">
        <v>40268</v>
      </c>
      <c r="O51" s="16" t="n"/>
      <c r="P51" s="16" t="n"/>
      <c r="Q51" s="17" t="n"/>
      <c r="R51" s="16" t="n"/>
      <c r="S51" s="16" t="n"/>
      <c r="T51" s="16" t="n"/>
      <c r="U51" s="16" t="n"/>
      <c r="V51" s="158" t="n"/>
      <c r="W51" s="16" t="n"/>
      <c r="X51" s="18" t="n"/>
      <c r="Y51" s="18" t="n"/>
      <c r="Z51" s="18" t="n"/>
      <c r="AA51" s="18" t="n"/>
      <c r="AB51" s="18" t="n"/>
      <c r="AC51" s="18" t="n"/>
      <c r="AD51" s="18" t="n"/>
      <c r="AE51" s="18" t="n"/>
      <c r="AF51" s="18" t="n"/>
      <c r="AG51" s="18" t="n"/>
      <c r="AH51" s="18" t="n"/>
      <c r="AI51" s="18" t="n"/>
    </row>
    <row r="52">
      <c r="A52" s="9" t="inlineStr">
        <is>
          <t>2019--</t>
        </is>
      </c>
      <c r="B52" s="10">
        <f>LEFT(creditcard[[#This Row],[YYYYMM]],4)</f>
        <v/>
      </c>
      <c r="C52" s="10">
        <f>RIGHT(creditcard[[#This Row],[YYYYMM]],2)</f>
        <v/>
      </c>
      <c r="D52" s="10">
        <f>IF(RIGHT(creditcard[[#This Row],[YYYYMM]],2)="--","--","Q"&amp;ROUNDUP(VALUE(RIGHT(creditcard[[#This Row],[YYYYMM]],2))/3,0))</f>
        <v/>
      </c>
      <c r="E52" s="10" t="n">
        <v>7</v>
      </c>
      <c r="F52" s="151" t="inlineStr">
        <is>
          <t>聯邦</t>
        </is>
      </c>
      <c r="G52" s="152" t="inlineStr">
        <is>
          <t>07 聯邦</t>
        </is>
      </c>
      <c r="H52" s="153" t="n">
        <v>2162706</v>
      </c>
      <c r="I52" s="153" t="n">
        <v>1266940</v>
      </c>
      <c r="J52" s="153" t="n">
        <v>384237</v>
      </c>
      <c r="K52" s="153" t="n">
        <v>348520</v>
      </c>
      <c r="L52" s="153" t="n">
        <v>6080</v>
      </c>
      <c r="M52" s="11" t="n"/>
      <c r="N52" s="153" t="n">
        <v>91785</v>
      </c>
      <c r="O52" s="11" t="n"/>
      <c r="P52" s="11" t="n"/>
      <c r="Q52" s="12" t="n"/>
      <c r="R52" s="11" t="n"/>
      <c r="S52" s="11" t="n"/>
      <c r="T52" s="11" t="n"/>
      <c r="U52" s="11" t="n"/>
      <c r="V52" s="154" t="n"/>
      <c r="W52" s="11" t="n"/>
      <c r="X52" s="13" t="n"/>
      <c r="Y52" s="13" t="n"/>
      <c r="Z52" s="13" t="n"/>
      <c r="AA52" s="13" t="n"/>
      <c r="AB52" s="13" t="n"/>
      <c r="AC52" s="13" t="n"/>
      <c r="AD52" s="13" t="n"/>
      <c r="AE52" s="13" t="n"/>
      <c r="AF52" s="13" t="n"/>
      <c r="AG52" s="13" t="n"/>
      <c r="AH52" s="13" t="n"/>
      <c r="AI52" s="13" t="n"/>
    </row>
    <row r="53">
      <c r="A53" s="14" t="inlineStr">
        <is>
          <t>2019--</t>
        </is>
      </c>
      <c r="B53" s="15">
        <f>LEFT(creditcard[[#This Row],[YYYYMM]],4)</f>
        <v/>
      </c>
      <c r="C53" s="15">
        <f>RIGHT(creditcard[[#This Row],[YYYYMM]],2)</f>
        <v/>
      </c>
      <c r="D53" s="15">
        <f>IF(RIGHT(creditcard[[#This Row],[YYYYMM]],2)="--","--","Q"&amp;ROUNDUP(VALUE(RIGHT(creditcard[[#This Row],[YYYYMM]],2))/3,0))</f>
        <v/>
      </c>
      <c r="E53" s="15" t="n">
        <v>8</v>
      </c>
      <c r="F53" s="155" t="inlineStr">
        <is>
          <t>永豐</t>
        </is>
      </c>
      <c r="G53" s="156" t="inlineStr">
        <is>
          <t>08 永豐</t>
        </is>
      </c>
      <c r="H53" s="157" t="n">
        <v>1986502</v>
      </c>
      <c r="I53" s="157" t="n">
        <v>1015915</v>
      </c>
      <c r="J53" s="157" t="n">
        <v>546785</v>
      </c>
      <c r="K53" s="157" t="n">
        <v>388874</v>
      </c>
      <c r="L53" s="157" t="n">
        <v>4454</v>
      </c>
      <c r="M53" s="16" t="n"/>
      <c r="N53" s="157" t="n">
        <v>98453</v>
      </c>
      <c r="O53" s="16" t="n"/>
      <c r="P53" s="16" t="n"/>
      <c r="Q53" s="17" t="n"/>
      <c r="R53" s="16" t="n"/>
      <c r="S53" s="16" t="n"/>
      <c r="T53" s="16" t="n"/>
      <c r="U53" s="16" t="n"/>
      <c r="V53" s="158" t="n"/>
      <c r="W53" s="16" t="n"/>
      <c r="X53" s="18" t="n"/>
      <c r="Y53" s="18" t="n"/>
      <c r="Z53" s="18" t="n"/>
      <c r="AA53" s="18" t="n"/>
      <c r="AB53" s="18" t="n"/>
      <c r="AC53" s="18" t="n"/>
      <c r="AD53" s="18" t="n"/>
      <c r="AE53" s="18" t="n"/>
      <c r="AF53" s="18" t="n"/>
      <c r="AG53" s="18" t="n"/>
      <c r="AH53" s="18" t="n"/>
      <c r="AI53" s="18" t="n"/>
    </row>
    <row r="54">
      <c r="A54" s="9" t="inlineStr">
        <is>
          <t>2019--</t>
        </is>
      </c>
      <c r="B54" s="10">
        <f>LEFT(creditcard[[#This Row],[YYYYMM]],4)</f>
        <v/>
      </c>
      <c r="C54" s="10">
        <f>RIGHT(creditcard[[#This Row],[YYYYMM]],2)</f>
        <v/>
      </c>
      <c r="D54" s="10">
        <f>IF(RIGHT(creditcard[[#This Row],[YYYYMM]],2)="--","--","Q"&amp;ROUNDUP(VALUE(RIGHT(creditcard[[#This Row],[YYYYMM]],2))/3,0))</f>
        <v/>
      </c>
      <c r="E54" s="10" t="n">
        <v>9</v>
      </c>
      <c r="F54" s="151" t="inlineStr">
        <is>
          <t>第一</t>
        </is>
      </c>
      <c r="G54" s="152" t="inlineStr">
        <is>
          <t>09 第一</t>
        </is>
      </c>
      <c r="H54" s="153" t="n">
        <v>1215047</v>
      </c>
      <c r="I54" s="153" t="n">
        <v>748749</v>
      </c>
      <c r="J54" s="153" t="n">
        <v>170352</v>
      </c>
      <c r="K54" s="153" t="n">
        <v>112260</v>
      </c>
      <c r="L54" s="153" t="n">
        <v>1530</v>
      </c>
      <c r="M54" s="11" t="n"/>
      <c r="N54" s="153" t="n">
        <v>56388</v>
      </c>
      <c r="O54" s="11" t="n"/>
      <c r="P54" s="11" t="n"/>
      <c r="Q54" s="12" t="n"/>
      <c r="R54" s="11" t="n"/>
      <c r="S54" s="11" t="n"/>
      <c r="T54" s="11" t="n"/>
      <c r="U54" s="11" t="n"/>
      <c r="V54" s="154" t="n"/>
      <c r="W54" s="11" t="n"/>
      <c r="X54" s="13" t="n"/>
      <c r="Y54" s="13" t="n"/>
      <c r="Z54" s="13" t="n"/>
      <c r="AA54" s="13" t="n"/>
      <c r="AB54" s="13" t="n"/>
      <c r="AC54" s="13" t="n"/>
      <c r="AD54" s="13" t="n"/>
      <c r="AE54" s="13" t="n"/>
      <c r="AF54" s="13" t="n"/>
      <c r="AG54" s="13" t="n"/>
      <c r="AH54" s="13" t="n"/>
      <c r="AI54" s="13" t="n"/>
    </row>
    <row r="55">
      <c r="A55" s="14" t="inlineStr">
        <is>
          <t>2019--</t>
        </is>
      </c>
      <c r="B55" s="15">
        <f>LEFT(creditcard[[#This Row],[YYYYMM]],4)</f>
        <v/>
      </c>
      <c r="C55" s="15">
        <f>RIGHT(creditcard[[#This Row],[YYYYMM]],2)</f>
        <v/>
      </c>
      <c r="D55" s="15">
        <f>IF(RIGHT(creditcard[[#This Row],[YYYYMM]],2)="--","--","Q"&amp;ROUNDUP(VALUE(RIGHT(creditcard[[#This Row],[YYYYMM]],2))/3,0))</f>
        <v/>
      </c>
      <c r="E55" s="15" t="n">
        <v>10</v>
      </c>
      <c r="F55" s="155" t="inlineStr">
        <is>
          <t>遠東</t>
        </is>
      </c>
      <c r="G55" s="156" t="inlineStr">
        <is>
          <t>10 遠東</t>
        </is>
      </c>
      <c r="H55" s="157" t="n">
        <v>1587131</v>
      </c>
      <c r="I55" s="157" t="n">
        <v>1052137</v>
      </c>
      <c r="J55" s="157" t="n">
        <v>163268</v>
      </c>
      <c r="K55" s="157" t="n">
        <v>78276</v>
      </c>
      <c r="L55" s="157" t="n">
        <v>4288</v>
      </c>
      <c r="M55" s="16" t="n"/>
      <c r="N55" s="157" t="n">
        <v>54291</v>
      </c>
      <c r="O55" s="16" t="n"/>
      <c r="P55" s="16" t="n"/>
      <c r="Q55" s="17" t="n"/>
      <c r="R55" s="16" t="n"/>
      <c r="S55" s="16" t="n"/>
      <c r="T55" s="16" t="n"/>
      <c r="U55" s="16" t="n"/>
      <c r="V55" s="158" t="n"/>
      <c r="W55" s="16" t="n"/>
      <c r="X55" s="18" t="n"/>
      <c r="Y55" s="18" t="n"/>
      <c r="Z55" s="18" t="n"/>
      <c r="AA55" s="18" t="n"/>
      <c r="AB55" s="18" t="n"/>
      <c r="AC55" s="18" t="n"/>
      <c r="AD55" s="18" t="n"/>
      <c r="AE55" s="18" t="n"/>
      <c r="AF55" s="18" t="n"/>
      <c r="AG55" s="18" t="n"/>
      <c r="AH55" s="18" t="n"/>
      <c r="AI55" s="18" t="n"/>
    </row>
    <row r="56">
      <c r="A56" s="9" t="inlineStr">
        <is>
          <t>2019--</t>
        </is>
      </c>
      <c r="B56" s="10">
        <f>LEFT(creditcard[[#This Row],[YYYYMM]],4)</f>
        <v/>
      </c>
      <c r="C56" s="10">
        <f>RIGHT(creditcard[[#This Row],[YYYYMM]],2)</f>
        <v/>
      </c>
      <c r="D56" s="10">
        <f>IF(RIGHT(creditcard[[#This Row],[YYYYMM]],2)="--","--","Q"&amp;ROUNDUP(VALUE(RIGHT(creditcard[[#This Row],[YYYYMM]],2))/3,0))</f>
        <v/>
      </c>
      <c r="E56" s="10" t="n">
        <v>11</v>
      </c>
      <c r="F56" s="151" t="inlineStr">
        <is>
          <t>市場總計</t>
        </is>
      </c>
      <c r="G56" s="152" t="inlineStr">
        <is>
          <t>11 市場總計</t>
        </is>
      </c>
      <c r="H56" s="153" t="n">
        <v>47392036</v>
      </c>
      <c r="I56" s="153" t="n">
        <v>31922289</v>
      </c>
      <c r="J56" s="153" t="n">
        <v>7843526</v>
      </c>
      <c r="K56" s="153" t="n">
        <v>4359243</v>
      </c>
      <c r="L56" s="153" t="n">
        <v>113947</v>
      </c>
      <c r="M56" s="11" t="n"/>
      <c r="N56" s="153" t="n">
        <v>3223000</v>
      </c>
      <c r="O56" s="11" t="n"/>
      <c r="P56" s="11" t="n"/>
      <c r="Q56" s="12" t="n"/>
      <c r="R56" s="11" t="n"/>
      <c r="S56" s="11" t="n"/>
      <c r="T56" s="11" t="n"/>
      <c r="U56" s="11" t="n"/>
      <c r="V56" s="154" t="n">
        <v>4.16084600526778</v>
      </c>
      <c r="W56" s="11">
        <f>SUMIFS(H:H,A:A,creditcard[[#This Row],[YYYYMM]],G:G,creditcard[[#This Row],[Item]])</f>
        <v/>
      </c>
      <c r="X56" s="4">
        <f>IFERROR(SUMIFS(H:H,A:A,creditcard[[#This Row],[YYYYMM]],E:E,"&lt;=5")/creditcard[[#This Row],[市場總計]],"")</f>
        <v/>
      </c>
      <c r="Y56" s="4">
        <f>IFERROR(SUMIFS(H:H,A:A,creditcard[[#This Row],[YYYYMM]],E:E,"&lt;=10")/creditcard[[#This Row],[市場總計]],"")</f>
        <v/>
      </c>
      <c r="Z56" s="4">
        <f>IFERROR(SUMIFS(I:I,A:A,creditcard[[#This Row],[YYYYMM]],E:E,"&lt;=5")/creditcard[[#This Row],[有效卡數]],"")</f>
        <v/>
      </c>
      <c r="AA56" s="4">
        <f>IFERROR(SUMIFS(I:I,A:A,creditcard[[#This Row],[YYYYMM]],E:E,"&lt;=10")/creditcard[[#This Row],[有效卡數]],"")</f>
        <v/>
      </c>
      <c r="AB56" s="4">
        <f>IFERROR(SUMIFS(J:J,A:A,creditcard[[#This Row],[YYYYMM]],E:E,"&lt;=5")/creditcard[[#This Row],[當月發卡數]],"")</f>
        <v/>
      </c>
      <c r="AC56" s="4">
        <f>IFERROR(SUMIFS(J:J,A:A,creditcard[[#This Row],[YYYYMM]],E:E,"&lt;=10")/creditcard[[#This Row],[當月發卡數]],"")</f>
        <v/>
      </c>
      <c r="AD56" s="4">
        <f>IFERROR(SUMIFS(K:K,A:A,creditcard[[#This Row],[YYYYMM]],E:E,"&lt;=5")/creditcard[[#This Row],[當月停卡數]],"")</f>
        <v/>
      </c>
      <c r="AE56" s="4">
        <f>IFERROR(SUMIFS(K:K,A:A,creditcard[[#This Row],[YYYYMM]],E:E,"&lt;=10")/creditcard[[#This Row],[當月停卡數]],"")</f>
        <v/>
      </c>
      <c r="AF56" s="4">
        <f>IFERROR(SUMIFS(L:L,A:A,creditcard[[#This Row],[YYYYMM]],E:E,"&lt;=5")/creditcard[[#This Row],[循環信用餘額]],"")</f>
        <v/>
      </c>
      <c r="AG56" s="4">
        <f>IFERROR(SUMIFS(L:L,A:A,creditcard[[#This Row],[YYYYMM]],E:E,"&lt;=10")/creditcard[[#This Row],[循環信用餘額]],"")</f>
        <v/>
      </c>
      <c r="AH56" s="4">
        <f>IFERROR(SUMIFS(N:N,A:A,creditcard[[#This Row],[YYYYMM]],E:E,"&lt;=5")/creditcard[[#This Row],[當月簽帳金額]],"")</f>
        <v/>
      </c>
      <c r="AI56" s="4">
        <f>IFERROR(SUMIFS(N:N,A:A,creditcard[[#This Row],[YYYYMM]],E:E,"&lt;=10")/creditcard[[#This Row],[當月簽帳金額]],"")</f>
        <v/>
      </c>
    </row>
    <row r="57">
      <c r="A57" s="14" t="n">
        <v>202001</v>
      </c>
      <c r="B57" s="15">
        <f>LEFT(creditcard[[#This Row],[YYYYMM]],4)</f>
        <v/>
      </c>
      <c r="C57" s="15">
        <f>RIGHT(creditcard[[#This Row],[YYYYMM]],2)</f>
        <v/>
      </c>
      <c r="D57" s="15">
        <f>IF(RIGHT(creditcard[[#This Row],[YYYYMM]],2)="--","--","Q"&amp;ROUNDUP(VALUE(RIGHT(creditcard[[#This Row],[YYYYMM]],2))/3,0))</f>
        <v/>
      </c>
      <c r="E57" s="15" t="n">
        <v>1</v>
      </c>
      <c r="F57" s="155" t="inlineStr">
        <is>
          <t>中信</t>
        </is>
      </c>
      <c r="G57" s="156" t="inlineStr">
        <is>
          <t>01 中信</t>
        </is>
      </c>
      <c r="H57" s="157" t="n">
        <v>6906078</v>
      </c>
      <c r="I57" s="157" t="n">
        <v>4672275</v>
      </c>
      <c r="J57" s="157" t="n">
        <v>69461</v>
      </c>
      <c r="K57" s="157" t="n">
        <v>36184</v>
      </c>
      <c r="L57" s="157" t="n">
        <v>17851.628</v>
      </c>
      <c r="M57" s="16" t="n"/>
      <c r="N57" s="157" t="n">
        <v>39597.956</v>
      </c>
      <c r="O57" s="16" t="n"/>
      <c r="P57" s="16" t="n"/>
      <c r="Q57" s="17" t="n"/>
      <c r="R57" s="16" t="n"/>
      <c r="S57" s="16" t="n"/>
      <c r="T57" s="16" t="n"/>
      <c r="U57" s="16" t="n"/>
      <c r="V57" s="158" t="n"/>
      <c r="W57" s="16" t="n"/>
      <c r="X57" s="18" t="n"/>
      <c r="Y57" s="18" t="n"/>
      <c r="Z57" s="18" t="n"/>
      <c r="AA57" s="18" t="n"/>
      <c r="AB57" s="18" t="n"/>
      <c r="AC57" s="18" t="n"/>
      <c r="AD57" s="18" t="n"/>
      <c r="AE57" s="18" t="n"/>
      <c r="AF57" s="18" t="n"/>
      <c r="AG57" s="18" t="n"/>
      <c r="AH57" s="18" t="n"/>
      <c r="AI57" s="18" t="n"/>
    </row>
    <row r="58">
      <c r="A58" s="9" t="n">
        <v>202001</v>
      </c>
      <c r="B58" s="10">
        <f>LEFT(creditcard[[#This Row],[YYYYMM]],4)</f>
        <v/>
      </c>
      <c r="C58" s="10">
        <f>RIGHT(creditcard[[#This Row],[YYYYMM]],2)</f>
        <v/>
      </c>
      <c r="D58" s="10">
        <f>IF(RIGHT(creditcard[[#This Row],[YYYYMM]],2)="--","--","Q"&amp;ROUNDUP(VALUE(RIGHT(creditcard[[#This Row],[YYYYMM]],2))/3,0))</f>
        <v/>
      </c>
      <c r="E58" s="10" t="n">
        <v>2</v>
      </c>
      <c r="F58" s="151" t="inlineStr">
        <is>
          <t>富邦</t>
        </is>
      </c>
      <c r="G58" s="152" t="inlineStr">
        <is>
          <t>02 富邦</t>
        </is>
      </c>
      <c r="H58" s="153" t="n">
        <v>3404185</v>
      </c>
      <c r="I58" s="153" t="n">
        <v>2138652</v>
      </c>
      <c r="J58" s="153" t="n">
        <v>129372</v>
      </c>
      <c r="K58" s="153" t="n">
        <v>13426</v>
      </c>
      <c r="L58" s="153" t="n">
        <v>5524.361</v>
      </c>
      <c r="M58" s="11" t="n"/>
      <c r="N58" s="153" t="n">
        <v>22451.372</v>
      </c>
      <c r="O58" s="11" t="n"/>
      <c r="P58" s="11" t="n"/>
      <c r="Q58" s="12" t="n"/>
      <c r="R58" s="11" t="n"/>
      <c r="S58" s="11" t="n"/>
      <c r="T58" s="11" t="n"/>
      <c r="U58" s="11" t="n"/>
      <c r="V58" s="154" t="n"/>
      <c r="W58" s="11" t="n"/>
      <c r="X58" s="13" t="n"/>
      <c r="Y58" s="13" t="n"/>
      <c r="Z58" s="13" t="n"/>
      <c r="AA58" s="13" t="n"/>
      <c r="AB58" s="13" t="n"/>
      <c r="AC58" s="13" t="n"/>
      <c r="AD58" s="13" t="n"/>
      <c r="AE58" s="13" t="n"/>
      <c r="AF58" s="13" t="n"/>
      <c r="AG58" s="13" t="n"/>
      <c r="AH58" s="13" t="n"/>
      <c r="AI58" s="13" t="n"/>
    </row>
    <row r="59">
      <c r="A59" s="14" t="n">
        <v>202001</v>
      </c>
      <c r="B59" s="15">
        <f>LEFT(creditcard[[#This Row],[YYYYMM]],4)</f>
        <v/>
      </c>
      <c r="C59" s="15">
        <f>RIGHT(creditcard[[#This Row],[YYYYMM]],2)</f>
        <v/>
      </c>
      <c r="D59" s="15">
        <f>IF(RIGHT(creditcard[[#This Row],[YYYYMM]],2)="--","--","Q"&amp;ROUNDUP(VALUE(RIGHT(creditcard[[#This Row],[YYYYMM]],2))/3,0))</f>
        <v/>
      </c>
      <c r="E59" s="15" t="n">
        <v>3</v>
      </c>
      <c r="F59" s="155" t="inlineStr">
        <is>
          <t>國泰</t>
        </is>
      </c>
      <c r="G59" s="156" t="inlineStr">
        <is>
          <t>03 國泰</t>
        </is>
      </c>
      <c r="H59" s="157" t="n">
        <v>6761900</v>
      </c>
      <c r="I59" s="157" t="n">
        <v>4984194</v>
      </c>
      <c r="J59" s="157" t="n">
        <v>52753</v>
      </c>
      <c r="K59" s="157" t="n">
        <v>25082</v>
      </c>
      <c r="L59" s="157" t="n">
        <v>18431.975</v>
      </c>
      <c r="M59" s="16" t="n"/>
      <c r="N59" s="157" t="n">
        <v>43255.54</v>
      </c>
      <c r="O59" s="16" t="n"/>
      <c r="P59" s="16" t="n"/>
      <c r="Q59" s="17" t="n"/>
      <c r="R59" s="16" t="n"/>
      <c r="S59" s="16" t="n"/>
      <c r="T59" s="16" t="n"/>
      <c r="U59" s="16" t="n"/>
      <c r="V59" s="158" t="n"/>
      <c r="W59" s="16" t="n"/>
      <c r="X59" s="18" t="n"/>
      <c r="Y59" s="18" t="n"/>
      <c r="Z59" s="18" t="n"/>
      <c r="AA59" s="18" t="n"/>
      <c r="AB59" s="18" t="n"/>
      <c r="AC59" s="18" t="n"/>
      <c r="AD59" s="18" t="n"/>
      <c r="AE59" s="18" t="n"/>
      <c r="AF59" s="18" t="n"/>
      <c r="AG59" s="18" t="n"/>
      <c r="AH59" s="18" t="n"/>
      <c r="AI59" s="18" t="n"/>
    </row>
    <row r="60">
      <c r="A60" s="9" t="n">
        <v>202001</v>
      </c>
      <c r="B60" s="10">
        <f>LEFT(creditcard[[#This Row],[YYYYMM]],4)</f>
        <v/>
      </c>
      <c r="C60" s="10">
        <f>RIGHT(creditcard[[#This Row],[YYYYMM]],2)</f>
        <v/>
      </c>
      <c r="D60" s="10">
        <f>IF(RIGHT(creditcard[[#This Row],[YYYYMM]],2)="--","--","Q"&amp;ROUNDUP(VALUE(RIGHT(creditcard[[#This Row],[YYYYMM]],2))/3,0))</f>
        <v/>
      </c>
      <c r="E60" s="10" t="n">
        <v>4</v>
      </c>
      <c r="F60" s="151" t="inlineStr">
        <is>
          <t>玉山</t>
        </is>
      </c>
      <c r="G60" s="152" t="inlineStr">
        <is>
          <t>04 玉山</t>
        </is>
      </c>
      <c r="H60" s="153" t="n">
        <v>5888607</v>
      </c>
      <c r="I60" s="153" t="n">
        <v>4221953</v>
      </c>
      <c r="J60" s="153" t="n">
        <v>90310</v>
      </c>
      <c r="K60" s="153" t="n">
        <v>25775</v>
      </c>
      <c r="L60" s="153" t="n">
        <v>13551.31</v>
      </c>
      <c r="M60" s="11" t="n"/>
      <c r="N60" s="153" t="n">
        <v>41801.137</v>
      </c>
      <c r="O60" s="11" t="n"/>
      <c r="P60" s="11" t="n"/>
      <c r="Q60" s="12" t="n"/>
      <c r="R60" s="11" t="n"/>
      <c r="S60" s="11" t="n"/>
      <c r="T60" s="11" t="n"/>
      <c r="U60" s="11" t="n"/>
      <c r="V60" s="154" t="n"/>
      <c r="W60" s="11" t="n"/>
      <c r="X60" s="13" t="n"/>
      <c r="Y60" s="13" t="n"/>
      <c r="Z60" s="13" t="n"/>
      <c r="AA60" s="13" t="n"/>
      <c r="AB60" s="13" t="n"/>
      <c r="AC60" s="13" t="n"/>
      <c r="AD60" s="13" t="n"/>
      <c r="AE60" s="13" t="n"/>
      <c r="AF60" s="13" t="n"/>
      <c r="AG60" s="13" t="n"/>
      <c r="AH60" s="13" t="n"/>
      <c r="AI60" s="13" t="n"/>
    </row>
    <row r="61">
      <c r="A61" s="14" t="n">
        <v>202001</v>
      </c>
      <c r="B61" s="15">
        <f>LEFT(creditcard[[#This Row],[YYYYMM]],4)</f>
        <v/>
      </c>
      <c r="C61" s="15">
        <f>RIGHT(creditcard[[#This Row],[YYYYMM]],2)</f>
        <v/>
      </c>
      <c r="D61" s="15">
        <f>IF(RIGHT(creditcard[[#This Row],[YYYYMM]],2)="--","--","Q"&amp;ROUNDUP(VALUE(RIGHT(creditcard[[#This Row],[YYYYMM]],2))/3,0))</f>
        <v/>
      </c>
      <c r="E61" s="15" t="n">
        <v>5</v>
      </c>
      <c r="F61" s="155" t="inlineStr">
        <is>
          <t>台新</t>
        </is>
      </c>
      <c r="G61" s="156" t="inlineStr">
        <is>
          <t>05 台新</t>
        </is>
      </c>
      <c r="H61" s="157" t="n">
        <v>5385028</v>
      </c>
      <c r="I61" s="157" t="n">
        <v>3801203</v>
      </c>
      <c r="J61" s="157" t="n">
        <v>59400</v>
      </c>
      <c r="K61" s="157" t="n">
        <v>27859</v>
      </c>
      <c r="L61" s="157" t="n">
        <v>11134.764</v>
      </c>
      <c r="M61" s="16" t="n"/>
      <c r="N61" s="157" t="n">
        <v>32049.524</v>
      </c>
      <c r="O61" s="16" t="n"/>
      <c r="P61" s="16" t="n"/>
      <c r="Q61" s="17" t="n"/>
      <c r="R61" s="16" t="n"/>
      <c r="S61" s="16" t="n"/>
      <c r="T61" s="16" t="n"/>
      <c r="U61" s="16" t="n"/>
      <c r="V61" s="158" t="n"/>
      <c r="W61" s="16" t="n"/>
      <c r="X61" s="18" t="n"/>
      <c r="Y61" s="18" t="n"/>
      <c r="Z61" s="18" t="n"/>
      <c r="AA61" s="18" t="n"/>
      <c r="AB61" s="18" t="n"/>
      <c r="AC61" s="18" t="n"/>
      <c r="AD61" s="18" t="n"/>
      <c r="AE61" s="18" t="n"/>
      <c r="AF61" s="18" t="n"/>
      <c r="AG61" s="18" t="n"/>
      <c r="AH61" s="18" t="n"/>
      <c r="AI61" s="18" t="n"/>
    </row>
    <row r="62">
      <c r="A62" s="9" t="n">
        <v>202001</v>
      </c>
      <c r="B62" s="10">
        <f>LEFT(creditcard[[#This Row],[YYYYMM]],4)</f>
        <v/>
      </c>
      <c r="C62" s="10">
        <f>RIGHT(creditcard[[#This Row],[YYYYMM]],2)</f>
        <v/>
      </c>
      <c r="D62" s="10">
        <f>IF(RIGHT(creditcard[[#This Row],[YYYYMM]],2)="--","--","Q"&amp;ROUNDUP(VALUE(RIGHT(creditcard[[#This Row],[YYYYMM]],2))/3,0))</f>
        <v/>
      </c>
      <c r="E62" s="10" t="n">
        <v>6</v>
      </c>
      <c r="F62" s="151" t="inlineStr">
        <is>
          <t>星展</t>
        </is>
      </c>
      <c r="G62" s="152" t="inlineStr">
        <is>
          <t>06 星展</t>
        </is>
      </c>
      <c r="H62" s="153" t="n">
        <v>600544</v>
      </c>
      <c r="I62" s="153" t="n">
        <v>326629</v>
      </c>
      <c r="J62" s="153" t="n">
        <v>5025</v>
      </c>
      <c r="K62" s="153" t="n">
        <v>4461</v>
      </c>
      <c r="L62" s="153" t="n">
        <v>1548</v>
      </c>
      <c r="M62" s="11" t="n"/>
      <c r="N62" s="153" t="n">
        <v>3378</v>
      </c>
      <c r="O62" s="11" t="n"/>
      <c r="P62" s="11" t="n"/>
      <c r="Q62" s="12" t="n"/>
      <c r="R62" s="11" t="n"/>
      <c r="S62" s="11" t="n"/>
      <c r="T62" s="11" t="n"/>
      <c r="U62" s="11" t="n"/>
      <c r="V62" s="154" t="n"/>
      <c r="W62" s="11" t="n"/>
      <c r="X62" s="13" t="n"/>
      <c r="Y62" s="13" t="n"/>
      <c r="Z62" s="13" t="n"/>
      <c r="AA62" s="13" t="n"/>
      <c r="AB62" s="13" t="n"/>
      <c r="AC62" s="13" t="n"/>
      <c r="AD62" s="13" t="n"/>
      <c r="AE62" s="13" t="n"/>
      <c r="AF62" s="13" t="n"/>
      <c r="AG62" s="13" t="n"/>
      <c r="AH62" s="13" t="n"/>
      <c r="AI62" s="13" t="n"/>
    </row>
    <row r="63">
      <c r="A63" s="14" t="n">
        <v>202001</v>
      </c>
      <c r="B63" s="15">
        <f>LEFT(creditcard[[#This Row],[YYYYMM]],4)</f>
        <v/>
      </c>
      <c r="C63" s="15">
        <f>RIGHT(creditcard[[#This Row],[YYYYMM]],2)</f>
        <v/>
      </c>
      <c r="D63" s="15">
        <f>IF(RIGHT(creditcard[[#This Row],[YYYYMM]],2)="--","--","Q"&amp;ROUNDUP(VALUE(RIGHT(creditcard[[#This Row],[YYYYMM]],2))/3,0))</f>
        <v/>
      </c>
      <c r="E63" s="15" t="n">
        <v>7</v>
      </c>
      <c r="F63" s="155" t="inlineStr">
        <is>
          <t>聯邦</t>
        </is>
      </c>
      <c r="G63" s="156" t="inlineStr">
        <is>
          <t>07 聯邦</t>
        </is>
      </c>
      <c r="H63" s="157" t="n">
        <v>2175854</v>
      </c>
      <c r="I63" s="157" t="n">
        <v>1285410</v>
      </c>
      <c r="J63" s="157" t="n">
        <v>28120</v>
      </c>
      <c r="K63" s="157" t="n">
        <v>14972</v>
      </c>
      <c r="L63" s="157" t="n">
        <v>6032.235</v>
      </c>
      <c r="M63" s="16" t="n"/>
      <c r="N63" s="157" t="n">
        <v>8663.333000000001</v>
      </c>
      <c r="O63" s="16" t="n"/>
      <c r="P63" s="16" t="n"/>
      <c r="Q63" s="17" t="n"/>
      <c r="R63" s="16" t="n"/>
      <c r="S63" s="16" t="n"/>
      <c r="T63" s="16" t="n"/>
      <c r="U63" s="16" t="n"/>
      <c r="V63" s="158" t="n"/>
      <c r="W63" s="16" t="n"/>
      <c r="X63" s="18" t="n"/>
      <c r="Y63" s="18" t="n"/>
      <c r="Z63" s="18" t="n"/>
      <c r="AA63" s="18" t="n"/>
      <c r="AB63" s="18" t="n"/>
      <c r="AC63" s="18" t="n"/>
      <c r="AD63" s="18" t="n"/>
      <c r="AE63" s="18" t="n"/>
      <c r="AF63" s="18" t="n"/>
      <c r="AG63" s="18" t="n"/>
      <c r="AH63" s="18" t="n"/>
      <c r="AI63" s="18" t="n"/>
    </row>
    <row r="64">
      <c r="A64" s="9" t="n">
        <v>202001</v>
      </c>
      <c r="B64" s="10">
        <f>LEFT(creditcard[[#This Row],[YYYYMM]],4)</f>
        <v/>
      </c>
      <c r="C64" s="10">
        <f>RIGHT(creditcard[[#This Row],[YYYYMM]],2)</f>
        <v/>
      </c>
      <c r="D64" s="10">
        <f>IF(RIGHT(creditcard[[#This Row],[YYYYMM]],2)="--","--","Q"&amp;ROUNDUP(VALUE(RIGHT(creditcard[[#This Row],[YYYYMM]],2))/3,0))</f>
        <v/>
      </c>
      <c r="E64" s="10" t="n">
        <v>8</v>
      </c>
      <c r="F64" s="151" t="inlineStr">
        <is>
          <t>永豐</t>
        </is>
      </c>
      <c r="G64" s="152" t="inlineStr">
        <is>
          <t>08 永豐</t>
        </is>
      </c>
      <c r="H64" s="153" t="n">
        <v>2018273</v>
      </c>
      <c r="I64" s="153" t="n">
        <v>1031171</v>
      </c>
      <c r="J64" s="153" t="n">
        <v>42764</v>
      </c>
      <c r="K64" s="153" t="n">
        <v>11207</v>
      </c>
      <c r="L64" s="153" t="n">
        <v>4456.497</v>
      </c>
      <c r="M64" s="11" t="n"/>
      <c r="N64" s="153" t="n">
        <v>9377.843999999999</v>
      </c>
      <c r="O64" s="11" t="n"/>
      <c r="P64" s="11" t="n"/>
      <c r="Q64" s="12" t="n"/>
      <c r="R64" s="11" t="n"/>
      <c r="S64" s="11" t="n"/>
      <c r="T64" s="11" t="n"/>
      <c r="U64" s="11" t="n"/>
      <c r="V64" s="154" t="n"/>
      <c r="W64" s="11" t="n"/>
      <c r="X64" s="13" t="n"/>
      <c r="Y64" s="13" t="n"/>
      <c r="Z64" s="13" t="n"/>
      <c r="AA64" s="13" t="n"/>
      <c r="AB64" s="13" t="n"/>
      <c r="AC64" s="13" t="n"/>
      <c r="AD64" s="13" t="n"/>
      <c r="AE64" s="13" t="n"/>
      <c r="AF64" s="13" t="n"/>
      <c r="AG64" s="13" t="n"/>
      <c r="AH64" s="13" t="n"/>
      <c r="AI64" s="13" t="n"/>
    </row>
    <row r="65">
      <c r="A65" s="14" t="n">
        <v>202001</v>
      </c>
      <c r="B65" s="15">
        <f>LEFT(creditcard[[#This Row],[YYYYMM]],4)</f>
        <v/>
      </c>
      <c r="C65" s="15">
        <f>RIGHT(creditcard[[#This Row],[YYYYMM]],2)</f>
        <v/>
      </c>
      <c r="D65" s="15">
        <f>IF(RIGHT(creditcard[[#This Row],[YYYYMM]],2)="--","--","Q"&amp;ROUNDUP(VALUE(RIGHT(creditcard[[#This Row],[YYYYMM]],2))/3,0))</f>
        <v/>
      </c>
      <c r="E65" s="15" t="n">
        <v>9</v>
      </c>
      <c r="F65" s="155" t="inlineStr">
        <is>
          <t>第一</t>
        </is>
      </c>
      <c r="G65" s="156" t="inlineStr">
        <is>
          <t>09 第一</t>
        </is>
      </c>
      <c r="H65" s="157" t="n">
        <v>1216859</v>
      </c>
      <c r="I65" s="157" t="n">
        <v>748430</v>
      </c>
      <c r="J65" s="157" t="n">
        <v>8502</v>
      </c>
      <c r="K65" s="157" t="n">
        <v>9238</v>
      </c>
      <c r="L65" s="157" t="n">
        <v>1511</v>
      </c>
      <c r="M65" s="16" t="n"/>
      <c r="N65" s="157" t="n">
        <v>4534</v>
      </c>
      <c r="O65" s="16" t="n"/>
      <c r="P65" s="16" t="n"/>
      <c r="Q65" s="17" t="n"/>
      <c r="R65" s="16" t="n"/>
      <c r="S65" s="16" t="n"/>
      <c r="T65" s="16" t="n"/>
      <c r="U65" s="16" t="n"/>
      <c r="V65" s="158" t="n"/>
      <c r="W65" s="16" t="n"/>
      <c r="X65" s="18" t="n"/>
      <c r="Y65" s="18" t="n"/>
      <c r="Z65" s="18" t="n"/>
      <c r="AA65" s="18" t="n"/>
      <c r="AB65" s="18" t="n"/>
      <c r="AC65" s="18" t="n"/>
      <c r="AD65" s="18" t="n"/>
      <c r="AE65" s="18" t="n"/>
      <c r="AF65" s="18" t="n"/>
      <c r="AG65" s="18" t="n"/>
      <c r="AH65" s="18" t="n"/>
      <c r="AI65" s="18" t="n"/>
    </row>
    <row r="66">
      <c r="A66" s="9" t="n">
        <v>202001</v>
      </c>
      <c r="B66" s="10">
        <f>LEFT(creditcard[[#This Row],[YYYYMM]],4)</f>
        <v/>
      </c>
      <c r="C66" s="10">
        <f>RIGHT(creditcard[[#This Row],[YYYYMM]],2)</f>
        <v/>
      </c>
      <c r="D66" s="10">
        <f>IF(RIGHT(creditcard[[#This Row],[YYYYMM]],2)="--","--","Q"&amp;ROUNDUP(VALUE(RIGHT(creditcard[[#This Row],[YYYYMM]],2))/3,0))</f>
        <v/>
      </c>
      <c r="E66" s="10" t="n">
        <v>10</v>
      </c>
      <c r="F66" s="151" t="inlineStr">
        <is>
          <t>遠東</t>
        </is>
      </c>
      <c r="G66" s="152" t="inlineStr">
        <is>
          <t>10 遠東</t>
        </is>
      </c>
      <c r="H66" s="153" t="n">
        <v>1589873</v>
      </c>
      <c r="I66" s="153" t="n">
        <v>1052270</v>
      </c>
      <c r="J66" s="153" t="n">
        <v>9400</v>
      </c>
      <c r="K66" s="153" t="n">
        <v>6734</v>
      </c>
      <c r="L66" s="153" t="n">
        <v>4330.002</v>
      </c>
      <c r="M66" s="11" t="n"/>
      <c r="N66" s="153" t="n">
        <v>4696.507</v>
      </c>
      <c r="O66" s="11" t="n"/>
      <c r="P66" s="11" t="n"/>
      <c r="Q66" s="12" t="n"/>
      <c r="R66" s="11" t="n"/>
      <c r="S66" s="11" t="n"/>
      <c r="T66" s="11" t="n"/>
      <c r="U66" s="11" t="n"/>
      <c r="V66" s="154" t="n"/>
      <c r="W66" s="11" t="n"/>
      <c r="X66" s="13" t="n"/>
      <c r="Y66" s="13" t="n"/>
      <c r="Z66" s="13" t="n"/>
      <c r="AA66" s="13" t="n"/>
      <c r="AB66" s="13" t="n"/>
      <c r="AC66" s="13" t="n"/>
      <c r="AD66" s="13" t="n"/>
      <c r="AE66" s="13" t="n"/>
      <c r="AF66" s="13" t="n"/>
      <c r="AG66" s="13" t="n"/>
      <c r="AH66" s="13" t="n"/>
      <c r="AI66" s="13" t="n"/>
    </row>
    <row r="67">
      <c r="A67" s="14" t="n">
        <v>202001</v>
      </c>
      <c r="B67" s="15">
        <f>LEFT(creditcard[[#This Row],[YYYYMM]],4)</f>
        <v/>
      </c>
      <c r="C67" s="15">
        <f>RIGHT(creditcard[[#This Row],[YYYYMM]],2)</f>
        <v/>
      </c>
      <c r="D67" s="15">
        <f>IF(RIGHT(creditcard[[#This Row],[YYYYMM]],2)="--","--","Q"&amp;ROUNDUP(VALUE(RIGHT(creditcard[[#This Row],[YYYYMM]],2))/3,0))</f>
        <v/>
      </c>
      <c r="E67" s="15" t="n">
        <v>11</v>
      </c>
      <c r="F67" s="155" t="inlineStr">
        <is>
          <t>市場總計</t>
        </is>
      </c>
      <c r="G67" s="156" t="inlineStr">
        <is>
          <t>11 市場總計</t>
        </is>
      </c>
      <c r="H67" s="157" t="n">
        <v>47732308</v>
      </c>
      <c r="I67" s="157" t="n">
        <v>32024975</v>
      </c>
      <c r="J67" s="157" t="n">
        <v>596373</v>
      </c>
      <c r="K67" s="157" t="n">
        <v>265723</v>
      </c>
      <c r="L67" s="157" t="n">
        <v>113448.496</v>
      </c>
      <c r="M67" s="16" t="n"/>
      <c r="N67" s="157" t="n">
        <v>273084.436</v>
      </c>
      <c r="O67" s="16" t="n"/>
      <c r="P67" s="16" t="n"/>
      <c r="Q67" s="17" t="n"/>
      <c r="R67" s="16" t="n"/>
      <c r="S67" s="16" t="n"/>
      <c r="T67" s="16" t="n"/>
      <c r="U67" s="16" t="n"/>
      <c r="V67" s="158" t="n">
        <v>4.18</v>
      </c>
      <c r="W67" s="16">
        <f>SUMIFS(H:H,A:A,creditcard[[#This Row],[YYYYMM]],G:G,creditcard[[#This Row],[Item]])</f>
        <v/>
      </c>
      <c r="X67" s="4">
        <f>IFERROR(SUMIFS(H:H,A:A,creditcard[[#This Row],[YYYYMM]],E:E,"&lt;=5")/creditcard[[#This Row],[市場總計]],"")</f>
        <v/>
      </c>
      <c r="Y67" s="4">
        <f>IFERROR(SUMIFS(H:H,A:A,creditcard[[#This Row],[YYYYMM]],E:E,"&lt;=10")/creditcard[[#This Row],[市場總計]],"")</f>
        <v/>
      </c>
      <c r="Z67" s="4">
        <f>IFERROR(SUMIFS(I:I,A:A,creditcard[[#This Row],[YYYYMM]],E:E,"&lt;=5")/creditcard[[#This Row],[有效卡數]],"")</f>
        <v/>
      </c>
      <c r="AA67" s="4">
        <f>IFERROR(SUMIFS(I:I,A:A,creditcard[[#This Row],[YYYYMM]],E:E,"&lt;=10")/creditcard[[#This Row],[有效卡數]],"")</f>
        <v/>
      </c>
      <c r="AB67" s="4">
        <f>IFERROR(SUMIFS(J:J,A:A,creditcard[[#This Row],[YYYYMM]],E:E,"&lt;=5")/creditcard[[#This Row],[當月發卡數]],"")</f>
        <v/>
      </c>
      <c r="AC67" s="4">
        <f>IFERROR(SUMIFS(J:J,A:A,creditcard[[#This Row],[YYYYMM]],E:E,"&lt;=10")/creditcard[[#This Row],[當月發卡數]],"")</f>
        <v/>
      </c>
      <c r="AD67" s="4">
        <f>IFERROR(SUMIFS(K:K,A:A,creditcard[[#This Row],[YYYYMM]],E:E,"&lt;=5")/creditcard[[#This Row],[當月停卡數]],"")</f>
        <v/>
      </c>
      <c r="AE67" s="4">
        <f>IFERROR(SUMIFS(K:K,A:A,creditcard[[#This Row],[YYYYMM]],E:E,"&lt;=10")/creditcard[[#This Row],[當月停卡數]],"")</f>
        <v/>
      </c>
      <c r="AF67" s="4">
        <f>IFERROR(SUMIFS(L:L,A:A,creditcard[[#This Row],[YYYYMM]],E:E,"&lt;=5")/creditcard[[#This Row],[循環信用餘額]],"")</f>
        <v/>
      </c>
      <c r="AG67" s="4">
        <f>IFERROR(SUMIFS(L:L,A:A,creditcard[[#This Row],[YYYYMM]],E:E,"&lt;=10")/creditcard[[#This Row],[循環信用餘額]],"")</f>
        <v/>
      </c>
      <c r="AH67" s="4">
        <f>IFERROR(SUMIFS(N:N,A:A,creditcard[[#This Row],[YYYYMM]],E:E,"&lt;=5")/creditcard[[#This Row],[當月簽帳金額]],"")</f>
        <v/>
      </c>
      <c r="AI67" s="4">
        <f>IFERROR(SUMIFS(N:N,A:A,creditcard[[#This Row],[YYYYMM]],E:E,"&lt;=10")/creditcard[[#This Row],[當月簽帳金額]],"")</f>
        <v/>
      </c>
    </row>
    <row r="68">
      <c r="A68" s="9" t="n">
        <v>202002</v>
      </c>
      <c r="B68" s="10">
        <f>LEFT(creditcard[[#This Row],[YYYYMM]],4)</f>
        <v/>
      </c>
      <c r="C68" s="10">
        <f>RIGHT(creditcard[[#This Row],[YYYYMM]],2)</f>
        <v/>
      </c>
      <c r="D68" s="10">
        <f>IF(RIGHT(creditcard[[#This Row],[YYYYMM]],2)="--","--","Q"&amp;ROUNDUP(VALUE(RIGHT(creditcard[[#This Row],[YYYYMM]],2))/3,0))</f>
        <v/>
      </c>
      <c r="E68" s="10" t="n">
        <v>1</v>
      </c>
      <c r="F68" s="151" t="inlineStr">
        <is>
          <t>中信</t>
        </is>
      </c>
      <c r="G68" s="152" t="inlineStr">
        <is>
          <t>01 中信</t>
        </is>
      </c>
      <c r="H68" s="153" t="n">
        <v>6921395</v>
      </c>
      <c r="I68" s="153" t="n">
        <v>4643745</v>
      </c>
      <c r="J68" s="153" t="n">
        <v>65013</v>
      </c>
      <c r="K68" s="153" t="n">
        <v>49696</v>
      </c>
      <c r="L68" s="153" t="n">
        <v>17401.582</v>
      </c>
      <c r="M68" s="11" t="n"/>
      <c r="N68" s="153" t="n">
        <v>32613.331</v>
      </c>
      <c r="O68" s="11" t="n"/>
      <c r="P68" s="11" t="n"/>
      <c r="Q68" s="12" t="n"/>
      <c r="R68" s="11" t="n"/>
      <c r="S68" s="11" t="n"/>
      <c r="T68" s="11" t="n"/>
      <c r="U68" s="11" t="n"/>
      <c r="V68" s="154" t="n"/>
      <c r="W68" s="11" t="n"/>
      <c r="X68" s="13" t="n"/>
      <c r="Y68" s="13" t="n"/>
      <c r="Z68" s="13" t="n"/>
      <c r="AA68" s="13" t="n"/>
      <c r="AB68" s="13" t="n"/>
      <c r="AC68" s="13" t="n"/>
      <c r="AD68" s="13" t="n"/>
      <c r="AE68" s="13" t="n"/>
      <c r="AF68" s="13" t="n"/>
      <c r="AG68" s="13" t="n"/>
      <c r="AH68" s="13" t="n"/>
      <c r="AI68" s="13" t="n"/>
    </row>
    <row r="69">
      <c r="A69" s="14" t="n">
        <v>202002</v>
      </c>
      <c r="B69" s="15">
        <f>LEFT(creditcard[[#This Row],[YYYYMM]],4)</f>
        <v/>
      </c>
      <c r="C69" s="15">
        <f>RIGHT(creditcard[[#This Row],[YYYYMM]],2)</f>
        <v/>
      </c>
      <c r="D69" s="15">
        <f>IF(RIGHT(creditcard[[#This Row],[YYYYMM]],2)="--","--","Q"&amp;ROUNDUP(VALUE(RIGHT(creditcard[[#This Row],[YYYYMM]],2))/3,0))</f>
        <v/>
      </c>
      <c r="E69" s="15" t="n">
        <v>2</v>
      </c>
      <c r="F69" s="155" t="inlineStr">
        <is>
          <t>富邦</t>
        </is>
      </c>
      <c r="G69" s="156" t="inlineStr">
        <is>
          <t>02 富邦</t>
        </is>
      </c>
      <c r="H69" s="157" t="n">
        <v>3464782</v>
      </c>
      <c r="I69" s="157" t="n">
        <v>2175622</v>
      </c>
      <c r="J69" s="157" t="n">
        <v>76924</v>
      </c>
      <c r="K69" s="157" t="n">
        <v>16327</v>
      </c>
      <c r="L69" s="157" t="n">
        <v>5471.431</v>
      </c>
      <c r="M69" s="16" t="n"/>
      <c r="N69" s="157" t="n">
        <v>18196.547</v>
      </c>
      <c r="O69" s="16" t="n"/>
      <c r="P69" s="16" t="n"/>
      <c r="Q69" s="17" t="n"/>
      <c r="R69" s="16" t="n"/>
      <c r="S69" s="16" t="n"/>
      <c r="T69" s="16" t="n"/>
      <c r="U69" s="16" t="n"/>
      <c r="V69" s="158" t="n"/>
      <c r="W69" s="16" t="n"/>
      <c r="X69" s="18" t="n"/>
      <c r="Y69" s="18" t="n"/>
      <c r="Z69" s="18" t="n"/>
      <c r="AA69" s="18" t="n"/>
      <c r="AB69" s="18" t="n"/>
      <c r="AC69" s="18" t="n"/>
      <c r="AD69" s="18" t="n"/>
      <c r="AE69" s="18" t="n"/>
      <c r="AF69" s="18" t="n"/>
      <c r="AG69" s="18" t="n"/>
      <c r="AH69" s="18" t="n"/>
      <c r="AI69" s="18" t="n"/>
    </row>
    <row r="70">
      <c r="A70" s="9" t="n">
        <v>202002</v>
      </c>
      <c r="B70" s="10">
        <f>LEFT(creditcard[[#This Row],[YYYYMM]],4)</f>
        <v/>
      </c>
      <c r="C70" s="10">
        <f>RIGHT(creditcard[[#This Row],[YYYYMM]],2)</f>
        <v/>
      </c>
      <c r="D70" s="10">
        <f>IF(RIGHT(creditcard[[#This Row],[YYYYMM]],2)="--","--","Q"&amp;ROUNDUP(VALUE(RIGHT(creditcard[[#This Row],[YYYYMM]],2))/3,0))</f>
        <v/>
      </c>
      <c r="E70" s="10" t="n">
        <v>3</v>
      </c>
      <c r="F70" s="151" t="inlineStr">
        <is>
          <t>國泰</t>
        </is>
      </c>
      <c r="G70" s="152" t="inlineStr">
        <is>
          <t>03 國泰</t>
        </is>
      </c>
      <c r="H70" s="153" t="n">
        <v>6798879</v>
      </c>
      <c r="I70" s="153" t="n">
        <v>4993091</v>
      </c>
      <c r="J70" s="153" t="n">
        <v>64565</v>
      </c>
      <c r="K70" s="153" t="n">
        <v>27586</v>
      </c>
      <c r="L70" s="153" t="n">
        <v>18818.752</v>
      </c>
      <c r="M70" s="11" t="n"/>
      <c r="N70" s="153" t="n">
        <v>33152.193</v>
      </c>
      <c r="O70" s="11" t="n"/>
      <c r="P70" s="11" t="n"/>
      <c r="Q70" s="12" t="n"/>
      <c r="R70" s="11" t="n"/>
      <c r="S70" s="11" t="n"/>
      <c r="T70" s="11" t="n"/>
      <c r="U70" s="11" t="n"/>
      <c r="V70" s="154" t="n"/>
      <c r="W70" s="11" t="n"/>
      <c r="X70" s="13" t="n"/>
      <c r="Y70" s="13" t="n"/>
      <c r="Z70" s="13" t="n"/>
      <c r="AA70" s="13" t="n"/>
      <c r="AB70" s="13" t="n"/>
      <c r="AC70" s="13" t="n"/>
      <c r="AD70" s="13" t="n"/>
      <c r="AE70" s="13" t="n"/>
      <c r="AF70" s="13" t="n"/>
      <c r="AG70" s="13" t="n"/>
      <c r="AH70" s="13" t="n"/>
      <c r="AI70" s="13" t="n"/>
    </row>
    <row r="71">
      <c r="A71" s="14" t="n">
        <v>202002</v>
      </c>
      <c r="B71" s="15">
        <f>LEFT(creditcard[[#This Row],[YYYYMM]],4)</f>
        <v/>
      </c>
      <c r="C71" s="15">
        <f>RIGHT(creditcard[[#This Row],[YYYYMM]],2)</f>
        <v/>
      </c>
      <c r="D71" s="15">
        <f>IF(RIGHT(creditcard[[#This Row],[YYYYMM]],2)="--","--","Q"&amp;ROUNDUP(VALUE(RIGHT(creditcard[[#This Row],[YYYYMM]],2))/3,0))</f>
        <v/>
      </c>
      <c r="E71" s="15" t="n">
        <v>4</v>
      </c>
      <c r="F71" s="155" t="inlineStr">
        <is>
          <t>玉山</t>
        </is>
      </c>
      <c r="G71" s="156" t="inlineStr">
        <is>
          <t>04 玉山</t>
        </is>
      </c>
      <c r="H71" s="157" t="n">
        <v>5947662</v>
      </c>
      <c r="I71" s="157" t="n">
        <v>4277618</v>
      </c>
      <c r="J71" s="157" t="n">
        <v>86840</v>
      </c>
      <c r="K71" s="157" t="n">
        <v>27785</v>
      </c>
      <c r="L71" s="157" t="n">
        <v>13066.3</v>
      </c>
      <c r="M71" s="16" t="n"/>
      <c r="N71" s="157" t="n">
        <v>33815.785</v>
      </c>
      <c r="O71" s="16" t="n"/>
      <c r="P71" s="16" t="n"/>
      <c r="Q71" s="17" t="n"/>
      <c r="R71" s="16" t="n"/>
      <c r="S71" s="16" t="n"/>
      <c r="T71" s="16" t="n"/>
      <c r="U71" s="16" t="n"/>
      <c r="V71" s="158" t="n"/>
      <c r="W71" s="16" t="n"/>
      <c r="X71" s="18" t="n"/>
      <c r="Y71" s="18" t="n"/>
      <c r="Z71" s="18" t="n"/>
      <c r="AA71" s="18" t="n"/>
      <c r="AB71" s="18" t="n"/>
      <c r="AC71" s="18" t="n"/>
      <c r="AD71" s="18" t="n"/>
      <c r="AE71" s="18" t="n"/>
      <c r="AF71" s="18" t="n"/>
      <c r="AG71" s="18" t="n"/>
      <c r="AH71" s="18" t="n"/>
      <c r="AI71" s="18" t="n"/>
    </row>
    <row r="72">
      <c r="A72" s="9" t="n">
        <v>202002</v>
      </c>
      <c r="B72" s="10">
        <f>LEFT(creditcard[[#This Row],[YYYYMM]],4)</f>
        <v/>
      </c>
      <c r="C72" s="10">
        <f>RIGHT(creditcard[[#This Row],[YYYYMM]],2)</f>
        <v/>
      </c>
      <c r="D72" s="10">
        <f>IF(RIGHT(creditcard[[#This Row],[YYYYMM]],2)="--","--","Q"&amp;ROUNDUP(VALUE(RIGHT(creditcard[[#This Row],[YYYYMM]],2))/3,0))</f>
        <v/>
      </c>
      <c r="E72" s="10" t="n">
        <v>5</v>
      </c>
      <c r="F72" s="151" t="inlineStr">
        <is>
          <t>台新</t>
        </is>
      </c>
      <c r="G72" s="152" t="inlineStr">
        <is>
          <t>05 台新</t>
        </is>
      </c>
      <c r="H72" s="153" t="n">
        <v>5418984</v>
      </c>
      <c r="I72" s="153" t="n">
        <v>3795970</v>
      </c>
      <c r="J72" s="153" t="n">
        <v>60230</v>
      </c>
      <c r="K72" s="153" t="n">
        <v>26274</v>
      </c>
      <c r="L72" s="153" t="n">
        <v>10913.747</v>
      </c>
      <c r="M72" s="11" t="n"/>
      <c r="N72" s="153" t="n">
        <v>26463.648</v>
      </c>
      <c r="O72" s="11" t="n"/>
      <c r="P72" s="11" t="n"/>
      <c r="Q72" s="12" t="n"/>
      <c r="R72" s="11" t="n"/>
      <c r="S72" s="11" t="n"/>
      <c r="T72" s="11" t="n"/>
      <c r="U72" s="11" t="n"/>
      <c r="V72" s="154" t="n"/>
      <c r="W72" s="11" t="n"/>
      <c r="X72" s="13" t="n"/>
      <c r="Y72" s="13" t="n"/>
      <c r="Z72" s="13" t="n"/>
      <c r="AA72" s="13" t="n"/>
      <c r="AB72" s="13" t="n"/>
      <c r="AC72" s="13" t="n"/>
      <c r="AD72" s="13" t="n"/>
      <c r="AE72" s="13" t="n"/>
      <c r="AF72" s="13" t="n"/>
      <c r="AG72" s="13" t="n"/>
      <c r="AH72" s="13" t="n"/>
      <c r="AI72" s="13" t="n"/>
    </row>
    <row r="73">
      <c r="A73" s="14" t="n">
        <v>202002</v>
      </c>
      <c r="B73" s="15">
        <f>LEFT(creditcard[[#This Row],[YYYYMM]],4)</f>
        <v/>
      </c>
      <c r="C73" s="15">
        <f>RIGHT(creditcard[[#This Row],[YYYYMM]],2)</f>
        <v/>
      </c>
      <c r="D73" s="15">
        <f>IF(RIGHT(creditcard[[#This Row],[YYYYMM]],2)="--","--","Q"&amp;ROUNDUP(VALUE(RIGHT(creditcard[[#This Row],[YYYYMM]],2))/3,0))</f>
        <v/>
      </c>
      <c r="E73" s="15" t="n">
        <v>6</v>
      </c>
      <c r="F73" s="155" t="inlineStr">
        <is>
          <t>星展</t>
        </is>
      </c>
      <c r="G73" s="156" t="inlineStr">
        <is>
          <t>06 星展</t>
        </is>
      </c>
      <c r="H73" s="157" t="n">
        <v>602323</v>
      </c>
      <c r="I73" s="157" t="n">
        <v>324227</v>
      </c>
      <c r="J73" s="157" t="n">
        <v>5313</v>
      </c>
      <c r="K73" s="157" t="n">
        <v>4898</v>
      </c>
      <c r="L73" s="157" t="n">
        <v>1562</v>
      </c>
      <c r="M73" s="16" t="n"/>
      <c r="N73" s="157" t="n">
        <v>2843</v>
      </c>
      <c r="O73" s="16" t="n"/>
      <c r="P73" s="16" t="n"/>
      <c r="Q73" s="17" t="n"/>
      <c r="R73" s="16" t="n"/>
      <c r="S73" s="16" t="n"/>
      <c r="T73" s="16" t="n"/>
      <c r="U73" s="16" t="n"/>
      <c r="V73" s="158" t="n"/>
      <c r="W73" s="16" t="n"/>
      <c r="X73" s="18" t="n"/>
      <c r="Y73" s="18" t="n"/>
      <c r="Z73" s="18" t="n"/>
      <c r="AA73" s="18" t="n"/>
      <c r="AB73" s="18" t="n"/>
      <c r="AC73" s="18" t="n"/>
      <c r="AD73" s="18" t="n"/>
      <c r="AE73" s="18" t="n"/>
      <c r="AF73" s="18" t="n"/>
      <c r="AG73" s="18" t="n"/>
      <c r="AH73" s="18" t="n"/>
      <c r="AI73" s="18" t="n"/>
    </row>
    <row r="74">
      <c r="A74" s="9" t="n">
        <v>202002</v>
      </c>
      <c r="B74" s="10">
        <f>LEFT(creditcard[[#This Row],[YYYYMM]],4)</f>
        <v/>
      </c>
      <c r="C74" s="10">
        <f>RIGHT(creditcard[[#This Row],[YYYYMM]],2)</f>
        <v/>
      </c>
      <c r="D74" s="10">
        <f>IF(RIGHT(creditcard[[#This Row],[YYYYMM]],2)="--","--","Q"&amp;ROUNDUP(VALUE(RIGHT(creditcard[[#This Row],[YYYYMM]],2))/3,0))</f>
        <v/>
      </c>
      <c r="E74" s="10" t="n">
        <v>7</v>
      </c>
      <c r="F74" s="151" t="inlineStr">
        <is>
          <t>聯邦</t>
        </is>
      </c>
      <c r="G74" s="152" t="inlineStr">
        <is>
          <t>07 聯邦</t>
        </is>
      </c>
      <c r="H74" s="153" t="n">
        <v>2191207</v>
      </c>
      <c r="I74" s="153" t="n">
        <v>1292659</v>
      </c>
      <c r="J74" s="153" t="n">
        <v>30764</v>
      </c>
      <c r="K74" s="153" t="n">
        <v>15411</v>
      </c>
      <c r="L74" s="153" t="n">
        <v>5948.506</v>
      </c>
      <c r="M74" s="11" t="n"/>
      <c r="N74" s="153" t="n">
        <v>6693.412</v>
      </c>
      <c r="O74" s="11" t="n"/>
      <c r="P74" s="11" t="n"/>
      <c r="Q74" s="12" t="n"/>
      <c r="R74" s="11" t="n"/>
      <c r="S74" s="11" t="n"/>
      <c r="T74" s="11" t="n"/>
      <c r="U74" s="11" t="n"/>
      <c r="V74" s="154" t="n"/>
      <c r="W74" s="11" t="n"/>
      <c r="X74" s="13" t="n"/>
      <c r="Y74" s="13" t="n"/>
      <c r="Z74" s="13" t="n"/>
      <c r="AA74" s="13" t="n"/>
      <c r="AB74" s="13" t="n"/>
      <c r="AC74" s="13" t="n"/>
      <c r="AD74" s="13" t="n"/>
      <c r="AE74" s="13" t="n"/>
      <c r="AF74" s="13" t="n"/>
      <c r="AG74" s="13" t="n"/>
      <c r="AH74" s="13" t="n"/>
      <c r="AI74" s="13" t="n"/>
    </row>
    <row r="75">
      <c r="A75" s="14" t="n">
        <v>202002</v>
      </c>
      <c r="B75" s="15">
        <f>LEFT(creditcard[[#This Row],[YYYYMM]],4)</f>
        <v/>
      </c>
      <c r="C75" s="15">
        <f>RIGHT(creditcard[[#This Row],[YYYYMM]],2)</f>
        <v/>
      </c>
      <c r="D75" s="15">
        <f>IF(RIGHT(creditcard[[#This Row],[YYYYMM]],2)="--","--","Q"&amp;ROUNDUP(VALUE(RIGHT(creditcard[[#This Row],[YYYYMM]],2))/3,0))</f>
        <v/>
      </c>
      <c r="E75" s="15" t="n">
        <v>8</v>
      </c>
      <c r="F75" s="155" t="inlineStr">
        <is>
          <t>永豐</t>
        </is>
      </c>
      <c r="G75" s="156" t="inlineStr">
        <is>
          <t>08 永豐</t>
        </is>
      </c>
      <c r="H75" s="157" t="n">
        <v>2022117</v>
      </c>
      <c r="I75" s="157" t="n">
        <v>1029680</v>
      </c>
      <c r="J75" s="157" t="n">
        <v>36389</v>
      </c>
      <c r="K75" s="157" t="n">
        <v>32687</v>
      </c>
      <c r="L75" s="157" t="n">
        <v>4404.887</v>
      </c>
      <c r="M75" s="16" t="n"/>
      <c r="N75" s="157" t="n">
        <v>7896.036</v>
      </c>
      <c r="O75" s="16" t="n"/>
      <c r="P75" s="16" t="n"/>
      <c r="Q75" s="17" t="n"/>
      <c r="R75" s="16" t="n"/>
      <c r="S75" s="16" t="n"/>
      <c r="T75" s="16" t="n"/>
      <c r="U75" s="16" t="n"/>
      <c r="V75" s="158" t="n"/>
      <c r="W75" s="16" t="n"/>
      <c r="X75" s="18" t="n"/>
      <c r="Y75" s="18" t="n"/>
      <c r="Z75" s="18" t="n"/>
      <c r="AA75" s="18" t="n"/>
      <c r="AB75" s="18" t="n"/>
      <c r="AC75" s="18" t="n"/>
      <c r="AD75" s="18" t="n"/>
      <c r="AE75" s="18" t="n"/>
      <c r="AF75" s="18" t="n"/>
      <c r="AG75" s="18" t="n"/>
      <c r="AH75" s="18" t="n"/>
      <c r="AI75" s="18" t="n"/>
    </row>
    <row r="76">
      <c r="A76" s="9" t="n">
        <v>202002</v>
      </c>
      <c r="B76" s="10">
        <f>LEFT(creditcard[[#This Row],[YYYYMM]],4)</f>
        <v/>
      </c>
      <c r="C76" s="10">
        <f>RIGHT(creditcard[[#This Row],[YYYYMM]],2)</f>
        <v/>
      </c>
      <c r="D76" s="10">
        <f>IF(RIGHT(creditcard[[#This Row],[YYYYMM]],2)="--","--","Q"&amp;ROUNDUP(VALUE(RIGHT(creditcard[[#This Row],[YYYYMM]],2))/3,0))</f>
        <v/>
      </c>
      <c r="E76" s="10" t="n">
        <v>9</v>
      </c>
      <c r="F76" s="151" t="inlineStr">
        <is>
          <t>第一</t>
        </is>
      </c>
      <c r="G76" s="152" t="inlineStr">
        <is>
          <t>09 第一</t>
        </is>
      </c>
      <c r="H76" s="153" t="n">
        <v>1221089</v>
      </c>
      <c r="I76" s="153" t="n">
        <v>741911</v>
      </c>
      <c r="J76" s="153" t="n">
        <v>12189</v>
      </c>
      <c r="K76" s="153" t="n">
        <v>10428</v>
      </c>
      <c r="L76" s="153" t="n">
        <v>1474</v>
      </c>
      <c r="M76" s="11" t="n"/>
      <c r="N76" s="153" t="n">
        <v>3924</v>
      </c>
      <c r="O76" s="11" t="n"/>
      <c r="P76" s="11" t="n"/>
      <c r="Q76" s="12" t="n"/>
      <c r="R76" s="11" t="n"/>
      <c r="S76" s="11" t="n"/>
      <c r="T76" s="11" t="n"/>
      <c r="U76" s="11" t="n"/>
      <c r="V76" s="154" t="n"/>
      <c r="W76" s="11" t="n"/>
      <c r="X76" s="13" t="n"/>
      <c r="Y76" s="13" t="n"/>
      <c r="Z76" s="13" t="n"/>
      <c r="AA76" s="13" t="n"/>
      <c r="AB76" s="13" t="n"/>
      <c r="AC76" s="13" t="n"/>
      <c r="AD76" s="13" t="n"/>
      <c r="AE76" s="13" t="n"/>
      <c r="AF76" s="13" t="n"/>
      <c r="AG76" s="13" t="n"/>
      <c r="AH76" s="13" t="n"/>
      <c r="AI76" s="13" t="n"/>
    </row>
    <row r="77">
      <c r="A77" s="14" t="n">
        <v>202002</v>
      </c>
      <c r="B77" s="15">
        <f>LEFT(creditcard[[#This Row],[YYYYMM]],4)</f>
        <v/>
      </c>
      <c r="C77" s="15">
        <f>RIGHT(creditcard[[#This Row],[YYYYMM]],2)</f>
        <v/>
      </c>
      <c r="D77" s="15">
        <f>IF(RIGHT(creditcard[[#This Row],[YYYYMM]],2)="--","--","Q"&amp;ROUNDUP(VALUE(RIGHT(creditcard[[#This Row],[YYYYMM]],2))/3,0))</f>
        <v/>
      </c>
      <c r="E77" s="15" t="n">
        <v>10</v>
      </c>
      <c r="F77" s="155" t="inlineStr">
        <is>
          <t>遠東</t>
        </is>
      </c>
      <c r="G77" s="156" t="inlineStr">
        <is>
          <t>10 遠東</t>
        </is>
      </c>
      <c r="H77" s="157" t="n">
        <v>1594668</v>
      </c>
      <c r="I77" s="157" t="n">
        <v>1045414</v>
      </c>
      <c r="J77" s="157" t="n">
        <v>11103</v>
      </c>
      <c r="K77" s="157" t="n">
        <v>6366</v>
      </c>
      <c r="L77" s="157" t="n">
        <v>4542.339</v>
      </c>
      <c r="M77" s="16" t="n"/>
      <c r="N77" s="157" t="n">
        <v>3507.14</v>
      </c>
      <c r="O77" s="16" t="n"/>
      <c r="P77" s="16" t="n"/>
      <c r="Q77" s="17" t="n"/>
      <c r="R77" s="16" t="n"/>
      <c r="S77" s="16" t="n"/>
      <c r="T77" s="16" t="n"/>
      <c r="U77" s="16" t="n"/>
      <c r="V77" s="158" t="n"/>
      <c r="W77" s="16" t="n"/>
      <c r="X77" s="18" t="n"/>
      <c r="Y77" s="18" t="n"/>
      <c r="Z77" s="18" t="n"/>
      <c r="AA77" s="18" t="n"/>
      <c r="AB77" s="18" t="n"/>
      <c r="AC77" s="18" t="n"/>
      <c r="AD77" s="18" t="n"/>
      <c r="AE77" s="18" t="n"/>
      <c r="AF77" s="18" t="n"/>
      <c r="AG77" s="18" t="n"/>
      <c r="AH77" s="18" t="n"/>
      <c r="AI77" s="18" t="n"/>
    </row>
    <row r="78">
      <c r="A78" s="9" t="n">
        <v>202002</v>
      </c>
      <c r="B78" s="10">
        <f>LEFT(creditcard[[#This Row],[YYYYMM]],4)</f>
        <v/>
      </c>
      <c r="C78" s="10">
        <f>RIGHT(creditcard[[#This Row],[YYYYMM]],2)</f>
        <v/>
      </c>
      <c r="D78" s="10">
        <f>IF(RIGHT(creditcard[[#This Row],[YYYYMM]],2)="--","--","Q"&amp;ROUNDUP(VALUE(RIGHT(creditcard[[#This Row],[YYYYMM]],2))/3,0))</f>
        <v/>
      </c>
      <c r="E78" s="10" t="n">
        <v>11</v>
      </c>
      <c r="F78" s="151" t="inlineStr">
        <is>
          <t>市場總計</t>
        </is>
      </c>
      <c r="G78" s="152" t="inlineStr">
        <is>
          <t>11 市場總計</t>
        </is>
      </c>
      <c r="H78" s="153" t="n">
        <v>48024659</v>
      </c>
      <c r="I78" s="153" t="n">
        <v>32044792</v>
      </c>
      <c r="J78" s="153" t="n">
        <v>587051</v>
      </c>
      <c r="K78" s="153" t="n">
        <v>302753</v>
      </c>
      <c r="L78" s="153" t="n">
        <v>110847.008</v>
      </c>
      <c r="M78" s="11" t="n"/>
      <c r="N78" s="153" t="n">
        <v>218401.915</v>
      </c>
      <c r="O78" s="11" t="n"/>
      <c r="P78" s="11" t="n"/>
      <c r="Q78" s="12" t="n"/>
      <c r="R78" s="11" t="n"/>
      <c r="S78" s="11" t="n"/>
      <c r="T78" s="11" t="n"/>
      <c r="U78" s="11" t="n"/>
      <c r="V78" s="154" t="n">
        <v>4.2</v>
      </c>
      <c r="W78" s="11">
        <f>SUMIFS(H:H,A:A,creditcard[[#This Row],[YYYYMM]],G:G,creditcard[[#This Row],[Item]])</f>
        <v/>
      </c>
      <c r="X78" s="4">
        <f>IFERROR(SUMIFS(H:H,A:A,creditcard[[#This Row],[YYYYMM]],E:E,"&lt;=5")/creditcard[[#This Row],[市場總計]],"")</f>
        <v/>
      </c>
      <c r="Y78" s="4">
        <f>IFERROR(SUMIFS(H:H,A:A,creditcard[[#This Row],[YYYYMM]],E:E,"&lt;=10")/creditcard[[#This Row],[市場總計]],"")</f>
        <v/>
      </c>
      <c r="Z78" s="4">
        <f>IFERROR(SUMIFS(I:I,A:A,creditcard[[#This Row],[YYYYMM]],E:E,"&lt;=5")/creditcard[[#This Row],[有效卡數]],"")</f>
        <v/>
      </c>
      <c r="AA78" s="4">
        <f>IFERROR(SUMIFS(I:I,A:A,creditcard[[#This Row],[YYYYMM]],E:E,"&lt;=10")/creditcard[[#This Row],[有效卡數]],"")</f>
        <v/>
      </c>
      <c r="AB78" s="4">
        <f>IFERROR(SUMIFS(J:J,A:A,creditcard[[#This Row],[YYYYMM]],E:E,"&lt;=5")/creditcard[[#This Row],[當月發卡數]],"")</f>
        <v/>
      </c>
      <c r="AC78" s="4">
        <f>IFERROR(SUMIFS(J:J,A:A,creditcard[[#This Row],[YYYYMM]],E:E,"&lt;=10")/creditcard[[#This Row],[當月發卡數]],"")</f>
        <v/>
      </c>
      <c r="AD78" s="4">
        <f>IFERROR(SUMIFS(K:K,A:A,creditcard[[#This Row],[YYYYMM]],E:E,"&lt;=5")/creditcard[[#This Row],[當月停卡數]],"")</f>
        <v/>
      </c>
      <c r="AE78" s="4">
        <f>IFERROR(SUMIFS(K:K,A:A,creditcard[[#This Row],[YYYYMM]],E:E,"&lt;=10")/creditcard[[#This Row],[當月停卡數]],"")</f>
        <v/>
      </c>
      <c r="AF78" s="4">
        <f>IFERROR(SUMIFS(L:L,A:A,creditcard[[#This Row],[YYYYMM]],E:E,"&lt;=5")/creditcard[[#This Row],[循環信用餘額]],"")</f>
        <v/>
      </c>
      <c r="AG78" s="4">
        <f>IFERROR(SUMIFS(L:L,A:A,creditcard[[#This Row],[YYYYMM]],E:E,"&lt;=10")/creditcard[[#This Row],[循環信用餘額]],"")</f>
        <v/>
      </c>
      <c r="AH78" s="4">
        <f>IFERROR(SUMIFS(N:N,A:A,creditcard[[#This Row],[YYYYMM]],E:E,"&lt;=5")/creditcard[[#This Row],[當月簽帳金額]],"")</f>
        <v/>
      </c>
      <c r="AI78" s="4">
        <f>IFERROR(SUMIFS(N:N,A:A,creditcard[[#This Row],[YYYYMM]],E:E,"&lt;=10")/creditcard[[#This Row],[當月簽帳金額]],"")</f>
        <v/>
      </c>
    </row>
    <row r="79">
      <c r="A79" s="14" t="n">
        <v>202003</v>
      </c>
      <c r="B79" s="15">
        <f>LEFT(creditcard[[#This Row],[YYYYMM]],4)</f>
        <v/>
      </c>
      <c r="C79" s="15">
        <f>RIGHT(creditcard[[#This Row],[YYYYMM]],2)</f>
        <v/>
      </c>
      <c r="D79" s="15">
        <f>IF(RIGHT(creditcard[[#This Row],[YYYYMM]],2)="--","--","Q"&amp;ROUNDUP(VALUE(RIGHT(creditcard[[#This Row],[YYYYMM]],2))/3,0))</f>
        <v/>
      </c>
      <c r="E79" s="15" t="n">
        <v>1</v>
      </c>
      <c r="F79" s="155" t="inlineStr">
        <is>
          <t>中信</t>
        </is>
      </c>
      <c r="G79" s="156" t="inlineStr">
        <is>
          <t>01 中信</t>
        </is>
      </c>
      <c r="H79" s="157" t="n">
        <v>6945990</v>
      </c>
      <c r="I79" s="157" t="n">
        <v>4640372</v>
      </c>
      <c r="J79" s="157" t="n">
        <v>64825</v>
      </c>
      <c r="K79" s="157" t="n">
        <v>40230</v>
      </c>
      <c r="L79" s="157" t="n">
        <v>17407.958</v>
      </c>
      <c r="M79" s="16" t="n"/>
      <c r="N79" s="157" t="n">
        <v>31596.841</v>
      </c>
      <c r="O79" s="16" t="n"/>
      <c r="P79" s="16" t="n"/>
      <c r="Q79" s="17" t="n"/>
      <c r="R79" s="16" t="n"/>
      <c r="S79" s="16" t="n"/>
      <c r="T79" s="16" t="n"/>
      <c r="U79" s="16" t="n"/>
      <c r="V79" s="158" t="n"/>
      <c r="W79" s="16" t="n"/>
      <c r="X79" s="18" t="n"/>
      <c r="Y79" s="18" t="n"/>
      <c r="Z79" s="18" t="n"/>
      <c r="AA79" s="18" t="n"/>
      <c r="AB79" s="18" t="n"/>
      <c r="AC79" s="18" t="n"/>
      <c r="AD79" s="18" t="n"/>
      <c r="AE79" s="18" t="n"/>
      <c r="AF79" s="18" t="n"/>
      <c r="AG79" s="18" t="n"/>
      <c r="AH79" s="18" t="n"/>
      <c r="AI79" s="18" t="n"/>
    </row>
    <row r="80">
      <c r="A80" s="9" t="n">
        <v>202003</v>
      </c>
      <c r="B80" s="10">
        <f>LEFT(creditcard[[#This Row],[YYYYMM]],4)</f>
        <v/>
      </c>
      <c r="C80" s="10">
        <f>RIGHT(creditcard[[#This Row],[YYYYMM]],2)</f>
        <v/>
      </c>
      <c r="D80" s="10">
        <f>IF(RIGHT(creditcard[[#This Row],[YYYYMM]],2)="--","--","Q"&amp;ROUNDUP(VALUE(RIGHT(creditcard[[#This Row],[YYYYMM]],2))/3,0))</f>
        <v/>
      </c>
      <c r="E80" s="10" t="n">
        <v>2</v>
      </c>
      <c r="F80" s="151" t="inlineStr">
        <is>
          <t>富邦</t>
        </is>
      </c>
      <c r="G80" s="152" t="inlineStr">
        <is>
          <t>02 富邦</t>
        </is>
      </c>
      <c r="H80" s="153" t="n">
        <v>3504874</v>
      </c>
      <c r="I80" s="153" t="n">
        <v>2228321</v>
      </c>
      <c r="J80" s="153" t="n">
        <v>61494</v>
      </c>
      <c r="K80" s="153" t="n">
        <v>21402</v>
      </c>
      <c r="L80" s="153" t="n">
        <v>5304.567</v>
      </c>
      <c r="M80" s="11" t="n"/>
      <c r="N80" s="153" t="n">
        <v>23171.847</v>
      </c>
      <c r="O80" s="11" t="n"/>
      <c r="P80" s="11" t="n"/>
      <c r="Q80" s="12" t="n"/>
      <c r="R80" s="11" t="n"/>
      <c r="S80" s="11" t="n"/>
      <c r="T80" s="11" t="n"/>
      <c r="U80" s="11" t="n"/>
      <c r="V80" s="154" t="n"/>
      <c r="W80" s="11" t="n"/>
      <c r="X80" s="13" t="n"/>
      <c r="Y80" s="13" t="n"/>
      <c r="Z80" s="13" t="n"/>
      <c r="AA80" s="13" t="n"/>
      <c r="AB80" s="13" t="n"/>
      <c r="AC80" s="13" t="n"/>
      <c r="AD80" s="13" t="n"/>
      <c r="AE80" s="13" t="n"/>
      <c r="AF80" s="13" t="n"/>
      <c r="AG80" s="13" t="n"/>
      <c r="AH80" s="13" t="n"/>
      <c r="AI80" s="13" t="n"/>
    </row>
    <row r="81">
      <c r="A81" s="14" t="n">
        <v>202003</v>
      </c>
      <c r="B81" s="15">
        <f>LEFT(creditcard[[#This Row],[YYYYMM]],4)</f>
        <v/>
      </c>
      <c r="C81" s="15">
        <f>RIGHT(creditcard[[#This Row],[YYYYMM]],2)</f>
        <v/>
      </c>
      <c r="D81" s="15">
        <f>IF(RIGHT(creditcard[[#This Row],[YYYYMM]],2)="--","--","Q"&amp;ROUNDUP(VALUE(RIGHT(creditcard[[#This Row],[YYYYMM]],2))/3,0))</f>
        <v/>
      </c>
      <c r="E81" s="15" t="n">
        <v>3</v>
      </c>
      <c r="F81" s="155" t="inlineStr">
        <is>
          <t>國泰</t>
        </is>
      </c>
      <c r="G81" s="156" t="inlineStr">
        <is>
          <t>03 國泰</t>
        </is>
      </c>
      <c r="H81" s="157" t="n">
        <v>6838908</v>
      </c>
      <c r="I81" s="157" t="n">
        <v>5001551</v>
      </c>
      <c r="J81" s="157" t="n">
        <v>69601</v>
      </c>
      <c r="K81" s="157" t="n">
        <v>29572</v>
      </c>
      <c r="L81" s="157" t="n">
        <v>18047.761</v>
      </c>
      <c r="M81" s="16" t="n"/>
      <c r="N81" s="157" t="n">
        <v>41690.308</v>
      </c>
      <c r="O81" s="16" t="n"/>
      <c r="P81" s="16" t="n"/>
      <c r="Q81" s="17" t="n"/>
      <c r="R81" s="16" t="n"/>
      <c r="S81" s="16" t="n"/>
      <c r="T81" s="16" t="n"/>
      <c r="U81" s="16" t="n"/>
      <c r="V81" s="158" t="n"/>
      <c r="W81" s="16" t="n"/>
      <c r="X81" s="18" t="n"/>
      <c r="Y81" s="18" t="n"/>
      <c r="Z81" s="18" t="n"/>
      <c r="AA81" s="18" t="n"/>
      <c r="AB81" s="18" t="n"/>
      <c r="AC81" s="18" t="n"/>
      <c r="AD81" s="18" t="n"/>
      <c r="AE81" s="18" t="n"/>
      <c r="AF81" s="18" t="n"/>
      <c r="AG81" s="18" t="n"/>
      <c r="AH81" s="18" t="n"/>
      <c r="AI81" s="18" t="n"/>
    </row>
    <row r="82">
      <c r="A82" s="9" t="n">
        <v>202003</v>
      </c>
      <c r="B82" s="10">
        <f>LEFT(creditcard[[#This Row],[YYYYMM]],4)</f>
        <v/>
      </c>
      <c r="C82" s="10">
        <f>RIGHT(creditcard[[#This Row],[YYYYMM]],2)</f>
        <v/>
      </c>
      <c r="D82" s="10">
        <f>IF(RIGHT(creditcard[[#This Row],[YYYYMM]],2)="--","--","Q"&amp;ROUNDUP(VALUE(RIGHT(creditcard[[#This Row],[YYYYMM]],2))/3,0))</f>
        <v/>
      </c>
      <c r="E82" s="10" t="n">
        <v>4</v>
      </c>
      <c r="F82" s="151" t="inlineStr">
        <is>
          <t>玉山</t>
        </is>
      </c>
      <c r="G82" s="152" t="inlineStr">
        <is>
          <t>04 玉山</t>
        </is>
      </c>
      <c r="H82" s="153" t="n">
        <v>6006271</v>
      </c>
      <c r="I82" s="153" t="n">
        <v>4315393</v>
      </c>
      <c r="J82" s="153" t="n">
        <v>83596</v>
      </c>
      <c r="K82" s="153" t="n">
        <v>24987</v>
      </c>
      <c r="L82" s="153" t="n">
        <v>13230.454</v>
      </c>
      <c r="M82" s="11" t="n"/>
      <c r="N82" s="153" t="n">
        <v>35230.568</v>
      </c>
      <c r="O82" s="11" t="n"/>
      <c r="P82" s="11" t="n"/>
      <c r="Q82" s="12" t="n"/>
      <c r="R82" s="11" t="n"/>
      <c r="S82" s="11" t="n"/>
      <c r="T82" s="11" t="n"/>
      <c r="U82" s="11" t="n"/>
      <c r="V82" s="154" t="n"/>
      <c r="W82" s="11" t="n"/>
      <c r="X82" s="13" t="n"/>
      <c r="Y82" s="13" t="n"/>
      <c r="Z82" s="13" t="n"/>
      <c r="AA82" s="13" t="n"/>
      <c r="AB82" s="13" t="n"/>
      <c r="AC82" s="13" t="n"/>
      <c r="AD82" s="13" t="n"/>
      <c r="AE82" s="13" t="n"/>
      <c r="AF82" s="13" t="n"/>
      <c r="AG82" s="13" t="n"/>
      <c r="AH82" s="13" t="n"/>
      <c r="AI82" s="13" t="n"/>
    </row>
    <row r="83">
      <c r="A83" s="14" t="n">
        <v>202003</v>
      </c>
      <c r="B83" s="15">
        <f>LEFT(creditcard[[#This Row],[YYYYMM]],4)</f>
        <v/>
      </c>
      <c r="C83" s="15">
        <f>RIGHT(creditcard[[#This Row],[YYYYMM]],2)</f>
        <v/>
      </c>
      <c r="D83" s="15">
        <f>IF(RIGHT(creditcard[[#This Row],[YYYYMM]],2)="--","--","Q"&amp;ROUNDUP(VALUE(RIGHT(creditcard[[#This Row],[YYYYMM]],2))/3,0))</f>
        <v/>
      </c>
      <c r="E83" s="15" t="n">
        <v>5</v>
      </c>
      <c r="F83" s="155" t="inlineStr">
        <is>
          <t>台新</t>
        </is>
      </c>
      <c r="G83" s="156" t="inlineStr">
        <is>
          <t>05 台新</t>
        </is>
      </c>
      <c r="H83" s="157" t="n">
        <v>5448102</v>
      </c>
      <c r="I83" s="157" t="n">
        <v>3809013</v>
      </c>
      <c r="J83" s="157" t="n">
        <v>55382</v>
      </c>
      <c r="K83" s="157" t="n">
        <v>26264</v>
      </c>
      <c r="L83" s="157" t="n">
        <v>10898.071</v>
      </c>
      <c r="M83" s="16" t="n"/>
      <c r="N83" s="157" t="n">
        <v>24780.338</v>
      </c>
      <c r="O83" s="16" t="n"/>
      <c r="P83" s="16" t="n"/>
      <c r="Q83" s="17" t="n"/>
      <c r="R83" s="16" t="n"/>
      <c r="S83" s="16" t="n"/>
      <c r="T83" s="16" t="n"/>
      <c r="U83" s="16" t="n"/>
      <c r="V83" s="158" t="n"/>
      <c r="W83" s="16" t="n"/>
      <c r="X83" s="18" t="n"/>
      <c r="Y83" s="18" t="n"/>
      <c r="Z83" s="18" t="n"/>
      <c r="AA83" s="18" t="n"/>
      <c r="AB83" s="18" t="n"/>
      <c r="AC83" s="18" t="n"/>
      <c r="AD83" s="18" t="n"/>
      <c r="AE83" s="18" t="n"/>
      <c r="AF83" s="18" t="n"/>
      <c r="AG83" s="18" t="n"/>
      <c r="AH83" s="18" t="n"/>
      <c r="AI83" s="18" t="n"/>
    </row>
    <row r="84">
      <c r="A84" s="9" t="n">
        <v>202003</v>
      </c>
      <c r="B84" s="10">
        <f>LEFT(creditcard[[#This Row],[YYYYMM]],4)</f>
        <v/>
      </c>
      <c r="C84" s="10">
        <f>RIGHT(creditcard[[#This Row],[YYYYMM]],2)</f>
        <v/>
      </c>
      <c r="D84" s="10">
        <f>IF(RIGHT(creditcard[[#This Row],[YYYYMM]],2)="--","--","Q"&amp;ROUNDUP(VALUE(RIGHT(creditcard[[#This Row],[YYYYMM]],2))/3,0))</f>
        <v/>
      </c>
      <c r="E84" s="10" t="n">
        <v>6</v>
      </c>
      <c r="F84" s="151" t="inlineStr">
        <is>
          <t>星展</t>
        </is>
      </c>
      <c r="G84" s="152" t="inlineStr">
        <is>
          <t>06 星展</t>
        </is>
      </c>
      <c r="H84" s="153" t="n">
        <v>603719</v>
      </c>
      <c r="I84" s="153" t="n">
        <v>323481</v>
      </c>
      <c r="J84" s="153" t="n">
        <v>5078</v>
      </c>
      <c r="K84" s="153" t="n">
        <v>5972</v>
      </c>
      <c r="L84" s="153" t="n">
        <v>1540</v>
      </c>
      <c r="M84" s="11" t="n"/>
      <c r="N84" s="153" t="n">
        <v>2486</v>
      </c>
      <c r="O84" s="11" t="n"/>
      <c r="P84" s="11" t="n"/>
      <c r="Q84" s="12" t="n"/>
      <c r="R84" s="11" t="n"/>
      <c r="S84" s="11" t="n"/>
      <c r="T84" s="11" t="n"/>
      <c r="U84" s="11" t="n"/>
      <c r="V84" s="154" t="n"/>
      <c r="W84" s="11" t="n"/>
      <c r="X84" s="13" t="n"/>
      <c r="Y84" s="13" t="n"/>
      <c r="Z84" s="13" t="n"/>
      <c r="AA84" s="13" t="n"/>
      <c r="AB84" s="13" t="n"/>
      <c r="AC84" s="13" t="n"/>
      <c r="AD84" s="13" t="n"/>
      <c r="AE84" s="13" t="n"/>
      <c r="AF84" s="13" t="n"/>
      <c r="AG84" s="13" t="n"/>
      <c r="AH84" s="13" t="n"/>
      <c r="AI84" s="13" t="n"/>
    </row>
    <row r="85">
      <c r="A85" s="14" t="n">
        <v>202003</v>
      </c>
      <c r="B85" s="15">
        <f>LEFT(creditcard[[#This Row],[YYYYMM]],4)</f>
        <v/>
      </c>
      <c r="C85" s="15">
        <f>RIGHT(creditcard[[#This Row],[YYYYMM]],2)</f>
        <v/>
      </c>
      <c r="D85" s="15">
        <f>IF(RIGHT(creditcard[[#This Row],[YYYYMM]],2)="--","--","Q"&amp;ROUNDUP(VALUE(RIGHT(creditcard[[#This Row],[YYYYMM]],2))/3,0))</f>
        <v/>
      </c>
      <c r="E85" s="15" t="n">
        <v>7</v>
      </c>
      <c r="F85" s="155" t="inlineStr">
        <is>
          <t>聯邦</t>
        </is>
      </c>
      <c r="G85" s="156" t="inlineStr">
        <is>
          <t>07 聯邦</t>
        </is>
      </c>
      <c r="H85" s="157" t="n">
        <v>2215438</v>
      </c>
      <c r="I85" s="157" t="n">
        <v>1293597</v>
      </c>
      <c r="J85" s="157" t="n">
        <v>37690</v>
      </c>
      <c r="K85" s="157" t="n">
        <v>13459</v>
      </c>
      <c r="L85" s="157" t="n">
        <v>5870.05</v>
      </c>
      <c r="M85" s="16" t="n"/>
      <c r="N85" s="157" t="n">
        <v>7186.173</v>
      </c>
      <c r="O85" s="16" t="n"/>
      <c r="P85" s="16" t="n"/>
      <c r="Q85" s="17" t="n"/>
      <c r="R85" s="16" t="n"/>
      <c r="S85" s="16" t="n"/>
      <c r="T85" s="16" t="n"/>
      <c r="U85" s="16" t="n"/>
      <c r="V85" s="158" t="n"/>
      <c r="W85" s="16" t="n"/>
      <c r="X85" s="18" t="n"/>
      <c r="Y85" s="18" t="n"/>
      <c r="Z85" s="18" t="n"/>
      <c r="AA85" s="18" t="n"/>
      <c r="AB85" s="18" t="n"/>
      <c r="AC85" s="18" t="n"/>
      <c r="AD85" s="18" t="n"/>
      <c r="AE85" s="18" t="n"/>
      <c r="AF85" s="18" t="n"/>
      <c r="AG85" s="18" t="n"/>
      <c r="AH85" s="18" t="n"/>
      <c r="AI85" s="18" t="n"/>
    </row>
    <row r="86">
      <c r="A86" s="9" t="n">
        <v>202003</v>
      </c>
      <c r="B86" s="10">
        <f>LEFT(creditcard[[#This Row],[YYYYMM]],4)</f>
        <v/>
      </c>
      <c r="C86" s="10">
        <f>RIGHT(creditcard[[#This Row],[YYYYMM]],2)</f>
        <v/>
      </c>
      <c r="D86" s="10">
        <f>IF(RIGHT(creditcard[[#This Row],[YYYYMM]],2)="--","--","Q"&amp;ROUNDUP(VALUE(RIGHT(creditcard[[#This Row],[YYYYMM]],2))/3,0))</f>
        <v/>
      </c>
      <c r="E86" s="10" t="n">
        <v>8</v>
      </c>
      <c r="F86" s="151" t="inlineStr">
        <is>
          <t>永豐</t>
        </is>
      </c>
      <c r="G86" s="152" t="inlineStr">
        <is>
          <t>08 永豐</t>
        </is>
      </c>
      <c r="H86" s="153" t="n">
        <v>2040570</v>
      </c>
      <c r="I86" s="153" t="n">
        <v>1048373</v>
      </c>
      <c r="J86" s="153" t="n">
        <v>30604</v>
      </c>
      <c r="K86" s="153" t="n">
        <v>12458</v>
      </c>
      <c r="L86" s="153" t="n">
        <v>4359.052</v>
      </c>
      <c r="M86" s="11" t="n"/>
      <c r="N86" s="153" t="n">
        <v>8031.37</v>
      </c>
      <c r="O86" s="11" t="n"/>
      <c r="P86" s="11" t="n"/>
      <c r="Q86" s="12" t="n"/>
      <c r="R86" s="11" t="n"/>
      <c r="S86" s="11" t="n"/>
      <c r="T86" s="11" t="n"/>
      <c r="U86" s="11" t="n"/>
      <c r="V86" s="154" t="n"/>
      <c r="W86" s="11" t="n"/>
      <c r="X86" s="13" t="n"/>
      <c r="Y86" s="13" t="n"/>
      <c r="Z86" s="13" t="n"/>
      <c r="AA86" s="13" t="n"/>
      <c r="AB86" s="13" t="n"/>
      <c r="AC86" s="13" t="n"/>
      <c r="AD86" s="13" t="n"/>
      <c r="AE86" s="13" t="n"/>
      <c r="AF86" s="13" t="n"/>
      <c r="AG86" s="13" t="n"/>
      <c r="AH86" s="13" t="n"/>
      <c r="AI86" s="13" t="n"/>
    </row>
    <row r="87">
      <c r="A87" s="14" t="n">
        <v>202003</v>
      </c>
      <c r="B87" s="15">
        <f>LEFT(creditcard[[#This Row],[YYYYMM]],4)</f>
        <v/>
      </c>
      <c r="C87" s="15">
        <f>RIGHT(creditcard[[#This Row],[YYYYMM]],2)</f>
        <v/>
      </c>
      <c r="D87" s="15">
        <f>IF(RIGHT(creditcard[[#This Row],[YYYYMM]],2)="--","--","Q"&amp;ROUNDUP(VALUE(RIGHT(creditcard[[#This Row],[YYYYMM]],2))/3,0))</f>
        <v/>
      </c>
      <c r="E87" s="15" t="n">
        <v>9</v>
      </c>
      <c r="F87" s="155" t="inlineStr">
        <is>
          <t>第一</t>
        </is>
      </c>
      <c r="G87" s="156" t="inlineStr">
        <is>
          <t>09 第一</t>
        </is>
      </c>
      <c r="H87" s="157" t="n">
        <v>1229741</v>
      </c>
      <c r="I87" s="157" t="n">
        <v>749586</v>
      </c>
      <c r="J87" s="157" t="n">
        <v>16021</v>
      </c>
      <c r="K87" s="157" t="n">
        <v>9989</v>
      </c>
      <c r="L87" s="157" t="n">
        <v>1465</v>
      </c>
      <c r="M87" s="16" t="n"/>
      <c r="N87" s="157" t="n">
        <v>3869</v>
      </c>
      <c r="O87" s="16" t="n"/>
      <c r="P87" s="16" t="n"/>
      <c r="Q87" s="17" t="n"/>
      <c r="R87" s="16" t="n"/>
      <c r="S87" s="16" t="n"/>
      <c r="T87" s="16" t="n"/>
      <c r="U87" s="16" t="n"/>
      <c r="V87" s="158" t="n"/>
      <c r="W87" s="16" t="n"/>
      <c r="X87" s="18" t="n"/>
      <c r="Y87" s="18" t="n"/>
      <c r="Z87" s="18" t="n"/>
      <c r="AA87" s="18" t="n"/>
      <c r="AB87" s="18" t="n"/>
      <c r="AC87" s="18" t="n"/>
      <c r="AD87" s="18" t="n"/>
      <c r="AE87" s="18" t="n"/>
      <c r="AF87" s="18" t="n"/>
      <c r="AG87" s="18" t="n"/>
      <c r="AH87" s="18" t="n"/>
      <c r="AI87" s="18" t="n"/>
    </row>
    <row r="88">
      <c r="A88" s="9" t="n">
        <v>202003</v>
      </c>
      <c r="B88" s="10">
        <f>LEFT(creditcard[[#This Row],[YYYYMM]],4)</f>
        <v/>
      </c>
      <c r="C88" s="10">
        <f>RIGHT(creditcard[[#This Row],[YYYYMM]],2)</f>
        <v/>
      </c>
      <c r="D88" s="10">
        <f>IF(RIGHT(creditcard[[#This Row],[YYYYMM]],2)="--","--","Q"&amp;ROUNDUP(VALUE(RIGHT(creditcard[[#This Row],[YYYYMM]],2))/3,0))</f>
        <v/>
      </c>
      <c r="E88" s="10" t="n">
        <v>10</v>
      </c>
      <c r="F88" s="151" t="inlineStr">
        <is>
          <t>遠東</t>
        </is>
      </c>
      <c r="G88" s="152" t="inlineStr">
        <is>
          <t>10 遠東</t>
        </is>
      </c>
      <c r="H88" s="153" t="n">
        <v>1597899</v>
      </c>
      <c r="I88" s="153" t="n">
        <v>1045377</v>
      </c>
      <c r="J88" s="153" t="n">
        <v>9854</v>
      </c>
      <c r="K88" s="153" t="n">
        <v>6659</v>
      </c>
      <c r="L88" s="153" t="n">
        <v>4186.086</v>
      </c>
      <c r="M88" s="11" t="n"/>
      <c r="N88" s="153" t="n">
        <v>3691.996</v>
      </c>
      <c r="O88" s="11" t="n"/>
      <c r="P88" s="11" t="n"/>
      <c r="Q88" s="12" t="n"/>
      <c r="R88" s="11" t="n"/>
      <c r="S88" s="11" t="n"/>
      <c r="T88" s="11" t="n"/>
      <c r="U88" s="11" t="n"/>
      <c r="V88" s="154" t="n"/>
      <c r="W88" s="11" t="n"/>
      <c r="X88" s="13" t="n"/>
      <c r="Y88" s="13" t="n"/>
      <c r="Z88" s="13" t="n"/>
      <c r="AA88" s="13" t="n"/>
      <c r="AB88" s="13" t="n"/>
      <c r="AC88" s="13" t="n"/>
      <c r="AD88" s="13" t="n"/>
      <c r="AE88" s="13" t="n"/>
      <c r="AF88" s="13" t="n"/>
      <c r="AG88" s="13" t="n"/>
      <c r="AH88" s="13" t="n"/>
      <c r="AI88" s="13" t="n"/>
    </row>
    <row r="89">
      <c r="A89" s="14" t="n">
        <v>202003</v>
      </c>
      <c r="B89" s="15">
        <f>LEFT(creditcard[[#This Row],[YYYYMM]],4)</f>
        <v/>
      </c>
      <c r="C89" s="15">
        <f>RIGHT(creditcard[[#This Row],[YYYYMM]],2)</f>
        <v/>
      </c>
      <c r="D89" s="15">
        <f>IF(RIGHT(creditcard[[#This Row],[YYYYMM]],2)="--","--","Q"&amp;ROUNDUP(VALUE(RIGHT(creditcard[[#This Row],[YYYYMM]],2))/3,0))</f>
        <v/>
      </c>
      <c r="E89" s="15" t="n">
        <v>11</v>
      </c>
      <c r="F89" s="155" t="inlineStr">
        <is>
          <t>市場總計</t>
        </is>
      </c>
      <c r="G89" s="156" t="inlineStr">
        <is>
          <t>11 市場總計</t>
        </is>
      </c>
      <c r="H89" s="157" t="n">
        <v>48322728</v>
      </c>
      <c r="I89" s="157" t="n">
        <v>32162954</v>
      </c>
      <c r="J89" s="157" t="n">
        <v>576546</v>
      </c>
      <c r="K89" s="157" t="n">
        <v>288970</v>
      </c>
      <c r="L89" s="157" t="n">
        <v>109579.408</v>
      </c>
      <c r="M89" s="16" t="n"/>
      <c r="N89" s="157" t="n">
        <v>228233.479</v>
      </c>
      <c r="O89" s="16" t="n"/>
      <c r="P89" s="16" t="n"/>
      <c r="Q89" s="17" t="n"/>
      <c r="R89" s="16" t="n"/>
      <c r="S89" s="16" t="n"/>
      <c r="T89" s="16" t="n"/>
      <c r="U89" s="16" t="n"/>
      <c r="V89" s="158" t="n">
        <v>4.21</v>
      </c>
      <c r="W89" s="16">
        <f>SUMIFS(H:H,A:A,creditcard[[#This Row],[YYYYMM]],G:G,creditcard[[#This Row],[Item]])</f>
        <v/>
      </c>
      <c r="X89" s="4">
        <f>IFERROR(SUMIFS(H:H,A:A,creditcard[[#This Row],[YYYYMM]],E:E,"&lt;=5")/creditcard[[#This Row],[市場總計]],"")</f>
        <v/>
      </c>
      <c r="Y89" s="4">
        <f>IFERROR(SUMIFS(H:H,A:A,creditcard[[#This Row],[YYYYMM]],E:E,"&lt;=10")/creditcard[[#This Row],[市場總計]],"")</f>
        <v/>
      </c>
      <c r="Z89" s="4">
        <f>IFERROR(SUMIFS(I:I,A:A,creditcard[[#This Row],[YYYYMM]],E:E,"&lt;=5")/creditcard[[#This Row],[有效卡數]],"")</f>
        <v/>
      </c>
      <c r="AA89" s="4">
        <f>IFERROR(SUMIFS(I:I,A:A,creditcard[[#This Row],[YYYYMM]],E:E,"&lt;=10")/creditcard[[#This Row],[有效卡數]],"")</f>
        <v/>
      </c>
      <c r="AB89" s="4">
        <f>IFERROR(SUMIFS(J:J,A:A,creditcard[[#This Row],[YYYYMM]],E:E,"&lt;=5")/creditcard[[#This Row],[當月發卡數]],"")</f>
        <v/>
      </c>
      <c r="AC89" s="4">
        <f>IFERROR(SUMIFS(J:J,A:A,creditcard[[#This Row],[YYYYMM]],E:E,"&lt;=10")/creditcard[[#This Row],[當月發卡數]],"")</f>
        <v/>
      </c>
      <c r="AD89" s="4">
        <f>IFERROR(SUMIFS(K:K,A:A,creditcard[[#This Row],[YYYYMM]],E:E,"&lt;=5")/creditcard[[#This Row],[當月停卡數]],"")</f>
        <v/>
      </c>
      <c r="AE89" s="4">
        <f>IFERROR(SUMIFS(K:K,A:A,creditcard[[#This Row],[YYYYMM]],E:E,"&lt;=10")/creditcard[[#This Row],[當月停卡數]],"")</f>
        <v/>
      </c>
      <c r="AF89" s="4">
        <f>IFERROR(SUMIFS(L:L,A:A,creditcard[[#This Row],[YYYYMM]],E:E,"&lt;=5")/creditcard[[#This Row],[循環信用餘額]],"")</f>
        <v/>
      </c>
      <c r="AG89" s="4">
        <f>IFERROR(SUMIFS(L:L,A:A,creditcard[[#This Row],[YYYYMM]],E:E,"&lt;=10")/creditcard[[#This Row],[循環信用餘額]],"")</f>
        <v/>
      </c>
      <c r="AH89" s="4">
        <f>IFERROR(SUMIFS(N:N,A:A,creditcard[[#This Row],[YYYYMM]],E:E,"&lt;=5")/creditcard[[#This Row],[當月簽帳金額]],"")</f>
        <v/>
      </c>
      <c r="AI89" s="4">
        <f>IFERROR(SUMIFS(N:N,A:A,creditcard[[#This Row],[YYYYMM]],E:E,"&lt;=10")/creditcard[[#This Row],[當月簽帳金額]],"")</f>
        <v/>
      </c>
    </row>
    <row r="90">
      <c r="A90" s="9" t="n">
        <v>202004</v>
      </c>
      <c r="B90" s="10">
        <f>LEFT(creditcard[[#This Row],[YYYYMM]],4)</f>
        <v/>
      </c>
      <c r="C90" s="10">
        <f>RIGHT(creditcard[[#This Row],[YYYYMM]],2)</f>
        <v/>
      </c>
      <c r="D90" s="10">
        <f>IF(RIGHT(creditcard[[#This Row],[YYYYMM]],2)="--","--","Q"&amp;ROUNDUP(VALUE(RIGHT(creditcard[[#This Row],[YYYYMM]],2))/3,0))</f>
        <v/>
      </c>
      <c r="E90" s="10" t="n">
        <v>1</v>
      </c>
      <c r="F90" s="151" t="inlineStr">
        <is>
          <t>中信</t>
        </is>
      </c>
      <c r="G90" s="152" t="inlineStr">
        <is>
          <t>01 中信</t>
        </is>
      </c>
      <c r="H90" s="153" t="n">
        <v>6972922</v>
      </c>
      <c r="I90" s="153" t="n">
        <v>4617731</v>
      </c>
      <c r="J90" s="153" t="n">
        <v>58666</v>
      </c>
      <c r="K90" s="153" t="n">
        <v>31734</v>
      </c>
      <c r="L90" s="153" t="n">
        <v>17108.154</v>
      </c>
      <c r="M90" s="11" t="n"/>
      <c r="N90" s="153" t="n">
        <v>29194.813</v>
      </c>
      <c r="O90" s="11" t="n"/>
      <c r="P90" s="11" t="n"/>
      <c r="Q90" s="12" t="n"/>
      <c r="R90" s="11" t="n"/>
      <c r="S90" s="11" t="n"/>
      <c r="T90" s="11" t="n"/>
      <c r="U90" s="11" t="n"/>
      <c r="V90" s="154" t="n"/>
      <c r="W90" s="11" t="n"/>
      <c r="X90" s="13" t="n"/>
      <c r="Y90" s="13" t="n"/>
      <c r="Z90" s="13" t="n"/>
      <c r="AA90" s="13" t="n"/>
      <c r="AB90" s="13" t="n"/>
      <c r="AC90" s="13" t="n"/>
      <c r="AD90" s="13" t="n"/>
      <c r="AE90" s="13" t="n"/>
      <c r="AF90" s="13" t="n"/>
      <c r="AG90" s="13" t="n"/>
      <c r="AH90" s="13" t="n"/>
      <c r="AI90" s="13" t="n"/>
    </row>
    <row r="91">
      <c r="A91" s="14" t="n">
        <v>202004</v>
      </c>
      <c r="B91" s="15">
        <f>LEFT(creditcard[[#This Row],[YYYYMM]],4)</f>
        <v/>
      </c>
      <c r="C91" s="15">
        <f>RIGHT(creditcard[[#This Row],[YYYYMM]],2)</f>
        <v/>
      </c>
      <c r="D91" s="15">
        <f>IF(RIGHT(creditcard[[#This Row],[YYYYMM]],2)="--","--","Q"&amp;ROUNDUP(VALUE(RIGHT(creditcard[[#This Row],[YYYYMM]],2))/3,0))</f>
        <v/>
      </c>
      <c r="E91" s="15" t="n">
        <v>2</v>
      </c>
      <c r="F91" s="155" t="inlineStr">
        <is>
          <t>富邦</t>
        </is>
      </c>
      <c r="G91" s="156" t="inlineStr">
        <is>
          <t>02 富邦</t>
        </is>
      </c>
      <c r="H91" s="157" t="n">
        <v>3534223</v>
      </c>
      <c r="I91" s="157" t="n">
        <v>2259997</v>
      </c>
      <c r="J91" s="157" t="n">
        <v>52804</v>
      </c>
      <c r="K91" s="157" t="n">
        <v>23455</v>
      </c>
      <c r="L91" s="157" t="n">
        <v>5290.767</v>
      </c>
      <c r="M91" s="16" t="n"/>
      <c r="N91" s="157" t="n">
        <v>23014.739</v>
      </c>
      <c r="O91" s="16" t="n"/>
      <c r="P91" s="16" t="n"/>
      <c r="Q91" s="17" t="n"/>
      <c r="R91" s="16" t="n"/>
      <c r="S91" s="16" t="n"/>
      <c r="T91" s="16" t="n"/>
      <c r="U91" s="16" t="n"/>
      <c r="V91" s="158" t="n"/>
      <c r="W91" s="16" t="n"/>
      <c r="X91" s="18" t="n"/>
      <c r="Y91" s="18" t="n"/>
      <c r="Z91" s="18" t="n"/>
      <c r="AA91" s="18" t="n"/>
      <c r="AB91" s="18" t="n"/>
      <c r="AC91" s="18" t="n"/>
      <c r="AD91" s="18" t="n"/>
      <c r="AE91" s="18" t="n"/>
      <c r="AF91" s="18" t="n"/>
      <c r="AG91" s="18" t="n"/>
      <c r="AH91" s="18" t="n"/>
      <c r="AI91" s="18" t="n"/>
    </row>
    <row r="92">
      <c r="A92" s="9" t="n">
        <v>202004</v>
      </c>
      <c r="B92" s="10">
        <f>LEFT(creditcard[[#This Row],[YYYYMM]],4)</f>
        <v/>
      </c>
      <c r="C92" s="10">
        <f>RIGHT(creditcard[[#This Row],[YYYYMM]],2)</f>
        <v/>
      </c>
      <c r="D92" s="10">
        <f>IF(RIGHT(creditcard[[#This Row],[YYYYMM]],2)="--","--","Q"&amp;ROUNDUP(VALUE(RIGHT(creditcard[[#This Row],[YYYYMM]],2))/3,0))</f>
        <v/>
      </c>
      <c r="E92" s="10" t="n">
        <v>3</v>
      </c>
      <c r="F92" s="151" t="inlineStr">
        <is>
          <t>國泰</t>
        </is>
      </c>
      <c r="G92" s="152" t="inlineStr">
        <is>
          <t>03 國泰</t>
        </is>
      </c>
      <c r="H92" s="153" t="n">
        <v>6873740</v>
      </c>
      <c r="I92" s="153" t="n">
        <v>5004896</v>
      </c>
      <c r="J92" s="153" t="n">
        <v>60963</v>
      </c>
      <c r="K92" s="153" t="n">
        <v>26131</v>
      </c>
      <c r="L92" s="153" t="n">
        <v>18070.015</v>
      </c>
      <c r="M92" s="11" t="n"/>
      <c r="N92" s="153" t="n">
        <v>38593.35</v>
      </c>
      <c r="O92" s="11" t="n"/>
      <c r="P92" s="11" t="n"/>
      <c r="Q92" s="12" t="n"/>
      <c r="R92" s="11" t="n"/>
      <c r="S92" s="11" t="n"/>
      <c r="T92" s="11" t="n"/>
      <c r="U92" s="11" t="n"/>
      <c r="V92" s="154" t="n"/>
      <c r="W92" s="11" t="n"/>
      <c r="X92" s="13" t="n"/>
      <c r="Y92" s="13" t="n"/>
      <c r="Z92" s="13" t="n"/>
      <c r="AA92" s="13" t="n"/>
      <c r="AB92" s="13" t="n"/>
      <c r="AC92" s="13" t="n"/>
      <c r="AD92" s="13" t="n"/>
      <c r="AE92" s="13" t="n"/>
      <c r="AF92" s="13" t="n"/>
      <c r="AG92" s="13" t="n"/>
      <c r="AH92" s="13" t="n"/>
      <c r="AI92" s="13" t="n"/>
    </row>
    <row r="93">
      <c r="A93" s="14" t="n">
        <v>202004</v>
      </c>
      <c r="B93" s="15">
        <f>LEFT(creditcard[[#This Row],[YYYYMM]],4)</f>
        <v/>
      </c>
      <c r="C93" s="15">
        <f>RIGHT(creditcard[[#This Row],[YYYYMM]],2)</f>
        <v/>
      </c>
      <c r="D93" s="15">
        <f>IF(RIGHT(creditcard[[#This Row],[YYYYMM]],2)="--","--","Q"&amp;ROUNDUP(VALUE(RIGHT(creditcard[[#This Row],[YYYYMM]],2))/3,0))</f>
        <v/>
      </c>
      <c r="E93" s="15" t="n">
        <v>4</v>
      </c>
      <c r="F93" s="155" t="inlineStr">
        <is>
          <t>玉山</t>
        </is>
      </c>
      <c r="G93" s="156" t="inlineStr">
        <is>
          <t>04 玉山</t>
        </is>
      </c>
      <c r="H93" s="157" t="n">
        <v>6049448</v>
      </c>
      <c r="I93" s="157" t="n">
        <v>4334576</v>
      </c>
      <c r="J93" s="157" t="n">
        <v>71319</v>
      </c>
      <c r="K93" s="157" t="n">
        <v>28142</v>
      </c>
      <c r="L93" s="157" t="n">
        <v>13004.687</v>
      </c>
      <c r="M93" s="16" t="n"/>
      <c r="N93" s="157" t="n">
        <v>30582.65</v>
      </c>
      <c r="O93" s="16" t="n"/>
      <c r="P93" s="16" t="n"/>
      <c r="Q93" s="17" t="n"/>
      <c r="R93" s="16" t="n"/>
      <c r="S93" s="16" t="n"/>
      <c r="T93" s="16" t="n"/>
      <c r="U93" s="16" t="n"/>
      <c r="V93" s="158" t="n"/>
      <c r="W93" s="16" t="n"/>
      <c r="X93" s="18" t="n"/>
      <c r="Y93" s="18" t="n"/>
      <c r="Z93" s="18" t="n"/>
      <c r="AA93" s="18" t="n"/>
      <c r="AB93" s="18" t="n"/>
      <c r="AC93" s="18" t="n"/>
      <c r="AD93" s="18" t="n"/>
      <c r="AE93" s="18" t="n"/>
      <c r="AF93" s="18" t="n"/>
      <c r="AG93" s="18" t="n"/>
      <c r="AH93" s="18" t="n"/>
      <c r="AI93" s="18" t="n"/>
    </row>
    <row r="94">
      <c r="A94" s="9" t="n">
        <v>202004</v>
      </c>
      <c r="B94" s="10">
        <f>LEFT(creditcard[[#This Row],[YYYYMM]],4)</f>
        <v/>
      </c>
      <c r="C94" s="10">
        <f>RIGHT(creditcard[[#This Row],[YYYYMM]],2)</f>
        <v/>
      </c>
      <c r="D94" s="10">
        <f>IF(RIGHT(creditcard[[#This Row],[YYYYMM]],2)="--","--","Q"&amp;ROUNDUP(VALUE(RIGHT(creditcard[[#This Row],[YYYYMM]],2))/3,0))</f>
        <v/>
      </c>
      <c r="E94" s="10" t="n">
        <v>5</v>
      </c>
      <c r="F94" s="151" t="inlineStr">
        <is>
          <t>台新</t>
        </is>
      </c>
      <c r="G94" s="152" t="inlineStr">
        <is>
          <t>05 台新</t>
        </is>
      </c>
      <c r="H94" s="153" t="n">
        <v>5465965</v>
      </c>
      <c r="I94" s="153" t="n">
        <v>3839447</v>
      </c>
      <c r="J94" s="153" t="n">
        <v>40801</v>
      </c>
      <c r="K94" s="153" t="n">
        <v>22938</v>
      </c>
      <c r="L94" s="153" t="n">
        <v>10712.147</v>
      </c>
      <c r="M94" s="11" t="n"/>
      <c r="N94" s="153" t="n">
        <v>21062.065</v>
      </c>
      <c r="O94" s="11" t="n"/>
      <c r="P94" s="11" t="n"/>
      <c r="Q94" s="12" t="n"/>
      <c r="R94" s="11" t="n"/>
      <c r="S94" s="11" t="n"/>
      <c r="T94" s="11" t="n"/>
      <c r="U94" s="11" t="n"/>
      <c r="V94" s="154" t="n"/>
      <c r="W94" s="11" t="n"/>
      <c r="X94" s="13" t="n"/>
      <c r="Y94" s="13" t="n"/>
      <c r="Z94" s="13" t="n"/>
      <c r="AA94" s="13" t="n"/>
      <c r="AB94" s="13" t="n"/>
      <c r="AC94" s="13" t="n"/>
      <c r="AD94" s="13" t="n"/>
      <c r="AE94" s="13" t="n"/>
      <c r="AF94" s="13" t="n"/>
      <c r="AG94" s="13" t="n"/>
      <c r="AH94" s="13" t="n"/>
      <c r="AI94" s="13" t="n"/>
    </row>
    <row r="95">
      <c r="A95" s="14" t="n">
        <v>202004</v>
      </c>
      <c r="B95" s="15">
        <f>LEFT(creditcard[[#This Row],[YYYYMM]],4)</f>
        <v/>
      </c>
      <c r="C95" s="15">
        <f>RIGHT(creditcard[[#This Row],[YYYYMM]],2)</f>
        <v/>
      </c>
      <c r="D95" s="15">
        <f>IF(RIGHT(creditcard[[#This Row],[YYYYMM]],2)="--","--","Q"&amp;ROUNDUP(VALUE(RIGHT(creditcard[[#This Row],[YYYYMM]],2))/3,0))</f>
        <v/>
      </c>
      <c r="E95" s="15" t="n">
        <v>6</v>
      </c>
      <c r="F95" s="155" t="inlineStr">
        <is>
          <t>星展</t>
        </is>
      </c>
      <c r="G95" s="156" t="inlineStr">
        <is>
          <t>06 星展</t>
        </is>
      </c>
      <c r="H95" s="157" t="n">
        <v>604502</v>
      </c>
      <c r="I95" s="157" t="n">
        <v>330269</v>
      </c>
      <c r="J95" s="157" t="n">
        <v>5050</v>
      </c>
      <c r="K95" s="157" t="n">
        <v>12553</v>
      </c>
      <c r="L95" s="157" t="n">
        <v>1491</v>
      </c>
      <c r="M95" s="16" t="n"/>
      <c r="N95" s="157" t="n">
        <v>2223</v>
      </c>
      <c r="O95" s="16" t="n"/>
      <c r="P95" s="16" t="n"/>
      <c r="Q95" s="17" t="n"/>
      <c r="R95" s="16" t="n"/>
      <c r="S95" s="16" t="n"/>
      <c r="T95" s="16" t="n"/>
      <c r="U95" s="16" t="n"/>
      <c r="V95" s="158" t="n"/>
      <c r="W95" s="16" t="n"/>
      <c r="X95" s="18" t="n"/>
      <c r="Y95" s="18" t="n"/>
      <c r="Z95" s="18" t="n"/>
      <c r="AA95" s="18" t="n"/>
      <c r="AB95" s="18" t="n"/>
      <c r="AC95" s="18" t="n"/>
      <c r="AD95" s="18" t="n"/>
      <c r="AE95" s="18" t="n"/>
      <c r="AF95" s="18" t="n"/>
      <c r="AG95" s="18" t="n"/>
      <c r="AH95" s="18" t="n"/>
      <c r="AI95" s="18" t="n"/>
    </row>
    <row r="96">
      <c r="A96" s="9" t="n">
        <v>202004</v>
      </c>
      <c r="B96" s="10">
        <f>LEFT(creditcard[[#This Row],[YYYYMM]],4)</f>
        <v/>
      </c>
      <c r="C96" s="10">
        <f>RIGHT(creditcard[[#This Row],[YYYYMM]],2)</f>
        <v/>
      </c>
      <c r="D96" s="10">
        <f>IF(RIGHT(creditcard[[#This Row],[YYYYMM]],2)="--","--","Q"&amp;ROUNDUP(VALUE(RIGHT(creditcard[[#This Row],[YYYYMM]],2))/3,0))</f>
        <v/>
      </c>
      <c r="E96" s="10" t="n">
        <v>7</v>
      </c>
      <c r="F96" s="151" t="inlineStr">
        <is>
          <t>聯邦</t>
        </is>
      </c>
      <c r="G96" s="152" t="inlineStr">
        <is>
          <t>07 聯邦</t>
        </is>
      </c>
      <c r="H96" s="153" t="n">
        <v>2230590</v>
      </c>
      <c r="I96" s="153" t="n">
        <v>1299521</v>
      </c>
      <c r="J96" s="153" t="n">
        <v>33018</v>
      </c>
      <c r="K96" s="153" t="n">
        <v>17866</v>
      </c>
      <c r="L96" s="153" t="n">
        <v>5792.198</v>
      </c>
      <c r="M96" s="11" t="n"/>
      <c r="N96" s="153" t="n">
        <v>6734.42</v>
      </c>
      <c r="O96" s="11" t="n"/>
      <c r="P96" s="11" t="n"/>
      <c r="Q96" s="12" t="n"/>
      <c r="R96" s="11" t="n"/>
      <c r="S96" s="11" t="n"/>
      <c r="T96" s="11" t="n"/>
      <c r="U96" s="11" t="n"/>
      <c r="V96" s="154" t="n"/>
      <c r="W96" s="11" t="n"/>
      <c r="X96" s="13" t="n"/>
      <c r="Y96" s="13" t="n"/>
      <c r="Z96" s="13" t="n"/>
      <c r="AA96" s="13" t="n"/>
      <c r="AB96" s="13" t="n"/>
      <c r="AC96" s="13" t="n"/>
      <c r="AD96" s="13" t="n"/>
      <c r="AE96" s="13" t="n"/>
      <c r="AF96" s="13" t="n"/>
      <c r="AG96" s="13" t="n"/>
      <c r="AH96" s="13" t="n"/>
      <c r="AI96" s="13" t="n"/>
    </row>
    <row r="97">
      <c r="A97" s="14" t="n">
        <v>202004</v>
      </c>
      <c r="B97" s="15">
        <f>LEFT(creditcard[[#This Row],[YYYYMM]],4)</f>
        <v/>
      </c>
      <c r="C97" s="15">
        <f>RIGHT(creditcard[[#This Row],[YYYYMM]],2)</f>
        <v/>
      </c>
      <c r="D97" s="15">
        <f>IF(RIGHT(creditcard[[#This Row],[YYYYMM]],2)="--","--","Q"&amp;ROUNDUP(VALUE(RIGHT(creditcard[[#This Row],[YYYYMM]],2))/3,0))</f>
        <v/>
      </c>
      <c r="E97" s="15" t="n">
        <v>8</v>
      </c>
      <c r="F97" s="155" t="inlineStr">
        <is>
          <t>永豐</t>
        </is>
      </c>
      <c r="G97" s="156" t="inlineStr">
        <is>
          <t>08 永豐</t>
        </is>
      </c>
      <c r="H97" s="157" t="n">
        <v>2029359</v>
      </c>
      <c r="I97" s="157" t="n">
        <v>1055570</v>
      </c>
      <c r="J97" s="157" t="n">
        <v>26681</v>
      </c>
      <c r="K97" s="157" t="n">
        <v>38194</v>
      </c>
      <c r="L97" s="157" t="n">
        <v>4316.575</v>
      </c>
      <c r="M97" s="16" t="n"/>
      <c r="N97" s="157" t="n">
        <v>6854.286</v>
      </c>
      <c r="O97" s="16" t="n"/>
      <c r="P97" s="16" t="n"/>
      <c r="Q97" s="17" t="n"/>
      <c r="R97" s="16" t="n"/>
      <c r="S97" s="16" t="n"/>
      <c r="T97" s="16" t="n"/>
      <c r="U97" s="16" t="n"/>
      <c r="V97" s="158" t="n"/>
      <c r="W97" s="16" t="n"/>
      <c r="X97" s="18" t="n"/>
      <c r="Y97" s="18" t="n"/>
      <c r="Z97" s="18" t="n"/>
      <c r="AA97" s="18" t="n"/>
      <c r="AB97" s="18" t="n"/>
      <c r="AC97" s="18" t="n"/>
      <c r="AD97" s="18" t="n"/>
      <c r="AE97" s="18" t="n"/>
      <c r="AF97" s="18" t="n"/>
      <c r="AG97" s="18" t="n"/>
      <c r="AH97" s="18" t="n"/>
      <c r="AI97" s="18" t="n"/>
    </row>
    <row r="98">
      <c r="A98" s="9" t="n">
        <v>202004</v>
      </c>
      <c r="B98" s="10">
        <f>LEFT(creditcard[[#This Row],[YYYYMM]],4)</f>
        <v/>
      </c>
      <c r="C98" s="10">
        <f>RIGHT(creditcard[[#This Row],[YYYYMM]],2)</f>
        <v/>
      </c>
      <c r="D98" s="10">
        <f>IF(RIGHT(creditcard[[#This Row],[YYYYMM]],2)="--","--","Q"&amp;ROUNDUP(VALUE(RIGHT(creditcard[[#This Row],[YYYYMM]],2))/3,0))</f>
        <v/>
      </c>
      <c r="E98" s="10" t="n">
        <v>9</v>
      </c>
      <c r="F98" s="151" t="inlineStr">
        <is>
          <t>第一</t>
        </is>
      </c>
      <c r="G98" s="152" t="inlineStr">
        <is>
          <t>09 第一</t>
        </is>
      </c>
      <c r="H98" s="153" t="n">
        <v>1237542</v>
      </c>
      <c r="I98" s="153" t="n">
        <v>752382</v>
      </c>
      <c r="J98" s="153" t="n">
        <v>14772</v>
      </c>
      <c r="K98" s="153" t="n">
        <v>10081</v>
      </c>
      <c r="L98" s="153" t="n">
        <v>1445</v>
      </c>
      <c r="M98" s="11" t="n"/>
      <c r="N98" s="153" t="n">
        <v>3508</v>
      </c>
      <c r="O98" s="11" t="n"/>
      <c r="P98" s="11" t="n"/>
      <c r="Q98" s="12" t="n"/>
      <c r="R98" s="11" t="n"/>
      <c r="S98" s="11" t="n"/>
      <c r="T98" s="11" t="n"/>
      <c r="U98" s="11" t="n"/>
      <c r="V98" s="154" t="n"/>
      <c r="W98" s="11" t="n"/>
      <c r="X98" s="13" t="n"/>
      <c r="Y98" s="13" t="n"/>
      <c r="Z98" s="13" t="n"/>
      <c r="AA98" s="13" t="n"/>
      <c r="AB98" s="13" t="n"/>
      <c r="AC98" s="13" t="n"/>
      <c r="AD98" s="13" t="n"/>
      <c r="AE98" s="13" t="n"/>
      <c r="AF98" s="13" t="n"/>
      <c r="AG98" s="13" t="n"/>
      <c r="AH98" s="13" t="n"/>
      <c r="AI98" s="13" t="n"/>
    </row>
    <row r="99">
      <c r="A99" s="14" t="n">
        <v>202004</v>
      </c>
      <c r="B99" s="15">
        <f>LEFT(creditcard[[#This Row],[YYYYMM]],4)</f>
        <v/>
      </c>
      <c r="C99" s="15">
        <f>RIGHT(creditcard[[#This Row],[YYYYMM]],2)</f>
        <v/>
      </c>
      <c r="D99" s="15">
        <f>IF(RIGHT(creditcard[[#This Row],[YYYYMM]],2)="--","--","Q"&amp;ROUNDUP(VALUE(RIGHT(creditcard[[#This Row],[YYYYMM]],2))/3,0))</f>
        <v/>
      </c>
      <c r="E99" s="15" t="n">
        <v>10</v>
      </c>
      <c r="F99" s="155" t="inlineStr">
        <is>
          <t>遠東</t>
        </is>
      </c>
      <c r="G99" s="156" t="inlineStr">
        <is>
          <t>10 遠東</t>
        </is>
      </c>
      <c r="H99" s="157" t="n">
        <v>1602440</v>
      </c>
      <c r="I99" s="157" t="n">
        <v>1035633</v>
      </c>
      <c r="J99" s="157" t="n">
        <v>10753</v>
      </c>
      <c r="K99" s="157" t="n">
        <v>6236</v>
      </c>
      <c r="L99" s="157" t="n">
        <v>4132.825</v>
      </c>
      <c r="M99" s="16" t="n"/>
      <c r="N99" s="157" t="n">
        <v>3296.509</v>
      </c>
      <c r="O99" s="16" t="n"/>
      <c r="P99" s="16" t="n"/>
      <c r="Q99" s="17" t="n"/>
      <c r="R99" s="16" t="n"/>
      <c r="S99" s="16" t="n"/>
      <c r="T99" s="16" t="n"/>
      <c r="U99" s="16" t="n"/>
      <c r="V99" s="158" t="n"/>
      <c r="W99" s="16" t="n"/>
      <c r="X99" s="18" t="n"/>
      <c r="Y99" s="18" t="n"/>
      <c r="Z99" s="18" t="n"/>
      <c r="AA99" s="18" t="n"/>
      <c r="AB99" s="18" t="n"/>
      <c r="AC99" s="18" t="n"/>
      <c r="AD99" s="18" t="n"/>
      <c r="AE99" s="18" t="n"/>
      <c r="AF99" s="18" t="n"/>
      <c r="AG99" s="18" t="n"/>
      <c r="AH99" s="18" t="n"/>
      <c r="AI99" s="18" t="n"/>
    </row>
    <row r="100">
      <c r="A100" s="9" t="n">
        <v>202004</v>
      </c>
      <c r="B100" s="10">
        <f>LEFT(creditcard[[#This Row],[YYYYMM]],4)</f>
        <v/>
      </c>
      <c r="C100" s="10">
        <f>RIGHT(creditcard[[#This Row],[YYYYMM]],2)</f>
        <v/>
      </c>
      <c r="D100" s="10">
        <f>IF(RIGHT(creditcard[[#This Row],[YYYYMM]],2)="--","--","Q"&amp;ROUNDUP(VALUE(RIGHT(creditcard[[#This Row],[YYYYMM]],2))/3,0))</f>
        <v/>
      </c>
      <c r="E100" s="10" t="n">
        <v>11</v>
      </c>
      <c r="F100" s="151" t="inlineStr">
        <is>
          <t>市場總計</t>
        </is>
      </c>
      <c r="G100" s="152" t="inlineStr">
        <is>
          <t>11 市場總計</t>
        </is>
      </c>
      <c r="H100" s="153" t="n">
        <v>48498978</v>
      </c>
      <c r="I100" s="153" t="n">
        <v>32131415</v>
      </c>
      <c r="J100" s="153" t="n">
        <v>574479</v>
      </c>
      <c r="K100" s="153" t="n">
        <v>412485</v>
      </c>
      <c r="L100" s="153" t="n">
        <v>108206.053</v>
      </c>
      <c r="M100" s="11" t="n"/>
      <c r="N100" s="153" t="n">
        <v>206237.587</v>
      </c>
      <c r="O100" s="11" t="n"/>
      <c r="P100" s="11" t="n"/>
      <c r="Q100" s="12" t="n"/>
      <c r="R100" s="11" t="n"/>
      <c r="S100" s="11" t="n"/>
      <c r="T100" s="11" t="n"/>
      <c r="U100" s="11" t="n"/>
      <c r="V100" s="154" t="n">
        <v>4.22</v>
      </c>
      <c r="W100" s="11">
        <f>SUMIFS(H:H,A:A,creditcard[[#This Row],[YYYYMM]],G:G,creditcard[[#This Row],[Item]])</f>
        <v/>
      </c>
      <c r="X100" s="4">
        <f>IFERROR(SUMIFS(H:H,A:A,creditcard[[#This Row],[YYYYMM]],E:E,"&lt;=5")/creditcard[[#This Row],[市場總計]],"")</f>
        <v/>
      </c>
      <c r="Y100" s="4">
        <f>IFERROR(SUMIFS(H:H,A:A,creditcard[[#This Row],[YYYYMM]],E:E,"&lt;=10")/creditcard[[#This Row],[市場總計]],"")</f>
        <v/>
      </c>
      <c r="Z100" s="4">
        <f>IFERROR(SUMIFS(I:I,A:A,creditcard[[#This Row],[YYYYMM]],E:E,"&lt;=5")/creditcard[[#This Row],[有效卡數]],"")</f>
        <v/>
      </c>
      <c r="AA100" s="4">
        <f>IFERROR(SUMIFS(I:I,A:A,creditcard[[#This Row],[YYYYMM]],E:E,"&lt;=10")/creditcard[[#This Row],[有效卡數]],"")</f>
        <v/>
      </c>
      <c r="AB100" s="4">
        <f>IFERROR(SUMIFS(J:J,A:A,creditcard[[#This Row],[YYYYMM]],E:E,"&lt;=5")/creditcard[[#This Row],[當月發卡數]],"")</f>
        <v/>
      </c>
      <c r="AC100" s="4">
        <f>IFERROR(SUMIFS(J:J,A:A,creditcard[[#This Row],[YYYYMM]],E:E,"&lt;=10")/creditcard[[#This Row],[當月發卡數]],"")</f>
        <v/>
      </c>
      <c r="AD100" s="4">
        <f>IFERROR(SUMIFS(K:K,A:A,creditcard[[#This Row],[YYYYMM]],E:E,"&lt;=5")/creditcard[[#This Row],[當月停卡數]],"")</f>
        <v/>
      </c>
      <c r="AE100" s="4">
        <f>IFERROR(SUMIFS(K:K,A:A,creditcard[[#This Row],[YYYYMM]],E:E,"&lt;=10")/creditcard[[#This Row],[當月停卡數]],"")</f>
        <v/>
      </c>
      <c r="AF100" s="4">
        <f>IFERROR(SUMIFS(L:L,A:A,creditcard[[#This Row],[YYYYMM]],E:E,"&lt;=5")/creditcard[[#This Row],[循環信用餘額]],"")</f>
        <v/>
      </c>
      <c r="AG100" s="4">
        <f>IFERROR(SUMIFS(L:L,A:A,creditcard[[#This Row],[YYYYMM]],E:E,"&lt;=10")/creditcard[[#This Row],[循環信用餘額]],"")</f>
        <v/>
      </c>
      <c r="AH100" s="4">
        <f>IFERROR(SUMIFS(N:N,A:A,creditcard[[#This Row],[YYYYMM]],E:E,"&lt;=5")/creditcard[[#This Row],[當月簽帳金額]],"")</f>
        <v/>
      </c>
      <c r="AI100" s="4">
        <f>IFERROR(SUMIFS(N:N,A:A,creditcard[[#This Row],[YYYYMM]],E:E,"&lt;=10")/creditcard[[#This Row],[當月簽帳金額]],"")</f>
        <v/>
      </c>
    </row>
    <row r="101">
      <c r="A101" s="14" t="n">
        <v>202005</v>
      </c>
      <c r="B101" s="15">
        <f>LEFT(creditcard[[#This Row],[YYYYMM]],4)</f>
        <v/>
      </c>
      <c r="C101" s="15">
        <f>RIGHT(creditcard[[#This Row],[YYYYMM]],2)</f>
        <v/>
      </c>
      <c r="D101" s="15">
        <f>IF(RIGHT(creditcard[[#This Row],[YYYYMM]],2)="--","--","Q"&amp;ROUNDUP(VALUE(RIGHT(creditcard[[#This Row],[YYYYMM]],2))/3,0))</f>
        <v/>
      </c>
      <c r="E101" s="15" t="n">
        <v>1</v>
      </c>
      <c r="F101" s="155" t="inlineStr">
        <is>
          <t>中信</t>
        </is>
      </c>
      <c r="G101" s="156" t="inlineStr">
        <is>
          <t>01 中信</t>
        </is>
      </c>
      <c r="H101" s="157" t="n">
        <v>7004324</v>
      </c>
      <c r="I101" s="157" t="n">
        <v>4607134</v>
      </c>
      <c r="J101" s="157" t="n">
        <v>60942</v>
      </c>
      <c r="K101" s="157" t="n">
        <v>29540</v>
      </c>
      <c r="L101" s="157" t="n">
        <v>16777.183</v>
      </c>
      <c r="M101" s="16" t="n"/>
      <c r="N101" s="157" t="n">
        <v>29753.054</v>
      </c>
      <c r="O101" s="16" t="n"/>
      <c r="P101" s="16" t="n"/>
      <c r="Q101" s="17" t="n"/>
      <c r="R101" s="16" t="n"/>
      <c r="S101" s="16" t="n"/>
      <c r="T101" s="16" t="n"/>
      <c r="U101" s="16" t="n"/>
      <c r="V101" s="158" t="n"/>
      <c r="W101" s="16" t="n"/>
      <c r="X101" s="18" t="n"/>
      <c r="Y101" s="18" t="n"/>
      <c r="Z101" s="18" t="n"/>
      <c r="AA101" s="18" t="n"/>
      <c r="AB101" s="18" t="n"/>
      <c r="AC101" s="18" t="n"/>
      <c r="AD101" s="18" t="n"/>
      <c r="AE101" s="18" t="n"/>
      <c r="AF101" s="18" t="n"/>
      <c r="AG101" s="18" t="n"/>
      <c r="AH101" s="18" t="n"/>
      <c r="AI101" s="18" t="n"/>
    </row>
    <row r="102">
      <c r="A102" s="9" t="n">
        <v>202005</v>
      </c>
      <c r="B102" s="10">
        <f>LEFT(creditcard[[#This Row],[YYYYMM]],4)</f>
        <v/>
      </c>
      <c r="C102" s="10">
        <f>RIGHT(creditcard[[#This Row],[YYYYMM]],2)</f>
        <v/>
      </c>
      <c r="D102" s="10">
        <f>IF(RIGHT(creditcard[[#This Row],[YYYYMM]],2)="--","--","Q"&amp;ROUNDUP(VALUE(RIGHT(creditcard[[#This Row],[YYYYMM]],2))/3,0))</f>
        <v/>
      </c>
      <c r="E102" s="10" t="n">
        <v>2</v>
      </c>
      <c r="F102" s="151" t="inlineStr">
        <is>
          <t>富邦</t>
        </is>
      </c>
      <c r="G102" s="152" t="inlineStr">
        <is>
          <t>02 富邦</t>
        </is>
      </c>
      <c r="H102" s="153" t="n">
        <v>3556848</v>
      </c>
      <c r="I102" s="153" t="n">
        <v>2282200</v>
      </c>
      <c r="J102" s="153" t="n">
        <v>48177</v>
      </c>
      <c r="K102" s="153" t="n">
        <v>25552</v>
      </c>
      <c r="L102" s="153" t="n">
        <v>5220.127</v>
      </c>
      <c r="M102" s="11" t="n"/>
      <c r="N102" s="153" t="n">
        <v>21371.405</v>
      </c>
      <c r="O102" s="11" t="n"/>
      <c r="P102" s="11" t="n"/>
      <c r="Q102" s="12" t="n"/>
      <c r="R102" s="11" t="n"/>
      <c r="S102" s="11" t="n"/>
      <c r="T102" s="11" t="n"/>
      <c r="U102" s="11" t="n"/>
      <c r="V102" s="154" t="n"/>
      <c r="W102" s="11" t="n"/>
      <c r="X102" s="13" t="n"/>
      <c r="Y102" s="13" t="n"/>
      <c r="Z102" s="13" t="n"/>
      <c r="AA102" s="13" t="n"/>
      <c r="AB102" s="13" t="n"/>
      <c r="AC102" s="13" t="n"/>
      <c r="AD102" s="13" t="n"/>
      <c r="AE102" s="13" t="n"/>
      <c r="AF102" s="13" t="n"/>
      <c r="AG102" s="13" t="n"/>
      <c r="AH102" s="13" t="n"/>
      <c r="AI102" s="13" t="n"/>
    </row>
    <row r="103">
      <c r="A103" s="14" t="n">
        <v>202005</v>
      </c>
      <c r="B103" s="15">
        <f>LEFT(creditcard[[#This Row],[YYYYMM]],4)</f>
        <v/>
      </c>
      <c r="C103" s="15">
        <f>RIGHT(creditcard[[#This Row],[YYYYMM]],2)</f>
        <v/>
      </c>
      <c r="D103" s="15">
        <f>IF(RIGHT(creditcard[[#This Row],[YYYYMM]],2)="--","--","Q"&amp;ROUNDUP(VALUE(RIGHT(creditcard[[#This Row],[YYYYMM]],2))/3,0))</f>
        <v/>
      </c>
      <c r="E103" s="15" t="n">
        <v>3</v>
      </c>
      <c r="F103" s="155" t="inlineStr">
        <is>
          <t>國泰</t>
        </is>
      </c>
      <c r="G103" s="156" t="inlineStr">
        <is>
          <t>03 國泰</t>
        </is>
      </c>
      <c r="H103" s="157" t="n">
        <v>6905897</v>
      </c>
      <c r="I103" s="157" t="n">
        <v>5001822</v>
      </c>
      <c r="J103" s="157" t="n">
        <v>58330</v>
      </c>
      <c r="K103" s="157" t="n">
        <v>26173</v>
      </c>
      <c r="L103" s="157" t="n">
        <v>17761.445</v>
      </c>
      <c r="M103" s="16" t="n"/>
      <c r="N103" s="157" t="n">
        <v>34030.076</v>
      </c>
      <c r="O103" s="16" t="n"/>
      <c r="P103" s="16" t="n"/>
      <c r="Q103" s="17" t="n"/>
      <c r="R103" s="16" t="n"/>
      <c r="S103" s="16" t="n"/>
      <c r="T103" s="16" t="n"/>
      <c r="U103" s="16" t="n"/>
      <c r="V103" s="158" t="n"/>
      <c r="W103" s="16" t="n"/>
      <c r="X103" s="18" t="n"/>
      <c r="Y103" s="18" t="n"/>
      <c r="Z103" s="18" t="n"/>
      <c r="AA103" s="18" t="n"/>
      <c r="AB103" s="18" t="n"/>
      <c r="AC103" s="18" t="n"/>
      <c r="AD103" s="18" t="n"/>
      <c r="AE103" s="18" t="n"/>
      <c r="AF103" s="18" t="n"/>
      <c r="AG103" s="18" t="n"/>
      <c r="AH103" s="18" t="n"/>
      <c r="AI103" s="18" t="n"/>
    </row>
    <row r="104">
      <c r="A104" s="9" t="n">
        <v>202005</v>
      </c>
      <c r="B104" s="10">
        <f>LEFT(creditcard[[#This Row],[YYYYMM]],4)</f>
        <v/>
      </c>
      <c r="C104" s="10">
        <f>RIGHT(creditcard[[#This Row],[YYYYMM]],2)</f>
        <v/>
      </c>
      <c r="D104" s="10">
        <f>IF(RIGHT(creditcard[[#This Row],[YYYYMM]],2)="--","--","Q"&amp;ROUNDUP(VALUE(RIGHT(creditcard[[#This Row],[YYYYMM]],2))/3,0))</f>
        <v/>
      </c>
      <c r="E104" s="10" t="n">
        <v>4</v>
      </c>
      <c r="F104" s="151" t="inlineStr">
        <is>
          <t>玉山</t>
        </is>
      </c>
      <c r="G104" s="152" t="inlineStr">
        <is>
          <t>04 玉山</t>
        </is>
      </c>
      <c r="H104" s="153" t="n">
        <v>6091494</v>
      </c>
      <c r="I104" s="153" t="n">
        <v>4342924</v>
      </c>
      <c r="J104" s="153" t="n">
        <v>68499</v>
      </c>
      <c r="K104" s="153" t="n">
        <v>26453</v>
      </c>
      <c r="L104" s="153" t="n">
        <v>12741.159</v>
      </c>
      <c r="M104" s="11" t="n"/>
      <c r="N104" s="153" t="n">
        <v>35346.478</v>
      </c>
      <c r="O104" s="11" t="n"/>
      <c r="P104" s="11" t="n"/>
      <c r="Q104" s="12" t="n"/>
      <c r="R104" s="11" t="n"/>
      <c r="S104" s="11" t="n"/>
      <c r="T104" s="11" t="n"/>
      <c r="U104" s="11" t="n"/>
      <c r="V104" s="154" t="n"/>
      <c r="W104" s="11" t="n"/>
      <c r="X104" s="13" t="n"/>
      <c r="Y104" s="13" t="n"/>
      <c r="Z104" s="13" t="n"/>
      <c r="AA104" s="13" t="n"/>
      <c r="AB104" s="13" t="n"/>
      <c r="AC104" s="13" t="n"/>
      <c r="AD104" s="13" t="n"/>
      <c r="AE104" s="13" t="n"/>
      <c r="AF104" s="13" t="n"/>
      <c r="AG104" s="13" t="n"/>
      <c r="AH104" s="13" t="n"/>
      <c r="AI104" s="13" t="n"/>
    </row>
    <row r="105">
      <c r="A105" s="14" t="n">
        <v>202005</v>
      </c>
      <c r="B105" s="15">
        <f>LEFT(creditcard[[#This Row],[YYYYMM]],4)</f>
        <v/>
      </c>
      <c r="C105" s="15">
        <f>RIGHT(creditcard[[#This Row],[YYYYMM]],2)</f>
        <v/>
      </c>
      <c r="D105" s="15">
        <f>IF(RIGHT(creditcard[[#This Row],[YYYYMM]],2)="--","--","Q"&amp;ROUNDUP(VALUE(RIGHT(creditcard[[#This Row],[YYYYMM]],2))/3,0))</f>
        <v/>
      </c>
      <c r="E105" s="15" t="n">
        <v>5</v>
      </c>
      <c r="F105" s="155" t="inlineStr">
        <is>
          <t>台新</t>
        </is>
      </c>
      <c r="G105" s="156" t="inlineStr">
        <is>
          <t>05 台新</t>
        </is>
      </c>
      <c r="H105" s="157" t="n">
        <v>5482938</v>
      </c>
      <c r="I105" s="157" t="n">
        <v>3934265</v>
      </c>
      <c r="J105" s="157" t="n">
        <v>50310</v>
      </c>
      <c r="K105" s="157" t="n">
        <v>33337</v>
      </c>
      <c r="L105" s="157" t="n">
        <v>10546.717</v>
      </c>
      <c r="M105" s="16" t="n"/>
      <c r="N105" s="157" t="n">
        <v>23255.398</v>
      </c>
      <c r="O105" s="16" t="n"/>
      <c r="P105" s="16" t="n"/>
      <c r="Q105" s="17" t="n"/>
      <c r="R105" s="16" t="n"/>
      <c r="S105" s="16" t="n"/>
      <c r="T105" s="16" t="n"/>
      <c r="U105" s="16" t="n"/>
      <c r="V105" s="158" t="n"/>
      <c r="W105" s="16" t="n"/>
      <c r="X105" s="18" t="n"/>
      <c r="Y105" s="18" t="n"/>
      <c r="Z105" s="18" t="n"/>
      <c r="AA105" s="18" t="n"/>
      <c r="AB105" s="18" t="n"/>
      <c r="AC105" s="18" t="n"/>
      <c r="AD105" s="18" t="n"/>
      <c r="AE105" s="18" t="n"/>
      <c r="AF105" s="18" t="n"/>
      <c r="AG105" s="18" t="n"/>
      <c r="AH105" s="18" t="n"/>
      <c r="AI105" s="18" t="n"/>
    </row>
    <row r="106">
      <c r="A106" s="9" t="n">
        <v>202005</v>
      </c>
      <c r="B106" s="10">
        <f>LEFT(creditcard[[#This Row],[YYYYMM]],4)</f>
        <v/>
      </c>
      <c r="C106" s="10">
        <f>RIGHT(creditcard[[#This Row],[YYYYMM]],2)</f>
        <v/>
      </c>
      <c r="D106" s="10">
        <f>IF(RIGHT(creditcard[[#This Row],[YYYYMM]],2)="--","--","Q"&amp;ROUNDUP(VALUE(RIGHT(creditcard[[#This Row],[YYYYMM]],2))/3,0))</f>
        <v/>
      </c>
      <c r="E106" s="10" t="n">
        <v>6</v>
      </c>
      <c r="F106" s="151" t="inlineStr">
        <is>
          <t>星展</t>
        </is>
      </c>
      <c r="G106" s="152" t="inlineStr">
        <is>
          <t>06 星展</t>
        </is>
      </c>
      <c r="H106" s="153" t="n">
        <v>606071</v>
      </c>
      <c r="I106" s="153" t="n">
        <v>327965</v>
      </c>
      <c r="J106" s="153" t="n">
        <v>5242</v>
      </c>
      <c r="K106" s="153" t="n">
        <v>5714</v>
      </c>
      <c r="L106" s="153" t="n">
        <v>1451</v>
      </c>
      <c r="M106" s="11" t="n"/>
      <c r="N106" s="153" t="n">
        <v>2471</v>
      </c>
      <c r="O106" s="11" t="n"/>
      <c r="P106" s="11" t="n"/>
      <c r="Q106" s="12" t="n"/>
      <c r="R106" s="11" t="n"/>
      <c r="S106" s="11" t="n"/>
      <c r="T106" s="11" t="n"/>
      <c r="U106" s="11" t="n"/>
      <c r="V106" s="154" t="n"/>
      <c r="W106" s="11" t="n"/>
      <c r="X106" s="13" t="n"/>
      <c r="Y106" s="13" t="n"/>
      <c r="Z106" s="13" t="n"/>
      <c r="AA106" s="13" t="n"/>
      <c r="AB106" s="13" t="n"/>
      <c r="AC106" s="13" t="n"/>
      <c r="AD106" s="13" t="n"/>
      <c r="AE106" s="13" t="n"/>
      <c r="AF106" s="13" t="n"/>
      <c r="AG106" s="13" t="n"/>
      <c r="AH106" s="13" t="n"/>
      <c r="AI106" s="13" t="n"/>
    </row>
    <row r="107">
      <c r="A107" s="14" t="n">
        <v>202005</v>
      </c>
      <c r="B107" s="15">
        <f>LEFT(creditcard[[#This Row],[YYYYMM]],4)</f>
        <v/>
      </c>
      <c r="C107" s="15">
        <f>RIGHT(creditcard[[#This Row],[YYYYMM]],2)</f>
        <v/>
      </c>
      <c r="D107" s="15">
        <f>IF(RIGHT(creditcard[[#This Row],[YYYYMM]],2)="--","--","Q"&amp;ROUNDUP(VALUE(RIGHT(creditcard[[#This Row],[YYYYMM]],2))/3,0))</f>
        <v/>
      </c>
      <c r="E107" s="15" t="n">
        <v>7</v>
      </c>
      <c r="F107" s="155" t="inlineStr">
        <is>
          <t>聯邦</t>
        </is>
      </c>
      <c r="G107" s="156" t="inlineStr">
        <is>
          <t>07 聯邦</t>
        </is>
      </c>
      <c r="H107" s="157" t="n">
        <v>2248916</v>
      </c>
      <c r="I107" s="157" t="n">
        <v>1302505</v>
      </c>
      <c r="J107" s="157" t="n">
        <v>33011</v>
      </c>
      <c r="K107" s="157" t="n">
        <v>14685</v>
      </c>
      <c r="L107" s="157" t="n">
        <v>5610.626</v>
      </c>
      <c r="M107" s="16" t="n"/>
      <c r="N107" s="157" t="n">
        <v>7400.906</v>
      </c>
      <c r="O107" s="16" t="n"/>
      <c r="P107" s="16" t="n"/>
      <c r="Q107" s="17" t="n"/>
      <c r="R107" s="16" t="n"/>
      <c r="S107" s="16" t="n"/>
      <c r="T107" s="16" t="n"/>
      <c r="U107" s="16" t="n"/>
      <c r="V107" s="158" t="n"/>
      <c r="W107" s="16" t="n"/>
      <c r="X107" s="18" t="n"/>
      <c r="Y107" s="18" t="n"/>
      <c r="Z107" s="18" t="n"/>
      <c r="AA107" s="18" t="n"/>
      <c r="AB107" s="18" t="n"/>
      <c r="AC107" s="18" t="n"/>
      <c r="AD107" s="18" t="n"/>
      <c r="AE107" s="18" t="n"/>
      <c r="AF107" s="18" t="n"/>
      <c r="AG107" s="18" t="n"/>
      <c r="AH107" s="18" t="n"/>
      <c r="AI107" s="18" t="n"/>
    </row>
    <row r="108">
      <c r="A108" s="9" t="n">
        <v>202005</v>
      </c>
      <c r="B108" s="10">
        <f>LEFT(creditcard[[#This Row],[YYYYMM]],4)</f>
        <v/>
      </c>
      <c r="C108" s="10">
        <f>RIGHT(creditcard[[#This Row],[YYYYMM]],2)</f>
        <v/>
      </c>
      <c r="D108" s="10">
        <f>IF(RIGHT(creditcard[[#This Row],[YYYYMM]],2)="--","--","Q"&amp;ROUNDUP(VALUE(RIGHT(creditcard[[#This Row],[YYYYMM]],2))/3,0))</f>
        <v/>
      </c>
      <c r="E108" s="10" t="n">
        <v>8</v>
      </c>
      <c r="F108" s="151" t="inlineStr">
        <is>
          <t>永豐</t>
        </is>
      </c>
      <c r="G108" s="152" t="inlineStr">
        <is>
          <t>08 永豐</t>
        </is>
      </c>
      <c r="H108" s="153" t="n">
        <v>2039844</v>
      </c>
      <c r="I108" s="153" t="n">
        <v>1058270</v>
      </c>
      <c r="J108" s="153" t="n">
        <v>19096</v>
      </c>
      <c r="K108" s="153" t="n">
        <v>8836</v>
      </c>
      <c r="L108" s="153" t="n">
        <v>4260.632</v>
      </c>
      <c r="M108" s="11" t="n"/>
      <c r="N108" s="153" t="n">
        <v>7188.756</v>
      </c>
      <c r="O108" s="11" t="n"/>
      <c r="P108" s="11" t="n"/>
      <c r="Q108" s="12" t="n"/>
      <c r="R108" s="11" t="n"/>
      <c r="S108" s="11" t="n"/>
      <c r="T108" s="11" t="n"/>
      <c r="U108" s="11" t="n"/>
      <c r="V108" s="154" t="n"/>
      <c r="W108" s="11" t="n"/>
      <c r="X108" s="13" t="n"/>
      <c r="Y108" s="13" t="n"/>
      <c r="Z108" s="13" t="n"/>
      <c r="AA108" s="13" t="n"/>
      <c r="AB108" s="13" t="n"/>
      <c r="AC108" s="13" t="n"/>
      <c r="AD108" s="13" t="n"/>
      <c r="AE108" s="13" t="n"/>
      <c r="AF108" s="13" t="n"/>
      <c r="AG108" s="13" t="n"/>
      <c r="AH108" s="13" t="n"/>
      <c r="AI108" s="13" t="n"/>
    </row>
    <row r="109">
      <c r="A109" s="14" t="n">
        <v>202005</v>
      </c>
      <c r="B109" s="15">
        <f>LEFT(creditcard[[#This Row],[YYYYMM]],4)</f>
        <v/>
      </c>
      <c r="C109" s="15">
        <f>RIGHT(creditcard[[#This Row],[YYYYMM]],2)</f>
        <v/>
      </c>
      <c r="D109" s="15">
        <f>IF(RIGHT(creditcard[[#This Row],[YYYYMM]],2)="--","--","Q"&amp;ROUNDUP(VALUE(RIGHT(creditcard[[#This Row],[YYYYMM]],2))/3,0))</f>
        <v/>
      </c>
      <c r="E109" s="15" t="n">
        <v>9</v>
      </c>
      <c r="F109" s="155" t="inlineStr">
        <is>
          <t>第一</t>
        </is>
      </c>
      <c r="G109" s="156" t="inlineStr">
        <is>
          <t>09 第一</t>
        </is>
      </c>
      <c r="H109" s="157" t="n">
        <v>1246224</v>
      </c>
      <c r="I109" s="157" t="n">
        <v>752249</v>
      </c>
      <c r="J109" s="157" t="n">
        <v>15362</v>
      </c>
      <c r="K109" s="157" t="n">
        <v>9606</v>
      </c>
      <c r="L109" s="157" t="n">
        <v>1401</v>
      </c>
      <c r="M109" s="16" t="n"/>
      <c r="N109" s="157" t="n">
        <v>3681</v>
      </c>
      <c r="O109" s="16" t="n"/>
      <c r="P109" s="16" t="n"/>
      <c r="Q109" s="17" t="n"/>
      <c r="R109" s="16" t="n"/>
      <c r="S109" s="16" t="n"/>
      <c r="T109" s="16" t="n"/>
      <c r="U109" s="16" t="n"/>
      <c r="V109" s="158" t="n"/>
      <c r="W109" s="16" t="n"/>
      <c r="X109" s="18" t="n"/>
      <c r="Y109" s="18" t="n"/>
      <c r="Z109" s="18" t="n"/>
      <c r="AA109" s="18" t="n"/>
      <c r="AB109" s="18" t="n"/>
      <c r="AC109" s="18" t="n"/>
      <c r="AD109" s="18" t="n"/>
      <c r="AE109" s="18" t="n"/>
      <c r="AF109" s="18" t="n"/>
      <c r="AG109" s="18" t="n"/>
      <c r="AH109" s="18" t="n"/>
      <c r="AI109" s="18" t="n"/>
    </row>
    <row r="110">
      <c r="A110" s="9" t="n">
        <v>202005</v>
      </c>
      <c r="B110" s="10">
        <f>LEFT(creditcard[[#This Row],[YYYYMM]],4)</f>
        <v/>
      </c>
      <c r="C110" s="10">
        <f>RIGHT(creditcard[[#This Row],[YYYYMM]],2)</f>
        <v/>
      </c>
      <c r="D110" s="10">
        <f>IF(RIGHT(creditcard[[#This Row],[YYYYMM]],2)="--","--","Q"&amp;ROUNDUP(VALUE(RIGHT(creditcard[[#This Row],[YYYYMM]],2))/3,0))</f>
        <v/>
      </c>
      <c r="E110" s="10" t="n">
        <v>10</v>
      </c>
      <c r="F110" s="151" t="inlineStr">
        <is>
          <t>遠東</t>
        </is>
      </c>
      <c r="G110" s="152" t="inlineStr">
        <is>
          <t>10 遠東</t>
        </is>
      </c>
      <c r="H110" s="153" t="n">
        <v>1607898</v>
      </c>
      <c r="I110" s="153" t="n">
        <v>1023409</v>
      </c>
      <c r="J110" s="153" t="n">
        <v>11180</v>
      </c>
      <c r="K110" s="153" t="n">
        <v>5746</v>
      </c>
      <c r="L110" s="153" t="n">
        <v>4120.758</v>
      </c>
      <c r="M110" s="11" t="n"/>
      <c r="N110" s="153" t="n">
        <v>3694.76</v>
      </c>
      <c r="O110" s="11" t="n"/>
      <c r="P110" s="11" t="n"/>
      <c r="Q110" s="12" t="n"/>
      <c r="R110" s="11" t="n"/>
      <c r="S110" s="11" t="n"/>
      <c r="T110" s="11" t="n"/>
      <c r="U110" s="11" t="n"/>
      <c r="V110" s="154" t="n"/>
      <c r="W110" s="11" t="n"/>
      <c r="X110" s="13" t="n"/>
      <c r="Y110" s="13" t="n"/>
      <c r="Z110" s="13" t="n"/>
      <c r="AA110" s="13" t="n"/>
      <c r="AB110" s="13" t="n"/>
      <c r="AC110" s="13" t="n"/>
      <c r="AD110" s="13" t="n"/>
      <c r="AE110" s="13" t="n"/>
      <c r="AF110" s="13" t="n"/>
      <c r="AG110" s="13" t="n"/>
      <c r="AH110" s="13" t="n"/>
      <c r="AI110" s="13" t="n"/>
    </row>
    <row r="111">
      <c r="A111" s="14" t="n">
        <v>202005</v>
      </c>
      <c r="B111" s="15">
        <f>LEFT(creditcard[[#This Row],[YYYYMM]],4)</f>
        <v/>
      </c>
      <c r="C111" s="15">
        <f>RIGHT(creditcard[[#This Row],[YYYYMM]],2)</f>
        <v/>
      </c>
      <c r="D111" s="15">
        <f>IF(RIGHT(creditcard[[#This Row],[YYYYMM]],2)="--","--","Q"&amp;ROUNDUP(VALUE(RIGHT(creditcard[[#This Row],[YYYYMM]],2))/3,0))</f>
        <v/>
      </c>
      <c r="E111" s="15" t="n">
        <v>11</v>
      </c>
      <c r="F111" s="155" t="inlineStr">
        <is>
          <t>市場總計</t>
        </is>
      </c>
      <c r="G111" s="156" t="inlineStr">
        <is>
          <t>11 市場總計</t>
        </is>
      </c>
      <c r="H111" s="157" t="n">
        <v>48680316</v>
      </c>
      <c r="I111" s="157" t="n">
        <v>32183705</v>
      </c>
      <c r="J111" s="157" t="n">
        <v>469613</v>
      </c>
      <c r="K111" s="157" t="n">
        <v>296157</v>
      </c>
      <c r="L111" s="157" t="n">
        <v>105961.028</v>
      </c>
      <c r="M111" s="16" t="n"/>
      <c r="N111" s="157" t="n">
        <v>214681.106</v>
      </c>
      <c r="O111" s="16" t="n"/>
      <c r="P111" s="16" t="n"/>
      <c r="Q111" s="17" t="n"/>
      <c r="R111" s="16" t="n"/>
      <c r="S111" s="16" t="n"/>
      <c r="T111" s="16" t="n"/>
      <c r="U111" s="16" t="n"/>
      <c r="V111" s="158" t="n">
        <v>4.23</v>
      </c>
      <c r="W111" s="16">
        <f>SUMIFS(H:H,A:A,creditcard[[#This Row],[YYYYMM]],G:G,creditcard[[#This Row],[Item]])</f>
        <v/>
      </c>
      <c r="X111" s="4">
        <f>IFERROR(SUMIFS(H:H,A:A,creditcard[[#This Row],[YYYYMM]],E:E,"&lt;=5")/creditcard[[#This Row],[市場總計]],"")</f>
        <v/>
      </c>
      <c r="Y111" s="4">
        <f>IFERROR(SUMIFS(H:H,A:A,creditcard[[#This Row],[YYYYMM]],E:E,"&lt;=10")/creditcard[[#This Row],[市場總計]],"")</f>
        <v/>
      </c>
      <c r="Z111" s="4">
        <f>IFERROR(SUMIFS(I:I,A:A,creditcard[[#This Row],[YYYYMM]],E:E,"&lt;=5")/creditcard[[#This Row],[有效卡數]],"")</f>
        <v/>
      </c>
      <c r="AA111" s="4">
        <f>IFERROR(SUMIFS(I:I,A:A,creditcard[[#This Row],[YYYYMM]],E:E,"&lt;=10")/creditcard[[#This Row],[有效卡數]],"")</f>
        <v/>
      </c>
      <c r="AB111" s="4">
        <f>IFERROR(SUMIFS(J:J,A:A,creditcard[[#This Row],[YYYYMM]],E:E,"&lt;=5")/creditcard[[#This Row],[當月發卡數]],"")</f>
        <v/>
      </c>
      <c r="AC111" s="4">
        <f>IFERROR(SUMIFS(J:J,A:A,creditcard[[#This Row],[YYYYMM]],E:E,"&lt;=10")/creditcard[[#This Row],[當月發卡數]],"")</f>
        <v/>
      </c>
      <c r="AD111" s="4">
        <f>IFERROR(SUMIFS(K:K,A:A,creditcard[[#This Row],[YYYYMM]],E:E,"&lt;=5")/creditcard[[#This Row],[當月停卡數]],"")</f>
        <v/>
      </c>
      <c r="AE111" s="4">
        <f>IFERROR(SUMIFS(K:K,A:A,creditcard[[#This Row],[YYYYMM]],E:E,"&lt;=10")/creditcard[[#This Row],[當月停卡數]],"")</f>
        <v/>
      </c>
      <c r="AF111" s="4">
        <f>IFERROR(SUMIFS(L:L,A:A,creditcard[[#This Row],[YYYYMM]],E:E,"&lt;=5")/creditcard[[#This Row],[循環信用餘額]],"")</f>
        <v/>
      </c>
      <c r="AG111" s="4">
        <f>IFERROR(SUMIFS(L:L,A:A,creditcard[[#This Row],[YYYYMM]],E:E,"&lt;=10")/creditcard[[#This Row],[循環信用餘額]],"")</f>
        <v/>
      </c>
      <c r="AH111" s="4">
        <f>IFERROR(SUMIFS(N:N,A:A,creditcard[[#This Row],[YYYYMM]],E:E,"&lt;=5")/creditcard[[#This Row],[當月簽帳金額]],"")</f>
        <v/>
      </c>
      <c r="AI111" s="4">
        <f>IFERROR(SUMIFS(N:N,A:A,creditcard[[#This Row],[YYYYMM]],E:E,"&lt;=10")/creditcard[[#This Row],[當月簽帳金額]],"")</f>
        <v/>
      </c>
    </row>
    <row r="112">
      <c r="A112" s="9" t="n">
        <v>202006</v>
      </c>
      <c r="B112" s="10">
        <f>LEFT(creditcard[[#This Row],[YYYYMM]],4)</f>
        <v/>
      </c>
      <c r="C112" s="10">
        <f>RIGHT(creditcard[[#This Row],[YYYYMM]],2)</f>
        <v/>
      </c>
      <c r="D112" s="10">
        <f>IF(RIGHT(creditcard[[#This Row],[YYYYMM]],2)="--","--","Q"&amp;ROUNDUP(VALUE(RIGHT(creditcard[[#This Row],[YYYYMM]],2))/3,0))</f>
        <v/>
      </c>
      <c r="E112" s="10" t="n">
        <v>1</v>
      </c>
      <c r="F112" s="151" t="inlineStr">
        <is>
          <t>中信</t>
        </is>
      </c>
      <c r="G112" s="152" t="inlineStr">
        <is>
          <t>01 中信</t>
        </is>
      </c>
      <c r="H112" s="153" t="n">
        <v>7035815</v>
      </c>
      <c r="I112" s="153" t="n">
        <v>4593571</v>
      </c>
      <c r="J112" s="153" t="n">
        <v>63180</v>
      </c>
      <c r="K112" s="153" t="n">
        <v>31689</v>
      </c>
      <c r="L112" s="153" t="n">
        <v>16084.354</v>
      </c>
      <c r="M112" s="11" t="n"/>
      <c r="N112" s="153" t="n">
        <v>32645.039</v>
      </c>
      <c r="O112" s="11" t="n"/>
      <c r="P112" s="11" t="n"/>
      <c r="Q112" s="12" t="n"/>
      <c r="R112" s="11" t="n"/>
      <c r="S112" s="11" t="n"/>
      <c r="T112" s="11" t="n"/>
      <c r="U112" s="11" t="n"/>
      <c r="V112" s="154" t="n"/>
      <c r="W112" s="11" t="n"/>
      <c r="X112" s="13" t="n"/>
      <c r="Y112" s="13" t="n"/>
      <c r="Z112" s="13" t="n"/>
      <c r="AA112" s="13" t="n"/>
      <c r="AB112" s="13" t="n"/>
      <c r="AC112" s="13" t="n"/>
      <c r="AD112" s="13" t="n"/>
      <c r="AE112" s="13" t="n"/>
      <c r="AF112" s="13" t="n"/>
      <c r="AG112" s="13" t="n"/>
      <c r="AH112" s="13" t="n"/>
      <c r="AI112" s="13" t="n"/>
    </row>
    <row r="113">
      <c r="A113" s="14" t="n">
        <v>202006</v>
      </c>
      <c r="B113" s="15">
        <f>LEFT(creditcard[[#This Row],[YYYYMM]],4)</f>
        <v/>
      </c>
      <c r="C113" s="15">
        <f>RIGHT(creditcard[[#This Row],[YYYYMM]],2)</f>
        <v/>
      </c>
      <c r="D113" s="15">
        <f>IF(RIGHT(creditcard[[#This Row],[YYYYMM]],2)="--","--","Q"&amp;ROUNDUP(VALUE(RIGHT(creditcard[[#This Row],[YYYYMM]],2))/3,0))</f>
        <v/>
      </c>
      <c r="E113" s="15" t="n">
        <v>2</v>
      </c>
      <c r="F113" s="155" t="inlineStr">
        <is>
          <t>富邦</t>
        </is>
      </c>
      <c r="G113" s="156" t="inlineStr">
        <is>
          <t>02 富邦</t>
        </is>
      </c>
      <c r="H113" s="157" t="n">
        <v>3589464</v>
      </c>
      <c r="I113" s="157" t="n">
        <v>2301949</v>
      </c>
      <c r="J113" s="157" t="n">
        <v>55164</v>
      </c>
      <c r="K113" s="157" t="n">
        <v>22548</v>
      </c>
      <c r="L113" s="157" t="n">
        <v>5126.269</v>
      </c>
      <c r="M113" s="16" t="n"/>
      <c r="N113" s="157" t="n">
        <v>21203.655</v>
      </c>
      <c r="O113" s="16" t="n"/>
      <c r="P113" s="16" t="n"/>
      <c r="Q113" s="17" t="n"/>
      <c r="R113" s="16" t="n"/>
      <c r="S113" s="16" t="n"/>
      <c r="T113" s="16" t="n"/>
      <c r="U113" s="16" t="n"/>
      <c r="V113" s="158" t="n"/>
      <c r="W113" s="16" t="n"/>
      <c r="X113" s="18" t="n"/>
      <c r="Y113" s="18" t="n"/>
      <c r="Z113" s="18" t="n"/>
      <c r="AA113" s="18" t="n"/>
      <c r="AB113" s="18" t="n"/>
      <c r="AC113" s="18" t="n"/>
      <c r="AD113" s="18" t="n"/>
      <c r="AE113" s="18" t="n"/>
      <c r="AF113" s="18" t="n"/>
      <c r="AG113" s="18" t="n"/>
      <c r="AH113" s="18" t="n"/>
      <c r="AI113" s="18" t="n"/>
    </row>
    <row r="114">
      <c r="A114" s="9" t="n">
        <v>202006</v>
      </c>
      <c r="B114" s="10">
        <f>LEFT(creditcard[[#This Row],[YYYYMM]],4)</f>
        <v/>
      </c>
      <c r="C114" s="10">
        <f>RIGHT(creditcard[[#This Row],[YYYYMM]],2)</f>
        <v/>
      </c>
      <c r="D114" s="10">
        <f>IF(RIGHT(creditcard[[#This Row],[YYYYMM]],2)="--","--","Q"&amp;ROUNDUP(VALUE(RIGHT(creditcard[[#This Row],[YYYYMM]],2))/3,0))</f>
        <v/>
      </c>
      <c r="E114" s="10" t="n">
        <v>3</v>
      </c>
      <c r="F114" s="151" t="inlineStr">
        <is>
          <t>國泰</t>
        </is>
      </c>
      <c r="G114" s="152" t="inlineStr">
        <is>
          <t>03 國泰</t>
        </is>
      </c>
      <c r="H114" s="153" t="n">
        <v>6938255</v>
      </c>
      <c r="I114" s="153" t="n">
        <v>5005960</v>
      </c>
      <c r="J114" s="153" t="n">
        <v>58507</v>
      </c>
      <c r="K114" s="153" t="n">
        <v>26149</v>
      </c>
      <c r="L114" s="153" t="n">
        <v>16874.319</v>
      </c>
      <c r="M114" s="11" t="n"/>
      <c r="N114" s="153" t="n">
        <v>40044.079</v>
      </c>
      <c r="O114" s="11" t="n"/>
      <c r="P114" s="11" t="n"/>
      <c r="Q114" s="12" t="n"/>
      <c r="R114" s="11" t="n"/>
      <c r="S114" s="11" t="n"/>
      <c r="T114" s="11" t="n"/>
      <c r="U114" s="11" t="n"/>
      <c r="V114" s="154" t="n"/>
      <c r="W114" s="11" t="n"/>
      <c r="X114" s="13" t="n"/>
      <c r="Y114" s="13" t="n"/>
      <c r="Z114" s="13" t="n"/>
      <c r="AA114" s="13" t="n"/>
      <c r="AB114" s="13" t="n"/>
      <c r="AC114" s="13" t="n"/>
      <c r="AD114" s="13" t="n"/>
      <c r="AE114" s="13" t="n"/>
      <c r="AF114" s="13" t="n"/>
      <c r="AG114" s="13" t="n"/>
      <c r="AH114" s="13" t="n"/>
      <c r="AI114" s="13" t="n"/>
    </row>
    <row r="115">
      <c r="A115" s="14" t="n">
        <v>202006</v>
      </c>
      <c r="B115" s="15">
        <f>LEFT(creditcard[[#This Row],[YYYYMM]],4)</f>
        <v/>
      </c>
      <c r="C115" s="15">
        <f>RIGHT(creditcard[[#This Row],[YYYYMM]],2)</f>
        <v/>
      </c>
      <c r="D115" s="15">
        <f>IF(RIGHT(creditcard[[#This Row],[YYYYMM]],2)="--","--","Q"&amp;ROUNDUP(VALUE(RIGHT(creditcard[[#This Row],[YYYYMM]],2))/3,0))</f>
        <v/>
      </c>
      <c r="E115" s="15" t="n">
        <v>4</v>
      </c>
      <c r="F115" s="155" t="inlineStr">
        <is>
          <t>玉山</t>
        </is>
      </c>
      <c r="G115" s="156" t="inlineStr">
        <is>
          <t>04 玉山</t>
        </is>
      </c>
      <c r="H115" s="157" t="n">
        <v>6133023</v>
      </c>
      <c r="I115" s="157" t="n">
        <v>4362052</v>
      </c>
      <c r="J115" s="157" t="n">
        <v>63256</v>
      </c>
      <c r="K115" s="157" t="n">
        <v>21727</v>
      </c>
      <c r="L115" s="157" t="n">
        <v>12232.317</v>
      </c>
      <c r="M115" s="16" t="n"/>
      <c r="N115" s="157" t="n">
        <v>40257.834</v>
      </c>
      <c r="O115" s="16" t="n"/>
      <c r="P115" s="16" t="n"/>
      <c r="Q115" s="17" t="n"/>
      <c r="R115" s="16" t="n"/>
      <c r="S115" s="16" t="n"/>
      <c r="T115" s="16" t="n"/>
      <c r="U115" s="16" t="n"/>
      <c r="V115" s="158" t="n"/>
      <c r="W115" s="16" t="n"/>
      <c r="X115" s="18" t="n"/>
      <c r="Y115" s="18" t="n"/>
      <c r="Z115" s="18" t="n"/>
      <c r="AA115" s="18" t="n"/>
      <c r="AB115" s="18" t="n"/>
      <c r="AC115" s="18" t="n"/>
      <c r="AD115" s="18" t="n"/>
      <c r="AE115" s="18" t="n"/>
      <c r="AF115" s="18" t="n"/>
      <c r="AG115" s="18" t="n"/>
      <c r="AH115" s="18" t="n"/>
      <c r="AI115" s="18" t="n"/>
    </row>
    <row r="116">
      <c r="A116" s="9" t="n">
        <v>202006</v>
      </c>
      <c r="B116" s="10">
        <f>LEFT(creditcard[[#This Row],[YYYYMM]],4)</f>
        <v/>
      </c>
      <c r="C116" s="10">
        <f>RIGHT(creditcard[[#This Row],[YYYYMM]],2)</f>
        <v/>
      </c>
      <c r="D116" s="10">
        <f>IF(RIGHT(creditcard[[#This Row],[YYYYMM]],2)="--","--","Q"&amp;ROUNDUP(VALUE(RIGHT(creditcard[[#This Row],[YYYYMM]],2))/3,0))</f>
        <v/>
      </c>
      <c r="E116" s="10" t="n">
        <v>5</v>
      </c>
      <c r="F116" s="151" t="inlineStr">
        <is>
          <t>台新</t>
        </is>
      </c>
      <c r="G116" s="152" t="inlineStr">
        <is>
          <t>05 台新</t>
        </is>
      </c>
      <c r="H116" s="153" t="n">
        <v>5505133</v>
      </c>
      <c r="I116" s="153" t="n">
        <v>3949393</v>
      </c>
      <c r="J116" s="153" t="n">
        <v>51832</v>
      </c>
      <c r="K116" s="153" t="n">
        <v>29637</v>
      </c>
      <c r="L116" s="153" t="n">
        <v>10123.348</v>
      </c>
      <c r="M116" s="11" t="n"/>
      <c r="N116" s="153" t="n">
        <v>26027.237</v>
      </c>
      <c r="O116" s="11" t="n"/>
      <c r="P116" s="11" t="n"/>
      <c r="Q116" s="12" t="n"/>
      <c r="R116" s="11" t="n"/>
      <c r="S116" s="11" t="n"/>
      <c r="T116" s="11" t="n"/>
      <c r="U116" s="11" t="n"/>
      <c r="V116" s="154" t="n"/>
      <c r="W116" s="11" t="n"/>
      <c r="X116" s="13" t="n"/>
      <c r="Y116" s="13" t="n"/>
      <c r="Z116" s="13" t="n"/>
      <c r="AA116" s="13" t="n"/>
      <c r="AB116" s="13" t="n"/>
      <c r="AC116" s="13" t="n"/>
      <c r="AD116" s="13" t="n"/>
      <c r="AE116" s="13" t="n"/>
      <c r="AF116" s="13" t="n"/>
      <c r="AG116" s="13" t="n"/>
      <c r="AH116" s="13" t="n"/>
      <c r="AI116" s="13" t="n"/>
    </row>
    <row r="117">
      <c r="A117" s="14" t="n">
        <v>202006</v>
      </c>
      <c r="B117" s="15">
        <f>LEFT(creditcard[[#This Row],[YYYYMM]],4)</f>
        <v/>
      </c>
      <c r="C117" s="15">
        <f>RIGHT(creditcard[[#This Row],[YYYYMM]],2)</f>
        <v/>
      </c>
      <c r="D117" s="15">
        <f>IF(RIGHT(creditcard[[#This Row],[YYYYMM]],2)="--","--","Q"&amp;ROUNDUP(VALUE(RIGHT(creditcard[[#This Row],[YYYYMM]],2))/3,0))</f>
        <v/>
      </c>
      <c r="E117" s="15" t="n">
        <v>6</v>
      </c>
      <c r="F117" s="155" t="inlineStr">
        <is>
          <t>星展</t>
        </is>
      </c>
      <c r="G117" s="156" t="inlineStr">
        <is>
          <t>06 星展</t>
        </is>
      </c>
      <c r="H117" s="157" t="n">
        <v>608372</v>
      </c>
      <c r="I117" s="157" t="n">
        <v>328530</v>
      </c>
      <c r="J117" s="157" t="n">
        <v>4736</v>
      </c>
      <c r="K117" s="157" t="n">
        <v>4910</v>
      </c>
      <c r="L117" s="157" t="n">
        <v>1408</v>
      </c>
      <c r="M117" s="16" t="n"/>
      <c r="N117" s="157" t="n">
        <v>2521</v>
      </c>
      <c r="O117" s="16" t="n"/>
      <c r="P117" s="16" t="n"/>
      <c r="Q117" s="17" t="n"/>
      <c r="R117" s="16" t="n"/>
      <c r="S117" s="16" t="n"/>
      <c r="T117" s="16" t="n"/>
      <c r="U117" s="16" t="n"/>
      <c r="V117" s="158" t="n"/>
      <c r="W117" s="16" t="n"/>
      <c r="X117" s="18" t="n"/>
      <c r="Y117" s="18" t="n"/>
      <c r="Z117" s="18" t="n"/>
      <c r="AA117" s="18" t="n"/>
      <c r="AB117" s="18" t="n"/>
      <c r="AC117" s="18" t="n"/>
      <c r="AD117" s="18" t="n"/>
      <c r="AE117" s="18" t="n"/>
      <c r="AF117" s="18" t="n"/>
      <c r="AG117" s="18" t="n"/>
      <c r="AH117" s="18" t="n"/>
      <c r="AI117" s="18" t="n"/>
    </row>
    <row r="118">
      <c r="A118" s="9" t="n">
        <v>202006</v>
      </c>
      <c r="B118" s="10">
        <f>LEFT(creditcard[[#This Row],[YYYYMM]],4)</f>
        <v/>
      </c>
      <c r="C118" s="10">
        <f>RIGHT(creditcard[[#This Row],[YYYYMM]],2)</f>
        <v/>
      </c>
      <c r="D118" s="10">
        <f>IF(RIGHT(creditcard[[#This Row],[YYYYMM]],2)="--","--","Q"&amp;ROUNDUP(VALUE(RIGHT(creditcard[[#This Row],[YYYYMM]],2))/3,0))</f>
        <v/>
      </c>
      <c r="E118" s="10" t="n">
        <v>7</v>
      </c>
      <c r="F118" s="151" t="inlineStr">
        <is>
          <t>聯邦</t>
        </is>
      </c>
      <c r="G118" s="152" t="inlineStr">
        <is>
          <t>07 聯邦</t>
        </is>
      </c>
      <c r="H118" s="153" t="n">
        <v>2192562</v>
      </c>
      <c r="I118" s="153" t="n">
        <v>1307595</v>
      </c>
      <c r="J118" s="153" t="n">
        <v>28929</v>
      </c>
      <c r="K118" s="153" t="n">
        <v>85283</v>
      </c>
      <c r="L118" s="153" t="n">
        <v>5494.402</v>
      </c>
      <c r="M118" s="11" t="n"/>
      <c r="N118" s="153" t="n">
        <v>8306.402</v>
      </c>
      <c r="O118" s="11" t="n"/>
      <c r="P118" s="11" t="n"/>
      <c r="Q118" s="12" t="n"/>
      <c r="R118" s="11" t="n"/>
      <c r="S118" s="11" t="n"/>
      <c r="T118" s="11" t="n"/>
      <c r="U118" s="11" t="n"/>
      <c r="V118" s="154" t="n"/>
      <c r="W118" s="11" t="n"/>
      <c r="X118" s="13" t="n"/>
      <c r="Y118" s="13" t="n"/>
      <c r="Z118" s="13" t="n"/>
      <c r="AA118" s="13" t="n"/>
      <c r="AB118" s="13" t="n"/>
      <c r="AC118" s="13" t="n"/>
      <c r="AD118" s="13" t="n"/>
      <c r="AE118" s="13" t="n"/>
      <c r="AF118" s="13" t="n"/>
      <c r="AG118" s="13" t="n"/>
      <c r="AH118" s="13" t="n"/>
      <c r="AI118" s="13" t="n"/>
    </row>
    <row r="119">
      <c r="A119" s="14" t="n">
        <v>202006</v>
      </c>
      <c r="B119" s="15">
        <f>LEFT(creditcard[[#This Row],[YYYYMM]],4)</f>
        <v/>
      </c>
      <c r="C119" s="15">
        <f>RIGHT(creditcard[[#This Row],[YYYYMM]],2)</f>
        <v/>
      </c>
      <c r="D119" s="15">
        <f>IF(RIGHT(creditcard[[#This Row],[YYYYMM]],2)="--","--","Q"&amp;ROUNDUP(VALUE(RIGHT(creditcard[[#This Row],[YYYYMM]],2))/3,0))</f>
        <v/>
      </c>
      <c r="E119" s="15" t="n">
        <v>8</v>
      </c>
      <c r="F119" s="155" t="inlineStr">
        <is>
          <t>永豐</t>
        </is>
      </c>
      <c r="G119" s="156" t="inlineStr">
        <is>
          <t>08 永豐</t>
        </is>
      </c>
      <c r="H119" s="157" t="n">
        <v>2051642</v>
      </c>
      <c r="I119" s="157" t="n">
        <v>1055646</v>
      </c>
      <c r="J119" s="157" t="n">
        <v>19882</v>
      </c>
      <c r="K119" s="157" t="n">
        <v>8253</v>
      </c>
      <c r="L119" s="157" t="n">
        <v>4115.396</v>
      </c>
      <c r="M119" s="16" t="n"/>
      <c r="N119" s="157" t="n">
        <v>8282.860000000001</v>
      </c>
      <c r="O119" s="16" t="n"/>
      <c r="P119" s="16" t="n"/>
      <c r="Q119" s="17" t="n"/>
      <c r="R119" s="16" t="n"/>
      <c r="S119" s="16" t="n"/>
      <c r="T119" s="16" t="n"/>
      <c r="U119" s="16" t="n"/>
      <c r="V119" s="158" t="n"/>
      <c r="W119" s="16" t="n"/>
      <c r="X119" s="18" t="n"/>
      <c r="Y119" s="18" t="n"/>
      <c r="Z119" s="18" t="n"/>
      <c r="AA119" s="18" t="n"/>
      <c r="AB119" s="18" t="n"/>
      <c r="AC119" s="18" t="n"/>
      <c r="AD119" s="18" t="n"/>
      <c r="AE119" s="18" t="n"/>
      <c r="AF119" s="18" t="n"/>
      <c r="AG119" s="18" t="n"/>
      <c r="AH119" s="18" t="n"/>
      <c r="AI119" s="18" t="n"/>
    </row>
    <row r="120">
      <c r="A120" s="9" t="n">
        <v>202006</v>
      </c>
      <c r="B120" s="10">
        <f>LEFT(creditcard[[#This Row],[YYYYMM]],4)</f>
        <v/>
      </c>
      <c r="C120" s="10">
        <f>RIGHT(creditcard[[#This Row],[YYYYMM]],2)</f>
        <v/>
      </c>
      <c r="D120" s="10">
        <f>IF(RIGHT(creditcard[[#This Row],[YYYYMM]],2)="--","--","Q"&amp;ROUNDUP(VALUE(RIGHT(creditcard[[#This Row],[YYYYMM]],2))/3,0))</f>
        <v/>
      </c>
      <c r="E120" s="10" t="n">
        <v>9</v>
      </c>
      <c r="F120" s="151" t="inlineStr">
        <is>
          <t>第一</t>
        </is>
      </c>
      <c r="G120" s="152" t="inlineStr">
        <is>
          <t>09 第一</t>
        </is>
      </c>
      <c r="H120" s="153" t="n">
        <v>1253237</v>
      </c>
      <c r="I120" s="153" t="n">
        <v>750833</v>
      </c>
      <c r="J120" s="153" t="n">
        <v>15614</v>
      </c>
      <c r="K120" s="153" t="n">
        <v>11177</v>
      </c>
      <c r="L120" s="153" t="n">
        <v>1355</v>
      </c>
      <c r="M120" s="11" t="n"/>
      <c r="N120" s="153" t="n">
        <v>3850</v>
      </c>
      <c r="O120" s="11" t="n"/>
      <c r="P120" s="11" t="n"/>
      <c r="Q120" s="12" t="n"/>
      <c r="R120" s="11" t="n"/>
      <c r="S120" s="11" t="n"/>
      <c r="T120" s="11" t="n"/>
      <c r="U120" s="11" t="n"/>
      <c r="V120" s="154" t="n"/>
      <c r="W120" s="11" t="n"/>
      <c r="X120" s="13" t="n"/>
      <c r="Y120" s="13" t="n"/>
      <c r="Z120" s="13" t="n"/>
      <c r="AA120" s="13" t="n"/>
      <c r="AB120" s="13" t="n"/>
      <c r="AC120" s="13" t="n"/>
      <c r="AD120" s="13" t="n"/>
      <c r="AE120" s="13" t="n"/>
      <c r="AF120" s="13" t="n"/>
      <c r="AG120" s="13" t="n"/>
      <c r="AH120" s="13" t="n"/>
      <c r="AI120" s="13" t="n"/>
    </row>
    <row r="121">
      <c r="A121" s="14" t="n">
        <v>202006</v>
      </c>
      <c r="B121" s="15">
        <f>LEFT(creditcard[[#This Row],[YYYYMM]],4)</f>
        <v/>
      </c>
      <c r="C121" s="15">
        <f>RIGHT(creditcard[[#This Row],[YYYYMM]],2)</f>
        <v/>
      </c>
      <c r="D121" s="15">
        <f>IF(RIGHT(creditcard[[#This Row],[YYYYMM]],2)="--","--","Q"&amp;ROUNDUP(VALUE(RIGHT(creditcard[[#This Row],[YYYYMM]],2))/3,0))</f>
        <v/>
      </c>
      <c r="E121" s="15" t="n">
        <v>10</v>
      </c>
      <c r="F121" s="155" t="inlineStr">
        <is>
          <t>遠東</t>
        </is>
      </c>
      <c r="G121" s="156" t="inlineStr">
        <is>
          <t>10 遠東</t>
        </is>
      </c>
      <c r="H121" s="157" t="n">
        <v>1612714</v>
      </c>
      <c r="I121" s="157" t="n">
        <v>1018110</v>
      </c>
      <c r="J121" s="157" t="n">
        <v>10462</v>
      </c>
      <c r="K121" s="157" t="n">
        <v>5667</v>
      </c>
      <c r="L121" s="157" t="n">
        <v>4004.688</v>
      </c>
      <c r="M121" s="16" t="n"/>
      <c r="N121" s="157" t="n">
        <v>3966.303</v>
      </c>
      <c r="O121" s="16" t="n"/>
      <c r="P121" s="16" t="n"/>
      <c r="Q121" s="17" t="n"/>
      <c r="R121" s="16" t="n"/>
      <c r="S121" s="16" t="n"/>
      <c r="T121" s="16" t="n"/>
      <c r="U121" s="16" t="n"/>
      <c r="V121" s="158" t="n"/>
      <c r="W121" s="16" t="n"/>
      <c r="X121" s="18" t="n"/>
      <c r="Y121" s="18" t="n"/>
      <c r="Z121" s="18" t="n"/>
      <c r="AA121" s="18" t="n"/>
      <c r="AB121" s="18" t="n"/>
      <c r="AC121" s="18" t="n"/>
      <c r="AD121" s="18" t="n"/>
      <c r="AE121" s="18" t="n"/>
      <c r="AF121" s="18" t="n"/>
      <c r="AG121" s="18" t="n"/>
      <c r="AH121" s="18" t="n"/>
      <c r="AI121" s="18" t="n"/>
    </row>
    <row r="122">
      <c r="A122" s="9" t="n">
        <v>202006</v>
      </c>
      <c r="B122" s="10">
        <f>LEFT(creditcard[[#This Row],[YYYYMM]],4)</f>
        <v/>
      </c>
      <c r="C122" s="10">
        <f>RIGHT(creditcard[[#This Row],[YYYYMM]],2)</f>
        <v/>
      </c>
      <c r="D122" s="10">
        <f>IF(RIGHT(creditcard[[#This Row],[YYYYMM]],2)="--","--","Q"&amp;ROUNDUP(VALUE(RIGHT(creditcard[[#This Row],[YYYYMM]],2))/3,0))</f>
        <v/>
      </c>
      <c r="E122" s="10" t="n">
        <v>11</v>
      </c>
      <c r="F122" s="151" t="inlineStr">
        <is>
          <t>市場總計</t>
        </is>
      </c>
      <c r="G122" s="152" t="inlineStr">
        <is>
          <t>11 市場總計</t>
        </is>
      </c>
      <c r="H122" s="153" t="n">
        <v>48798960</v>
      </c>
      <c r="I122" s="153" t="n">
        <v>32152731</v>
      </c>
      <c r="J122" s="153" t="n">
        <v>468693</v>
      </c>
      <c r="K122" s="153" t="n">
        <v>362234</v>
      </c>
      <c r="L122" s="153" t="n">
        <v>101724.492</v>
      </c>
      <c r="M122" s="11" t="n"/>
      <c r="N122" s="153" t="n">
        <v>237050.044</v>
      </c>
      <c r="O122" s="11" t="n"/>
      <c r="P122" s="11" t="n"/>
      <c r="Q122" s="12" t="n"/>
      <c r="R122" s="11" t="n"/>
      <c r="S122" s="11" t="n"/>
      <c r="T122" s="11" t="n"/>
      <c r="U122" s="11" t="n"/>
      <c r="V122" s="154" t="n">
        <v>4.23</v>
      </c>
      <c r="W122" s="11">
        <f>SUMIFS(H:H,A:A,creditcard[[#This Row],[YYYYMM]],G:G,creditcard[[#This Row],[Item]])</f>
        <v/>
      </c>
      <c r="X122" s="4">
        <f>IFERROR(SUMIFS(H:H,A:A,creditcard[[#This Row],[YYYYMM]],E:E,"&lt;=5")/creditcard[[#This Row],[市場總計]],"")</f>
        <v/>
      </c>
      <c r="Y122" s="4">
        <f>IFERROR(SUMIFS(H:H,A:A,creditcard[[#This Row],[YYYYMM]],E:E,"&lt;=10")/creditcard[[#This Row],[市場總計]],"")</f>
        <v/>
      </c>
      <c r="Z122" s="4">
        <f>IFERROR(SUMIFS(I:I,A:A,creditcard[[#This Row],[YYYYMM]],E:E,"&lt;=5")/creditcard[[#This Row],[有效卡數]],"")</f>
        <v/>
      </c>
      <c r="AA122" s="4">
        <f>IFERROR(SUMIFS(I:I,A:A,creditcard[[#This Row],[YYYYMM]],E:E,"&lt;=10")/creditcard[[#This Row],[有效卡數]],"")</f>
        <v/>
      </c>
      <c r="AB122" s="4">
        <f>IFERROR(SUMIFS(J:J,A:A,creditcard[[#This Row],[YYYYMM]],E:E,"&lt;=5")/creditcard[[#This Row],[當月發卡數]],"")</f>
        <v/>
      </c>
      <c r="AC122" s="4">
        <f>IFERROR(SUMIFS(J:J,A:A,creditcard[[#This Row],[YYYYMM]],E:E,"&lt;=10")/creditcard[[#This Row],[當月發卡數]],"")</f>
        <v/>
      </c>
      <c r="AD122" s="4">
        <f>IFERROR(SUMIFS(K:K,A:A,creditcard[[#This Row],[YYYYMM]],E:E,"&lt;=5")/creditcard[[#This Row],[當月停卡數]],"")</f>
        <v/>
      </c>
      <c r="AE122" s="4">
        <f>IFERROR(SUMIFS(K:K,A:A,creditcard[[#This Row],[YYYYMM]],E:E,"&lt;=10")/creditcard[[#This Row],[當月停卡數]],"")</f>
        <v/>
      </c>
      <c r="AF122" s="4">
        <f>IFERROR(SUMIFS(L:L,A:A,creditcard[[#This Row],[YYYYMM]],E:E,"&lt;=5")/creditcard[[#This Row],[循環信用餘額]],"")</f>
        <v/>
      </c>
      <c r="AG122" s="4">
        <f>IFERROR(SUMIFS(L:L,A:A,creditcard[[#This Row],[YYYYMM]],E:E,"&lt;=10")/creditcard[[#This Row],[循環信用餘額]],"")</f>
        <v/>
      </c>
      <c r="AH122" s="4">
        <f>IFERROR(SUMIFS(N:N,A:A,creditcard[[#This Row],[YYYYMM]],E:E,"&lt;=5")/creditcard[[#This Row],[當月簽帳金額]],"")</f>
        <v/>
      </c>
      <c r="AI122" s="4">
        <f>IFERROR(SUMIFS(N:N,A:A,creditcard[[#This Row],[YYYYMM]],E:E,"&lt;=10")/creditcard[[#This Row],[當月簽帳金額]],"")</f>
        <v/>
      </c>
    </row>
    <row r="123">
      <c r="A123" s="14" t="n">
        <v>202007</v>
      </c>
      <c r="B123" s="15">
        <f>LEFT(creditcard[[#This Row],[YYYYMM]],4)</f>
        <v/>
      </c>
      <c r="C123" s="15">
        <f>RIGHT(creditcard[[#This Row],[YYYYMM]],2)</f>
        <v/>
      </c>
      <c r="D123" s="15">
        <f>IF(RIGHT(creditcard[[#This Row],[YYYYMM]],2)="--","--","Q"&amp;ROUNDUP(VALUE(RIGHT(creditcard[[#This Row],[YYYYMM]],2))/3,0))</f>
        <v/>
      </c>
      <c r="E123" s="15" t="n">
        <v>1</v>
      </c>
      <c r="F123" s="155" t="inlineStr">
        <is>
          <t>中信</t>
        </is>
      </c>
      <c r="G123" s="156" t="inlineStr">
        <is>
          <t>01 中信</t>
        </is>
      </c>
      <c r="H123" s="157" t="n">
        <v>7084698</v>
      </c>
      <c r="I123" s="157" t="n">
        <v>4607130</v>
      </c>
      <c r="J123" s="157" t="n">
        <v>85145</v>
      </c>
      <c r="K123" s="157" t="n">
        <v>36262</v>
      </c>
      <c r="L123" s="157" t="n">
        <v>16020</v>
      </c>
      <c r="M123" s="16" t="n"/>
      <c r="N123" s="157" t="n">
        <v>69972.084</v>
      </c>
      <c r="O123" s="16" t="n"/>
      <c r="P123" s="16" t="n"/>
      <c r="Q123" s="17" t="n"/>
      <c r="R123" s="16" t="n"/>
      <c r="S123" s="16" t="n"/>
      <c r="T123" s="16" t="n"/>
      <c r="U123" s="16" t="n"/>
      <c r="V123" s="158" t="n"/>
      <c r="W123" s="16" t="n"/>
      <c r="X123" s="18" t="n"/>
      <c r="Y123" s="18" t="n"/>
      <c r="Z123" s="18" t="n"/>
      <c r="AA123" s="18" t="n"/>
      <c r="AB123" s="18" t="n"/>
      <c r="AC123" s="18" t="n"/>
      <c r="AD123" s="18" t="n"/>
      <c r="AE123" s="18" t="n"/>
      <c r="AF123" s="18" t="n"/>
      <c r="AG123" s="18" t="n"/>
      <c r="AH123" s="18" t="n"/>
      <c r="AI123" s="18" t="n"/>
    </row>
    <row r="124">
      <c r="A124" s="9" t="n">
        <v>202007</v>
      </c>
      <c r="B124" s="10">
        <f>LEFT(creditcard[[#This Row],[YYYYMM]],4)</f>
        <v/>
      </c>
      <c r="C124" s="10">
        <f>RIGHT(creditcard[[#This Row],[YYYYMM]],2)</f>
        <v/>
      </c>
      <c r="D124" s="10">
        <f>IF(RIGHT(creditcard[[#This Row],[YYYYMM]],2)="--","--","Q"&amp;ROUNDUP(VALUE(RIGHT(creditcard[[#This Row],[YYYYMM]],2))/3,0))</f>
        <v/>
      </c>
      <c r="E124" s="10" t="n">
        <v>2</v>
      </c>
      <c r="F124" s="151" t="inlineStr">
        <is>
          <t>富邦</t>
        </is>
      </c>
      <c r="G124" s="152" t="inlineStr">
        <is>
          <t>02 富邦</t>
        </is>
      </c>
      <c r="H124" s="153" t="n">
        <v>3664247</v>
      </c>
      <c r="I124" s="153" t="n">
        <v>2362890</v>
      </c>
      <c r="J124" s="153" t="n">
        <v>97568</v>
      </c>
      <c r="K124" s="153" t="n">
        <v>22785</v>
      </c>
      <c r="L124" s="153" t="n">
        <v>5127.043</v>
      </c>
      <c r="M124" s="11" t="n"/>
      <c r="N124" s="153" t="n">
        <v>29284.215</v>
      </c>
      <c r="O124" s="11" t="n"/>
      <c r="P124" s="11" t="n"/>
      <c r="Q124" s="12" t="n"/>
      <c r="R124" s="11" t="n"/>
      <c r="S124" s="11" t="n"/>
      <c r="T124" s="11" t="n"/>
      <c r="U124" s="11" t="n"/>
      <c r="V124" s="154" t="n"/>
      <c r="W124" s="11" t="n"/>
      <c r="X124" s="13" t="n"/>
      <c r="Y124" s="13" t="n"/>
      <c r="Z124" s="13" t="n"/>
      <c r="AA124" s="13" t="n"/>
      <c r="AB124" s="13" t="n"/>
      <c r="AC124" s="13" t="n"/>
      <c r="AD124" s="13" t="n"/>
      <c r="AE124" s="13" t="n"/>
      <c r="AF124" s="13" t="n"/>
      <c r="AG124" s="13" t="n"/>
      <c r="AH124" s="13" t="n"/>
      <c r="AI124" s="13" t="n"/>
    </row>
    <row r="125">
      <c r="A125" s="14" t="n">
        <v>202007</v>
      </c>
      <c r="B125" s="15">
        <f>LEFT(creditcard[[#This Row],[YYYYMM]],4)</f>
        <v/>
      </c>
      <c r="C125" s="15">
        <f>RIGHT(creditcard[[#This Row],[YYYYMM]],2)</f>
        <v/>
      </c>
      <c r="D125" s="15">
        <f>IF(RIGHT(creditcard[[#This Row],[YYYYMM]],2)="--","--","Q"&amp;ROUNDUP(VALUE(RIGHT(creditcard[[#This Row],[YYYYMM]],2))/3,0))</f>
        <v/>
      </c>
      <c r="E125" s="15" t="n">
        <v>3</v>
      </c>
      <c r="F125" s="155" t="inlineStr">
        <is>
          <t>國泰</t>
        </is>
      </c>
      <c r="G125" s="156" t="inlineStr">
        <is>
          <t>03 國泰</t>
        </is>
      </c>
      <c r="H125" s="157" t="n">
        <v>6981398</v>
      </c>
      <c r="I125" s="157" t="n">
        <v>4998658</v>
      </c>
      <c r="J125" s="157" t="n">
        <v>72686</v>
      </c>
      <c r="K125" s="157" t="n">
        <v>29543</v>
      </c>
      <c r="L125" s="157" t="n">
        <v>17536.724</v>
      </c>
      <c r="M125" s="16" t="n"/>
      <c r="N125" s="157" t="n">
        <v>50408.071</v>
      </c>
      <c r="O125" s="16" t="n"/>
      <c r="P125" s="16" t="n"/>
      <c r="Q125" s="17" t="n"/>
      <c r="R125" s="16" t="n"/>
      <c r="S125" s="16" t="n"/>
      <c r="T125" s="16" t="n"/>
      <c r="U125" s="16" t="n"/>
      <c r="V125" s="158" t="n"/>
      <c r="W125" s="16" t="n"/>
      <c r="X125" s="18" t="n"/>
      <c r="Y125" s="18" t="n"/>
      <c r="Z125" s="18" t="n"/>
      <c r="AA125" s="18" t="n"/>
      <c r="AB125" s="18" t="n"/>
      <c r="AC125" s="18" t="n"/>
      <c r="AD125" s="18" t="n"/>
      <c r="AE125" s="18" t="n"/>
      <c r="AF125" s="18" t="n"/>
      <c r="AG125" s="18" t="n"/>
      <c r="AH125" s="18" t="n"/>
      <c r="AI125" s="18" t="n"/>
    </row>
    <row r="126">
      <c r="A126" s="9" t="n">
        <v>202007</v>
      </c>
      <c r="B126" s="10">
        <f>LEFT(creditcard[[#This Row],[YYYYMM]],4)</f>
        <v/>
      </c>
      <c r="C126" s="10">
        <f>RIGHT(creditcard[[#This Row],[YYYYMM]],2)</f>
        <v/>
      </c>
      <c r="D126" s="10">
        <f>IF(RIGHT(creditcard[[#This Row],[YYYYMM]],2)="--","--","Q"&amp;ROUNDUP(VALUE(RIGHT(creditcard[[#This Row],[YYYYMM]],2))/3,0))</f>
        <v/>
      </c>
      <c r="E126" s="10" t="n">
        <v>4</v>
      </c>
      <c r="F126" s="151" t="inlineStr">
        <is>
          <t>玉山</t>
        </is>
      </c>
      <c r="G126" s="152" t="inlineStr">
        <is>
          <t>04 玉山</t>
        </is>
      </c>
      <c r="H126" s="153" t="n">
        <v>6192382</v>
      </c>
      <c r="I126" s="153" t="n">
        <v>4404803</v>
      </c>
      <c r="J126" s="153" t="n">
        <v>88120</v>
      </c>
      <c r="K126" s="153" t="n">
        <v>28761</v>
      </c>
      <c r="L126" s="153" t="n">
        <v>12115.311</v>
      </c>
      <c r="M126" s="11" t="n"/>
      <c r="N126" s="153" t="n">
        <v>60621.125</v>
      </c>
      <c r="O126" s="11" t="n"/>
      <c r="P126" s="11" t="n"/>
      <c r="Q126" s="12" t="n"/>
      <c r="R126" s="11" t="n"/>
      <c r="S126" s="11" t="n"/>
      <c r="T126" s="11" t="n"/>
      <c r="U126" s="11" t="n"/>
      <c r="V126" s="154" t="n"/>
      <c r="W126" s="11" t="n"/>
      <c r="X126" s="13" t="n"/>
      <c r="Y126" s="13" t="n"/>
      <c r="Z126" s="13" t="n"/>
      <c r="AA126" s="13" t="n"/>
      <c r="AB126" s="13" t="n"/>
      <c r="AC126" s="13" t="n"/>
      <c r="AD126" s="13" t="n"/>
      <c r="AE126" s="13" t="n"/>
      <c r="AF126" s="13" t="n"/>
      <c r="AG126" s="13" t="n"/>
      <c r="AH126" s="13" t="n"/>
      <c r="AI126" s="13" t="n"/>
    </row>
    <row r="127">
      <c r="A127" s="14" t="n">
        <v>202007</v>
      </c>
      <c r="B127" s="15">
        <f>LEFT(creditcard[[#This Row],[YYYYMM]],4)</f>
        <v/>
      </c>
      <c r="C127" s="15">
        <f>RIGHT(creditcard[[#This Row],[YYYYMM]],2)</f>
        <v/>
      </c>
      <c r="D127" s="15">
        <f>IF(RIGHT(creditcard[[#This Row],[YYYYMM]],2)="--","--","Q"&amp;ROUNDUP(VALUE(RIGHT(creditcard[[#This Row],[YYYYMM]],2))/3,0))</f>
        <v/>
      </c>
      <c r="E127" s="15" t="n">
        <v>5</v>
      </c>
      <c r="F127" s="155" t="inlineStr">
        <is>
          <t>台新</t>
        </is>
      </c>
      <c r="G127" s="156" t="inlineStr">
        <is>
          <t>05 台新</t>
        </is>
      </c>
      <c r="H127" s="157" t="n">
        <v>5549590</v>
      </c>
      <c r="I127" s="157" t="n">
        <v>3950827</v>
      </c>
      <c r="J127" s="157" t="n">
        <v>68525</v>
      </c>
      <c r="K127" s="157" t="n">
        <v>24068</v>
      </c>
      <c r="L127" s="157" t="n">
        <v>10104.376</v>
      </c>
      <c r="M127" s="16" t="n"/>
      <c r="N127" s="157" t="n">
        <v>45812.976</v>
      </c>
      <c r="O127" s="16" t="n"/>
      <c r="P127" s="16" t="n"/>
      <c r="Q127" s="17" t="n"/>
      <c r="R127" s="16" t="n"/>
      <c r="S127" s="16" t="n"/>
      <c r="T127" s="16" t="n"/>
      <c r="U127" s="16" t="n"/>
      <c r="V127" s="158" t="n"/>
      <c r="W127" s="16" t="n"/>
      <c r="X127" s="18" t="n"/>
      <c r="Y127" s="18" t="n"/>
      <c r="Z127" s="18" t="n"/>
      <c r="AA127" s="18" t="n"/>
      <c r="AB127" s="18" t="n"/>
      <c r="AC127" s="18" t="n"/>
      <c r="AD127" s="18" t="n"/>
      <c r="AE127" s="18" t="n"/>
      <c r="AF127" s="18" t="n"/>
      <c r="AG127" s="18" t="n"/>
      <c r="AH127" s="18" t="n"/>
      <c r="AI127" s="18" t="n"/>
    </row>
    <row r="128">
      <c r="A128" s="9" t="n">
        <v>202007</v>
      </c>
      <c r="B128" s="10">
        <f>LEFT(creditcard[[#This Row],[YYYYMM]],4)</f>
        <v/>
      </c>
      <c r="C128" s="10">
        <f>RIGHT(creditcard[[#This Row],[YYYYMM]],2)</f>
        <v/>
      </c>
      <c r="D128" s="10">
        <f>IF(RIGHT(creditcard[[#This Row],[YYYYMM]],2)="--","--","Q"&amp;ROUNDUP(VALUE(RIGHT(creditcard[[#This Row],[YYYYMM]],2))/3,0))</f>
        <v/>
      </c>
      <c r="E128" s="10" t="n">
        <v>6</v>
      </c>
      <c r="F128" s="151" t="inlineStr">
        <is>
          <t>星展</t>
        </is>
      </c>
      <c r="G128" s="152" t="inlineStr">
        <is>
          <t>06 星展</t>
        </is>
      </c>
      <c r="H128" s="153" t="n">
        <v>596643</v>
      </c>
      <c r="I128" s="153" t="n">
        <v>330263</v>
      </c>
      <c r="J128" s="153" t="n">
        <v>10352</v>
      </c>
      <c r="K128" s="153" t="n">
        <v>20803</v>
      </c>
      <c r="L128" s="153" t="n">
        <v>1368</v>
      </c>
      <c r="M128" s="11" t="n"/>
      <c r="N128" s="153" t="n">
        <v>3834</v>
      </c>
      <c r="O128" s="11" t="n"/>
      <c r="P128" s="11" t="n"/>
      <c r="Q128" s="12" t="n"/>
      <c r="R128" s="11" t="n"/>
      <c r="S128" s="11" t="n"/>
      <c r="T128" s="11" t="n"/>
      <c r="U128" s="11" t="n"/>
      <c r="V128" s="154" t="n"/>
      <c r="W128" s="11" t="n"/>
      <c r="X128" s="13" t="n"/>
      <c r="Y128" s="13" t="n"/>
      <c r="Z128" s="13" t="n"/>
      <c r="AA128" s="13" t="n"/>
      <c r="AB128" s="13" t="n"/>
      <c r="AC128" s="13" t="n"/>
      <c r="AD128" s="13" t="n"/>
      <c r="AE128" s="13" t="n"/>
      <c r="AF128" s="13" t="n"/>
      <c r="AG128" s="13" t="n"/>
      <c r="AH128" s="13" t="n"/>
      <c r="AI128" s="13" t="n"/>
    </row>
    <row r="129">
      <c r="A129" s="14" t="n">
        <v>202007</v>
      </c>
      <c r="B129" s="15">
        <f>LEFT(creditcard[[#This Row],[YYYYMM]],4)</f>
        <v/>
      </c>
      <c r="C129" s="15">
        <f>RIGHT(creditcard[[#This Row],[YYYYMM]],2)</f>
        <v/>
      </c>
      <c r="D129" s="15">
        <f>IF(RIGHT(creditcard[[#This Row],[YYYYMM]],2)="--","--","Q"&amp;ROUNDUP(VALUE(RIGHT(creditcard[[#This Row],[YYYYMM]],2))/3,0))</f>
        <v/>
      </c>
      <c r="E129" s="15" t="n">
        <v>7</v>
      </c>
      <c r="F129" s="155" t="inlineStr">
        <is>
          <t>聯邦</t>
        </is>
      </c>
      <c r="G129" s="156" t="inlineStr">
        <is>
          <t>07 聯邦</t>
        </is>
      </c>
      <c r="H129" s="157" t="n">
        <v>2196946</v>
      </c>
      <c r="I129" s="157" t="n">
        <v>1306551</v>
      </c>
      <c r="J129" s="157" t="n">
        <v>31189</v>
      </c>
      <c r="K129" s="157" t="n">
        <v>26805</v>
      </c>
      <c r="L129" s="157" t="n">
        <v>5688.848</v>
      </c>
      <c r="M129" s="16" t="n"/>
      <c r="N129" s="157" t="n">
        <v>9754.617</v>
      </c>
      <c r="O129" s="16" t="n"/>
      <c r="P129" s="16" t="n"/>
      <c r="Q129" s="17" t="n"/>
      <c r="R129" s="16" t="n"/>
      <c r="S129" s="16" t="n"/>
      <c r="T129" s="16" t="n"/>
      <c r="U129" s="16" t="n"/>
      <c r="V129" s="158" t="n"/>
      <c r="W129" s="16" t="n"/>
      <c r="X129" s="18" t="n"/>
      <c r="Y129" s="18" t="n"/>
      <c r="Z129" s="18" t="n"/>
      <c r="AA129" s="18" t="n"/>
      <c r="AB129" s="18" t="n"/>
      <c r="AC129" s="18" t="n"/>
      <c r="AD129" s="18" t="n"/>
      <c r="AE129" s="18" t="n"/>
      <c r="AF129" s="18" t="n"/>
      <c r="AG129" s="18" t="n"/>
      <c r="AH129" s="18" t="n"/>
      <c r="AI129" s="18" t="n"/>
    </row>
    <row r="130">
      <c r="A130" s="9" t="n">
        <v>202007</v>
      </c>
      <c r="B130" s="10">
        <f>LEFT(creditcard[[#This Row],[YYYYMM]],4)</f>
        <v/>
      </c>
      <c r="C130" s="10">
        <f>RIGHT(creditcard[[#This Row],[YYYYMM]],2)</f>
        <v/>
      </c>
      <c r="D130" s="10">
        <f>IF(RIGHT(creditcard[[#This Row],[YYYYMM]],2)="--","--","Q"&amp;ROUNDUP(VALUE(RIGHT(creditcard[[#This Row],[YYYYMM]],2))/3,0))</f>
        <v/>
      </c>
      <c r="E130" s="10" t="n">
        <v>8</v>
      </c>
      <c r="F130" s="151" t="inlineStr">
        <is>
          <t>永豐</t>
        </is>
      </c>
      <c r="G130" s="152" t="inlineStr">
        <is>
          <t>08 永豐</t>
        </is>
      </c>
      <c r="H130" s="153" t="n">
        <v>2084392</v>
      </c>
      <c r="I130" s="153" t="n">
        <v>1078258</v>
      </c>
      <c r="J130" s="153" t="n">
        <v>41802</v>
      </c>
      <c r="K130" s="153" t="n">
        <v>9232</v>
      </c>
      <c r="L130" s="153" t="n">
        <v>4072.083</v>
      </c>
      <c r="M130" s="11" t="n"/>
      <c r="N130" s="153" t="n">
        <v>12821.162</v>
      </c>
      <c r="O130" s="11" t="n"/>
      <c r="P130" s="11" t="n"/>
      <c r="Q130" s="12" t="n"/>
      <c r="R130" s="11" t="n"/>
      <c r="S130" s="11" t="n"/>
      <c r="T130" s="11" t="n"/>
      <c r="U130" s="11" t="n"/>
      <c r="V130" s="154" t="n"/>
      <c r="W130" s="11" t="n"/>
      <c r="X130" s="13" t="n"/>
      <c r="Y130" s="13" t="n"/>
      <c r="Z130" s="13" t="n"/>
      <c r="AA130" s="13" t="n"/>
      <c r="AB130" s="13" t="n"/>
      <c r="AC130" s="13" t="n"/>
      <c r="AD130" s="13" t="n"/>
      <c r="AE130" s="13" t="n"/>
      <c r="AF130" s="13" t="n"/>
      <c r="AG130" s="13" t="n"/>
      <c r="AH130" s="13" t="n"/>
      <c r="AI130" s="13" t="n"/>
    </row>
    <row r="131">
      <c r="A131" s="14" t="n">
        <v>202007</v>
      </c>
      <c r="B131" s="15">
        <f>LEFT(creditcard[[#This Row],[YYYYMM]],4)</f>
        <v/>
      </c>
      <c r="C131" s="15">
        <f>RIGHT(creditcard[[#This Row],[YYYYMM]],2)</f>
        <v/>
      </c>
      <c r="D131" s="15">
        <f>IF(RIGHT(creditcard[[#This Row],[YYYYMM]],2)="--","--","Q"&amp;ROUNDUP(VALUE(RIGHT(creditcard[[#This Row],[YYYYMM]],2))/3,0))</f>
        <v/>
      </c>
      <c r="E131" s="15" t="n">
        <v>9</v>
      </c>
      <c r="F131" s="155" t="inlineStr">
        <is>
          <t>第一</t>
        </is>
      </c>
      <c r="G131" s="156" t="inlineStr">
        <is>
          <t>09 第一</t>
        </is>
      </c>
      <c r="H131" s="157" t="n">
        <v>1273378</v>
      </c>
      <c r="I131" s="157" t="n">
        <v>753398</v>
      </c>
      <c r="J131" s="157" t="n">
        <v>30341</v>
      </c>
      <c r="K131" s="157" t="n">
        <v>12728</v>
      </c>
      <c r="L131" s="157" t="n">
        <v>1367</v>
      </c>
      <c r="M131" s="16" t="n"/>
      <c r="N131" s="157" t="n">
        <v>5330</v>
      </c>
      <c r="O131" s="16" t="n"/>
      <c r="P131" s="16" t="n"/>
      <c r="Q131" s="17" t="n"/>
      <c r="R131" s="16" t="n"/>
      <c r="S131" s="16" t="n"/>
      <c r="T131" s="16" t="n"/>
      <c r="U131" s="16" t="n"/>
      <c r="V131" s="158" t="n"/>
      <c r="W131" s="16" t="n"/>
      <c r="X131" s="18" t="n"/>
      <c r="Y131" s="18" t="n"/>
      <c r="Z131" s="18" t="n"/>
      <c r="AA131" s="18" t="n"/>
      <c r="AB131" s="18" t="n"/>
      <c r="AC131" s="18" t="n"/>
      <c r="AD131" s="18" t="n"/>
      <c r="AE131" s="18" t="n"/>
      <c r="AF131" s="18" t="n"/>
      <c r="AG131" s="18" t="n"/>
      <c r="AH131" s="18" t="n"/>
      <c r="AI131" s="18" t="n"/>
    </row>
    <row r="132">
      <c r="A132" s="9" t="n">
        <v>202007</v>
      </c>
      <c r="B132" s="10">
        <f>LEFT(creditcard[[#This Row],[YYYYMM]],4)</f>
        <v/>
      </c>
      <c r="C132" s="10">
        <f>RIGHT(creditcard[[#This Row],[YYYYMM]],2)</f>
        <v/>
      </c>
      <c r="D132" s="10">
        <f>IF(RIGHT(creditcard[[#This Row],[YYYYMM]],2)="--","--","Q"&amp;ROUNDUP(VALUE(RIGHT(creditcard[[#This Row],[YYYYMM]],2))/3,0))</f>
        <v/>
      </c>
      <c r="E132" s="10" t="n">
        <v>10</v>
      </c>
      <c r="F132" s="151" t="inlineStr">
        <is>
          <t>遠東</t>
        </is>
      </c>
      <c r="G132" s="152" t="inlineStr">
        <is>
          <t>10 遠東</t>
        </is>
      </c>
      <c r="H132" s="153" t="n">
        <v>1618470</v>
      </c>
      <c r="I132" s="153" t="n">
        <v>1014033</v>
      </c>
      <c r="J132" s="153" t="n">
        <v>11836</v>
      </c>
      <c r="K132" s="153" t="n">
        <v>6099</v>
      </c>
      <c r="L132" s="153" t="n">
        <v>3952.079</v>
      </c>
      <c r="M132" s="11" t="n"/>
      <c r="N132" s="153" t="n">
        <v>4977.637</v>
      </c>
      <c r="O132" s="11" t="n"/>
      <c r="P132" s="11" t="n"/>
      <c r="Q132" s="12" t="n"/>
      <c r="R132" s="11" t="n"/>
      <c r="S132" s="11" t="n"/>
      <c r="T132" s="11" t="n"/>
      <c r="U132" s="11" t="n"/>
      <c r="V132" s="154" t="n"/>
      <c r="W132" s="11" t="n"/>
      <c r="X132" s="13" t="n"/>
      <c r="Y132" s="13" t="n"/>
      <c r="Z132" s="13" t="n"/>
      <c r="AA132" s="13" t="n"/>
      <c r="AB132" s="13" t="n"/>
      <c r="AC132" s="13" t="n"/>
      <c r="AD132" s="13" t="n"/>
      <c r="AE132" s="13" t="n"/>
      <c r="AF132" s="13" t="n"/>
      <c r="AG132" s="13" t="n"/>
      <c r="AH132" s="13" t="n"/>
      <c r="AI132" s="13" t="n"/>
    </row>
    <row r="133">
      <c r="A133" s="14" t="n">
        <v>202007</v>
      </c>
      <c r="B133" s="15">
        <f>LEFT(creditcard[[#This Row],[YYYYMM]],4)</f>
        <v/>
      </c>
      <c r="C133" s="15">
        <f>RIGHT(creditcard[[#This Row],[YYYYMM]],2)</f>
        <v/>
      </c>
      <c r="D133" s="15">
        <f>IF(RIGHT(creditcard[[#This Row],[YYYYMM]],2)="--","--","Q"&amp;ROUNDUP(VALUE(RIGHT(creditcard[[#This Row],[YYYYMM]],2))/3,0))</f>
        <v/>
      </c>
      <c r="E133" s="15" t="n">
        <v>11</v>
      </c>
      <c r="F133" s="155" t="inlineStr">
        <is>
          <t>市場總計</t>
        </is>
      </c>
      <c r="G133" s="156" t="inlineStr">
        <is>
          <t>11 市場總計</t>
        </is>
      </c>
      <c r="H133" s="157" t="n">
        <v>49148541</v>
      </c>
      <c r="I133" s="157" t="n">
        <v>32276267</v>
      </c>
      <c r="J133" s="157" t="n">
        <v>653454</v>
      </c>
      <c r="K133" s="157" t="n">
        <v>312137</v>
      </c>
      <c r="L133" s="157" t="n">
        <v>102345</v>
      </c>
      <c r="M133" s="16" t="n"/>
      <c r="N133" s="157" t="n">
        <v>362627</v>
      </c>
      <c r="O133" s="16" t="n"/>
      <c r="P133" s="16" t="n"/>
      <c r="Q133" s="17" t="n"/>
      <c r="R133" s="16" t="n"/>
      <c r="S133" s="16" t="n"/>
      <c r="T133" s="16" t="n"/>
      <c r="U133" s="16" t="n"/>
      <c r="V133" s="158" t="n">
        <v>4.25</v>
      </c>
      <c r="W133" s="16">
        <f>SUMIFS(H:H,A:A,creditcard[[#This Row],[YYYYMM]],G:G,creditcard[[#This Row],[Item]])</f>
        <v/>
      </c>
      <c r="X133" s="4">
        <f>IFERROR(SUMIFS(H:H,A:A,creditcard[[#This Row],[YYYYMM]],E:E,"&lt;=5")/creditcard[[#This Row],[市場總計]],"")</f>
        <v/>
      </c>
      <c r="Y133" s="4">
        <f>IFERROR(SUMIFS(H:H,A:A,creditcard[[#This Row],[YYYYMM]],E:E,"&lt;=10")/creditcard[[#This Row],[市場總計]],"")</f>
        <v/>
      </c>
      <c r="Z133" s="4">
        <f>IFERROR(SUMIFS(I:I,A:A,creditcard[[#This Row],[YYYYMM]],E:E,"&lt;=5")/creditcard[[#This Row],[有效卡數]],"")</f>
        <v/>
      </c>
      <c r="AA133" s="4">
        <f>IFERROR(SUMIFS(I:I,A:A,creditcard[[#This Row],[YYYYMM]],E:E,"&lt;=10")/creditcard[[#This Row],[有效卡數]],"")</f>
        <v/>
      </c>
      <c r="AB133" s="4">
        <f>IFERROR(SUMIFS(J:J,A:A,creditcard[[#This Row],[YYYYMM]],E:E,"&lt;=5")/creditcard[[#This Row],[當月發卡數]],"")</f>
        <v/>
      </c>
      <c r="AC133" s="4">
        <f>IFERROR(SUMIFS(J:J,A:A,creditcard[[#This Row],[YYYYMM]],E:E,"&lt;=10")/creditcard[[#This Row],[當月發卡數]],"")</f>
        <v/>
      </c>
      <c r="AD133" s="4">
        <f>IFERROR(SUMIFS(K:K,A:A,creditcard[[#This Row],[YYYYMM]],E:E,"&lt;=5")/creditcard[[#This Row],[當月停卡數]],"")</f>
        <v/>
      </c>
      <c r="AE133" s="4">
        <f>IFERROR(SUMIFS(K:K,A:A,creditcard[[#This Row],[YYYYMM]],E:E,"&lt;=10")/creditcard[[#This Row],[當月停卡數]],"")</f>
        <v/>
      </c>
      <c r="AF133" s="4">
        <f>IFERROR(SUMIFS(L:L,A:A,creditcard[[#This Row],[YYYYMM]],E:E,"&lt;=5")/creditcard[[#This Row],[循環信用餘額]],"")</f>
        <v/>
      </c>
      <c r="AG133" s="4">
        <f>IFERROR(SUMIFS(L:L,A:A,creditcard[[#This Row],[YYYYMM]],E:E,"&lt;=10")/creditcard[[#This Row],[循環信用餘額]],"")</f>
        <v/>
      </c>
      <c r="AH133" s="4">
        <f>IFERROR(SUMIFS(N:N,A:A,creditcard[[#This Row],[YYYYMM]],E:E,"&lt;=5")/creditcard[[#This Row],[當月簽帳金額]],"")</f>
        <v/>
      </c>
      <c r="AI133" s="4">
        <f>IFERROR(SUMIFS(N:N,A:A,creditcard[[#This Row],[YYYYMM]],E:E,"&lt;=10")/creditcard[[#This Row],[當月簽帳金額]],"")</f>
        <v/>
      </c>
    </row>
    <row r="134">
      <c r="A134" s="9" t="n">
        <v>202008</v>
      </c>
      <c r="B134" s="10">
        <f>LEFT(creditcard[[#This Row],[YYYYMM]],4)</f>
        <v/>
      </c>
      <c r="C134" s="10">
        <f>RIGHT(creditcard[[#This Row],[YYYYMM]],2)</f>
        <v/>
      </c>
      <c r="D134" s="10">
        <f>IF(RIGHT(creditcard[[#This Row],[YYYYMM]],2)="--","--","Q"&amp;ROUNDUP(VALUE(RIGHT(creditcard[[#This Row],[YYYYMM]],2))/3,0))</f>
        <v/>
      </c>
      <c r="E134" s="10" t="n">
        <v>1</v>
      </c>
      <c r="F134" s="151" t="inlineStr">
        <is>
          <t>中信</t>
        </is>
      </c>
      <c r="G134" s="152" t="inlineStr">
        <is>
          <t>01 中信</t>
        </is>
      </c>
      <c r="H134" s="153" t="n">
        <v>7128493</v>
      </c>
      <c r="I134" s="153" t="n">
        <v>4624452</v>
      </c>
      <c r="J134" s="153" t="n">
        <v>77530</v>
      </c>
      <c r="K134" s="153" t="n">
        <v>33735</v>
      </c>
      <c r="L134" s="153" t="n">
        <v>16095.489</v>
      </c>
      <c r="M134" s="11" t="n"/>
      <c r="N134" s="153" t="n">
        <v>33762.518</v>
      </c>
      <c r="O134" s="11" t="n"/>
      <c r="P134" s="11" t="n"/>
      <c r="Q134" s="12" t="n"/>
      <c r="R134" s="11" t="n"/>
      <c r="S134" s="11" t="n"/>
      <c r="T134" s="11" t="n"/>
      <c r="U134" s="11" t="n"/>
      <c r="V134" s="154" t="n"/>
      <c r="W134" s="11" t="n"/>
      <c r="X134" s="13" t="n"/>
      <c r="Y134" s="13" t="n"/>
      <c r="Z134" s="13" t="n"/>
      <c r="AA134" s="13" t="n"/>
      <c r="AB134" s="13" t="n"/>
      <c r="AC134" s="13" t="n"/>
      <c r="AD134" s="13" t="n"/>
      <c r="AE134" s="13" t="n"/>
      <c r="AF134" s="13" t="n"/>
      <c r="AG134" s="13" t="n"/>
      <c r="AH134" s="13" t="n"/>
      <c r="AI134" s="13" t="n"/>
    </row>
    <row r="135">
      <c r="A135" s="14" t="n">
        <v>202008</v>
      </c>
      <c r="B135" s="15">
        <f>LEFT(creditcard[[#This Row],[YYYYMM]],4)</f>
        <v/>
      </c>
      <c r="C135" s="15">
        <f>RIGHT(creditcard[[#This Row],[YYYYMM]],2)</f>
        <v/>
      </c>
      <c r="D135" s="15">
        <f>IF(RIGHT(creditcard[[#This Row],[YYYYMM]],2)="--","--","Q"&amp;ROUNDUP(VALUE(RIGHT(creditcard[[#This Row],[YYYYMM]],2))/3,0))</f>
        <v/>
      </c>
      <c r="E135" s="15" t="n">
        <v>2</v>
      </c>
      <c r="F135" s="155" t="inlineStr">
        <is>
          <t>富邦</t>
        </is>
      </c>
      <c r="G135" s="156" t="inlineStr">
        <is>
          <t>02 富邦</t>
        </is>
      </c>
      <c r="H135" s="157" t="n">
        <v>3706896</v>
      </c>
      <c r="I135" s="157" t="n">
        <v>2403859</v>
      </c>
      <c r="J135" s="157" t="n">
        <v>62752</v>
      </c>
      <c r="K135" s="157" t="n">
        <v>20103</v>
      </c>
      <c r="L135" s="157" t="n">
        <v>5286.352</v>
      </c>
      <c r="M135" s="16" t="n"/>
      <c r="N135" s="157" t="n">
        <v>21360.07</v>
      </c>
      <c r="O135" s="16" t="n"/>
      <c r="P135" s="16" t="n"/>
      <c r="Q135" s="17" t="n"/>
      <c r="R135" s="16" t="n"/>
      <c r="S135" s="16" t="n"/>
      <c r="T135" s="16" t="n"/>
      <c r="U135" s="16" t="n"/>
      <c r="V135" s="158" t="n"/>
      <c r="W135" s="16" t="n"/>
      <c r="X135" s="18" t="n"/>
      <c r="Y135" s="18" t="n"/>
      <c r="Z135" s="18" t="n"/>
      <c r="AA135" s="18" t="n"/>
      <c r="AB135" s="18" t="n"/>
      <c r="AC135" s="18" t="n"/>
      <c r="AD135" s="18" t="n"/>
      <c r="AE135" s="18" t="n"/>
      <c r="AF135" s="18" t="n"/>
      <c r="AG135" s="18" t="n"/>
      <c r="AH135" s="18" t="n"/>
      <c r="AI135" s="18" t="n"/>
    </row>
    <row r="136">
      <c r="A136" s="9" t="n">
        <v>202008</v>
      </c>
      <c r="B136" s="10">
        <f>LEFT(creditcard[[#This Row],[YYYYMM]],4)</f>
        <v/>
      </c>
      <c r="C136" s="10">
        <f>RIGHT(creditcard[[#This Row],[YYYYMM]],2)</f>
        <v/>
      </c>
      <c r="D136" s="10">
        <f>IF(RIGHT(creditcard[[#This Row],[YYYYMM]],2)="--","--","Q"&amp;ROUNDUP(VALUE(RIGHT(creditcard[[#This Row],[YYYYMM]],2))/3,0))</f>
        <v/>
      </c>
      <c r="E136" s="10" t="n">
        <v>3</v>
      </c>
      <c r="F136" s="151" t="inlineStr">
        <is>
          <t>國泰</t>
        </is>
      </c>
      <c r="G136" s="152" t="inlineStr">
        <is>
          <t>03 國泰</t>
        </is>
      </c>
      <c r="H136" s="153" t="n">
        <v>7015871</v>
      </c>
      <c r="I136" s="153" t="n">
        <v>5021080</v>
      </c>
      <c r="J136" s="153" t="n">
        <v>63137</v>
      </c>
      <c r="K136" s="153" t="n">
        <v>28664</v>
      </c>
      <c r="L136" s="153" t="n">
        <v>17654.746</v>
      </c>
      <c r="M136" s="11" t="n"/>
      <c r="N136" s="153" t="n">
        <v>35273.794</v>
      </c>
      <c r="O136" s="11" t="n"/>
      <c r="P136" s="11" t="n"/>
      <c r="Q136" s="12" t="n"/>
      <c r="R136" s="11" t="n"/>
      <c r="S136" s="11" t="n"/>
      <c r="T136" s="11" t="n"/>
      <c r="U136" s="11" t="n"/>
      <c r="V136" s="154" t="n"/>
      <c r="W136" s="11" t="n"/>
      <c r="X136" s="13" t="n"/>
      <c r="Y136" s="13" t="n"/>
      <c r="Z136" s="13" t="n"/>
      <c r="AA136" s="13" t="n"/>
      <c r="AB136" s="13" t="n"/>
      <c r="AC136" s="13" t="n"/>
      <c r="AD136" s="13" t="n"/>
      <c r="AE136" s="13" t="n"/>
      <c r="AF136" s="13" t="n"/>
      <c r="AG136" s="13" t="n"/>
      <c r="AH136" s="13" t="n"/>
      <c r="AI136" s="13" t="n"/>
    </row>
    <row r="137">
      <c r="A137" s="14" t="n">
        <v>202008</v>
      </c>
      <c r="B137" s="15">
        <f>LEFT(creditcard[[#This Row],[YYYYMM]],4)</f>
        <v/>
      </c>
      <c r="C137" s="15">
        <f>RIGHT(creditcard[[#This Row],[YYYYMM]],2)</f>
        <v/>
      </c>
      <c r="D137" s="15">
        <f>IF(RIGHT(creditcard[[#This Row],[YYYYMM]],2)="--","--","Q"&amp;ROUNDUP(VALUE(RIGHT(creditcard[[#This Row],[YYYYMM]],2))/3,0))</f>
        <v/>
      </c>
      <c r="E137" s="15" t="n">
        <v>4</v>
      </c>
      <c r="F137" s="155" t="inlineStr">
        <is>
          <t>玉山</t>
        </is>
      </c>
      <c r="G137" s="156" t="inlineStr">
        <is>
          <t>04 玉山</t>
        </is>
      </c>
      <c r="H137" s="157" t="n">
        <v>6233457</v>
      </c>
      <c r="I137" s="157" t="n">
        <v>4414758</v>
      </c>
      <c r="J137" s="157" t="n">
        <v>64471</v>
      </c>
      <c r="K137" s="157" t="n">
        <v>23396</v>
      </c>
      <c r="L137" s="157" t="n">
        <v>12382.571</v>
      </c>
      <c r="M137" s="16" t="n"/>
      <c r="N137" s="157" t="n">
        <v>39059.695</v>
      </c>
      <c r="O137" s="16" t="n"/>
      <c r="P137" s="16" t="n"/>
      <c r="Q137" s="17" t="n"/>
      <c r="R137" s="16" t="n"/>
      <c r="S137" s="16" t="n"/>
      <c r="T137" s="16" t="n"/>
      <c r="U137" s="16" t="n"/>
      <c r="V137" s="158" t="n"/>
      <c r="W137" s="16" t="n"/>
      <c r="X137" s="18" t="n"/>
      <c r="Y137" s="18" t="n"/>
      <c r="Z137" s="18" t="n"/>
      <c r="AA137" s="18" t="n"/>
      <c r="AB137" s="18" t="n"/>
      <c r="AC137" s="18" t="n"/>
      <c r="AD137" s="18" t="n"/>
      <c r="AE137" s="18" t="n"/>
      <c r="AF137" s="18" t="n"/>
      <c r="AG137" s="18" t="n"/>
      <c r="AH137" s="18" t="n"/>
      <c r="AI137" s="18" t="n"/>
    </row>
    <row r="138">
      <c r="A138" s="9" t="n">
        <v>202008</v>
      </c>
      <c r="B138" s="10">
        <f>LEFT(creditcard[[#This Row],[YYYYMM]],4)</f>
        <v/>
      </c>
      <c r="C138" s="10">
        <f>RIGHT(creditcard[[#This Row],[YYYYMM]],2)</f>
        <v/>
      </c>
      <c r="D138" s="10">
        <f>IF(RIGHT(creditcard[[#This Row],[YYYYMM]],2)="--","--","Q"&amp;ROUNDUP(VALUE(RIGHT(creditcard[[#This Row],[YYYYMM]],2))/3,0))</f>
        <v/>
      </c>
      <c r="E138" s="10" t="n">
        <v>5</v>
      </c>
      <c r="F138" s="151" t="inlineStr">
        <is>
          <t>台新</t>
        </is>
      </c>
      <c r="G138" s="152" t="inlineStr">
        <is>
          <t>05 台新</t>
        </is>
      </c>
      <c r="H138" s="153" t="n">
        <v>5582662</v>
      </c>
      <c r="I138" s="153" t="n">
        <v>3941993</v>
      </c>
      <c r="J138" s="153" t="n">
        <v>53383</v>
      </c>
      <c r="K138" s="153" t="n">
        <v>20311</v>
      </c>
      <c r="L138" s="153" t="n">
        <v>10283.059</v>
      </c>
      <c r="M138" s="11" t="n"/>
      <c r="N138" s="153" t="n">
        <v>26696.965</v>
      </c>
      <c r="O138" s="11" t="n"/>
      <c r="P138" s="11" t="n"/>
      <c r="Q138" s="12" t="n"/>
      <c r="R138" s="11" t="n"/>
      <c r="S138" s="11" t="n"/>
      <c r="T138" s="11" t="n"/>
      <c r="U138" s="11" t="n"/>
      <c r="V138" s="154" t="n"/>
      <c r="W138" s="11" t="n"/>
      <c r="X138" s="13" t="n"/>
      <c r="Y138" s="13" t="n"/>
      <c r="Z138" s="13" t="n"/>
      <c r="AA138" s="13" t="n"/>
      <c r="AB138" s="13" t="n"/>
      <c r="AC138" s="13" t="n"/>
      <c r="AD138" s="13" t="n"/>
      <c r="AE138" s="13" t="n"/>
      <c r="AF138" s="13" t="n"/>
      <c r="AG138" s="13" t="n"/>
      <c r="AH138" s="13" t="n"/>
      <c r="AI138" s="13" t="n"/>
    </row>
    <row r="139">
      <c r="A139" s="14" t="n">
        <v>202008</v>
      </c>
      <c r="B139" s="15">
        <f>LEFT(creditcard[[#This Row],[YYYYMM]],4)</f>
        <v/>
      </c>
      <c r="C139" s="15">
        <f>RIGHT(creditcard[[#This Row],[YYYYMM]],2)</f>
        <v/>
      </c>
      <c r="D139" s="15">
        <f>IF(RIGHT(creditcard[[#This Row],[YYYYMM]],2)="--","--","Q"&amp;ROUNDUP(VALUE(RIGHT(creditcard[[#This Row],[YYYYMM]],2))/3,0))</f>
        <v/>
      </c>
      <c r="E139" s="15" t="n">
        <v>6</v>
      </c>
      <c r="F139" s="155" t="inlineStr">
        <is>
          <t>星展</t>
        </is>
      </c>
      <c r="G139" s="156" t="inlineStr">
        <is>
          <t>06 星展</t>
        </is>
      </c>
      <c r="H139" s="157" t="n">
        <v>598131</v>
      </c>
      <c r="I139" s="157" t="n">
        <v>335048</v>
      </c>
      <c r="J139" s="157" t="n">
        <v>7466</v>
      </c>
      <c r="K139" s="157" t="n">
        <v>11601</v>
      </c>
      <c r="L139" s="157" t="n">
        <v>1365</v>
      </c>
      <c r="M139" s="16" t="n"/>
      <c r="N139" s="157" t="n">
        <v>2634</v>
      </c>
      <c r="O139" s="16" t="n"/>
      <c r="P139" s="16" t="n"/>
      <c r="Q139" s="17" t="n"/>
      <c r="R139" s="16" t="n"/>
      <c r="S139" s="16" t="n"/>
      <c r="T139" s="16" t="n"/>
      <c r="U139" s="16" t="n"/>
      <c r="V139" s="158" t="n"/>
      <c r="W139" s="16" t="n"/>
      <c r="X139" s="18" t="n"/>
      <c r="Y139" s="18" t="n"/>
      <c r="Z139" s="18" t="n"/>
      <c r="AA139" s="18" t="n"/>
      <c r="AB139" s="18" t="n"/>
      <c r="AC139" s="18" t="n"/>
      <c r="AD139" s="18" t="n"/>
      <c r="AE139" s="18" t="n"/>
      <c r="AF139" s="18" t="n"/>
      <c r="AG139" s="18" t="n"/>
      <c r="AH139" s="18" t="n"/>
      <c r="AI139" s="18" t="n"/>
    </row>
    <row r="140">
      <c r="A140" s="9" t="n">
        <v>202008</v>
      </c>
      <c r="B140" s="10">
        <f>LEFT(creditcard[[#This Row],[YYYYMM]],4)</f>
        <v/>
      </c>
      <c r="C140" s="10">
        <f>RIGHT(creditcard[[#This Row],[YYYYMM]],2)</f>
        <v/>
      </c>
      <c r="D140" s="10">
        <f>IF(RIGHT(creditcard[[#This Row],[YYYYMM]],2)="--","--","Q"&amp;ROUNDUP(VALUE(RIGHT(creditcard[[#This Row],[YYYYMM]],2))/3,0))</f>
        <v/>
      </c>
      <c r="E140" s="10" t="n">
        <v>7</v>
      </c>
      <c r="F140" s="151" t="inlineStr">
        <is>
          <t>聯邦</t>
        </is>
      </c>
      <c r="G140" s="152" t="inlineStr">
        <is>
          <t>07 聯邦</t>
        </is>
      </c>
      <c r="H140" s="153" t="n">
        <v>2207802</v>
      </c>
      <c r="I140" s="153" t="n">
        <v>1308587</v>
      </c>
      <c r="J140" s="153" t="n">
        <v>24203</v>
      </c>
      <c r="K140" s="153" t="n">
        <v>13347</v>
      </c>
      <c r="L140" s="153" t="n">
        <v>5646.281</v>
      </c>
      <c r="M140" s="11" t="n"/>
      <c r="N140" s="153" t="n">
        <v>8247.718999999999</v>
      </c>
      <c r="O140" s="11" t="n"/>
      <c r="P140" s="11" t="n"/>
      <c r="Q140" s="12" t="n"/>
      <c r="R140" s="11" t="n"/>
      <c r="S140" s="11" t="n"/>
      <c r="T140" s="11" t="n"/>
      <c r="U140" s="11" t="n"/>
      <c r="V140" s="154" t="n"/>
      <c r="W140" s="11" t="n"/>
      <c r="X140" s="13" t="n"/>
      <c r="Y140" s="13" t="n"/>
      <c r="Z140" s="13" t="n"/>
      <c r="AA140" s="13" t="n"/>
      <c r="AB140" s="13" t="n"/>
      <c r="AC140" s="13" t="n"/>
      <c r="AD140" s="13" t="n"/>
      <c r="AE140" s="13" t="n"/>
      <c r="AF140" s="13" t="n"/>
      <c r="AG140" s="13" t="n"/>
      <c r="AH140" s="13" t="n"/>
      <c r="AI140" s="13" t="n"/>
    </row>
    <row r="141">
      <c r="A141" s="14" t="n">
        <v>202008</v>
      </c>
      <c r="B141" s="15">
        <f>LEFT(creditcard[[#This Row],[YYYYMM]],4)</f>
        <v/>
      </c>
      <c r="C141" s="15">
        <f>RIGHT(creditcard[[#This Row],[YYYYMM]],2)</f>
        <v/>
      </c>
      <c r="D141" s="15">
        <f>IF(RIGHT(creditcard[[#This Row],[YYYYMM]],2)="--","--","Q"&amp;ROUNDUP(VALUE(RIGHT(creditcard[[#This Row],[YYYYMM]],2))/3,0))</f>
        <v/>
      </c>
      <c r="E141" s="15" t="n">
        <v>8</v>
      </c>
      <c r="F141" s="155" t="inlineStr">
        <is>
          <t>永豐</t>
        </is>
      </c>
      <c r="G141" s="156" t="inlineStr">
        <is>
          <t>08 永豐</t>
        </is>
      </c>
      <c r="H141" s="157" t="n">
        <v>2100084</v>
      </c>
      <c r="I141" s="157" t="n">
        <v>1086143</v>
      </c>
      <c r="J141" s="157" t="n">
        <v>22900</v>
      </c>
      <c r="K141" s="157" t="n">
        <v>7305</v>
      </c>
      <c r="L141" s="157" t="n">
        <v>4078.17</v>
      </c>
      <c r="M141" s="16" t="n"/>
      <c r="N141" s="157" t="n">
        <v>9041.725</v>
      </c>
      <c r="O141" s="16" t="n"/>
      <c r="P141" s="16" t="n"/>
      <c r="Q141" s="17" t="n"/>
      <c r="R141" s="16" t="n"/>
      <c r="S141" s="16" t="n"/>
      <c r="T141" s="16" t="n"/>
      <c r="U141" s="16" t="n"/>
      <c r="V141" s="158" t="n"/>
      <c r="W141" s="16" t="n"/>
      <c r="X141" s="18" t="n"/>
      <c r="Y141" s="18" t="n"/>
      <c r="Z141" s="18" t="n"/>
      <c r="AA141" s="18" t="n"/>
      <c r="AB141" s="18" t="n"/>
      <c r="AC141" s="18" t="n"/>
      <c r="AD141" s="18" t="n"/>
      <c r="AE141" s="18" t="n"/>
      <c r="AF141" s="18" t="n"/>
      <c r="AG141" s="18" t="n"/>
      <c r="AH141" s="18" t="n"/>
      <c r="AI141" s="18" t="n"/>
    </row>
    <row r="142">
      <c r="A142" s="9" t="n">
        <v>202008</v>
      </c>
      <c r="B142" s="10">
        <f>LEFT(creditcard[[#This Row],[YYYYMM]],4)</f>
        <v/>
      </c>
      <c r="C142" s="10">
        <f>RIGHT(creditcard[[#This Row],[YYYYMM]],2)</f>
        <v/>
      </c>
      <c r="D142" s="10">
        <f>IF(RIGHT(creditcard[[#This Row],[YYYYMM]],2)="--","--","Q"&amp;ROUNDUP(VALUE(RIGHT(creditcard[[#This Row],[YYYYMM]],2))/3,0))</f>
        <v/>
      </c>
      <c r="E142" s="10" t="n">
        <v>9</v>
      </c>
      <c r="F142" s="151" t="inlineStr">
        <is>
          <t>第一</t>
        </is>
      </c>
      <c r="G142" s="152" t="inlineStr">
        <is>
          <t>09 第一</t>
        </is>
      </c>
      <c r="H142" s="153" t="n">
        <v>1257813</v>
      </c>
      <c r="I142" s="153" t="n">
        <v>747800</v>
      </c>
      <c r="J142" s="153" t="n">
        <v>13576</v>
      </c>
      <c r="K142" s="153" t="n">
        <v>31479</v>
      </c>
      <c r="L142" s="153" t="n">
        <v>1367</v>
      </c>
      <c r="M142" s="11" t="n"/>
      <c r="N142" s="153" t="n">
        <v>4029</v>
      </c>
      <c r="O142" s="11" t="n"/>
      <c r="P142" s="11" t="n"/>
      <c r="Q142" s="12" t="n"/>
      <c r="R142" s="11" t="n"/>
      <c r="S142" s="11" t="n"/>
      <c r="T142" s="11" t="n"/>
      <c r="U142" s="11" t="n"/>
      <c r="V142" s="154" t="n"/>
      <c r="W142" s="11" t="n"/>
      <c r="X142" s="13" t="n"/>
      <c r="Y142" s="13" t="n"/>
      <c r="Z142" s="13" t="n"/>
      <c r="AA142" s="13" t="n"/>
      <c r="AB142" s="13" t="n"/>
      <c r="AC142" s="13" t="n"/>
      <c r="AD142" s="13" t="n"/>
      <c r="AE142" s="13" t="n"/>
      <c r="AF142" s="13" t="n"/>
      <c r="AG142" s="13" t="n"/>
      <c r="AH142" s="13" t="n"/>
      <c r="AI142" s="13" t="n"/>
    </row>
    <row r="143">
      <c r="A143" s="14" t="n">
        <v>202008</v>
      </c>
      <c r="B143" s="15">
        <f>LEFT(creditcard[[#This Row],[YYYYMM]],4)</f>
        <v/>
      </c>
      <c r="C143" s="15">
        <f>RIGHT(creditcard[[#This Row],[YYYYMM]],2)</f>
        <v/>
      </c>
      <c r="D143" s="15">
        <f>IF(RIGHT(creditcard[[#This Row],[YYYYMM]],2)="--","--","Q"&amp;ROUNDUP(VALUE(RIGHT(creditcard[[#This Row],[YYYYMM]],2))/3,0))</f>
        <v/>
      </c>
      <c r="E143" s="15" t="n">
        <v>10</v>
      </c>
      <c r="F143" s="155" t="inlineStr">
        <is>
          <t>遠東</t>
        </is>
      </c>
      <c r="G143" s="156" t="inlineStr">
        <is>
          <t>10 遠東</t>
        </is>
      </c>
      <c r="H143" s="157" t="n">
        <v>1623313</v>
      </c>
      <c r="I143" s="157" t="n">
        <v>1019925</v>
      </c>
      <c r="J143" s="157" t="n">
        <v>10236</v>
      </c>
      <c r="K143" s="157" t="n">
        <v>5398</v>
      </c>
      <c r="L143" s="157" t="n">
        <v>4010.534</v>
      </c>
      <c r="M143" s="16" t="n"/>
      <c r="N143" s="157" t="n">
        <v>3908.805</v>
      </c>
      <c r="O143" s="16" t="n"/>
      <c r="P143" s="16" t="n"/>
      <c r="Q143" s="17" t="n"/>
      <c r="R143" s="16" t="n"/>
      <c r="S143" s="16" t="n"/>
      <c r="T143" s="16" t="n"/>
      <c r="U143" s="16" t="n"/>
      <c r="V143" s="158" t="n"/>
      <c r="W143" s="16" t="n"/>
      <c r="X143" s="18" t="n"/>
      <c r="Y143" s="18" t="n"/>
      <c r="Z143" s="18" t="n"/>
      <c r="AA143" s="18" t="n"/>
      <c r="AB143" s="18" t="n"/>
      <c r="AC143" s="18" t="n"/>
      <c r="AD143" s="18" t="n"/>
      <c r="AE143" s="18" t="n"/>
      <c r="AF143" s="18" t="n"/>
      <c r="AG143" s="18" t="n"/>
      <c r="AH143" s="18" t="n"/>
      <c r="AI143" s="18" t="n"/>
    </row>
    <row r="144">
      <c r="A144" s="9" t="n">
        <v>202008</v>
      </c>
      <c r="B144" s="10">
        <f>LEFT(creditcard[[#This Row],[YYYYMM]],4)</f>
        <v/>
      </c>
      <c r="C144" s="10">
        <f>RIGHT(creditcard[[#This Row],[YYYYMM]],2)</f>
        <v/>
      </c>
      <c r="D144" s="10">
        <f>IF(RIGHT(creditcard[[#This Row],[YYYYMM]],2)="--","--","Q"&amp;ROUNDUP(VALUE(RIGHT(creditcard[[#This Row],[YYYYMM]],2))/3,0))</f>
        <v/>
      </c>
      <c r="E144" s="10" t="n">
        <v>11</v>
      </c>
      <c r="F144" s="151" t="inlineStr">
        <is>
          <t>市場總計</t>
        </is>
      </c>
      <c r="G144" s="152" t="inlineStr">
        <is>
          <t>11 市場總計</t>
        </is>
      </c>
      <c r="H144" s="153" t="n">
        <v>49388837</v>
      </c>
      <c r="I144" s="153" t="n">
        <v>32357764</v>
      </c>
      <c r="J144" s="153" t="n">
        <v>497706</v>
      </c>
      <c r="K144" s="153" t="n">
        <v>276113</v>
      </c>
      <c r="L144" s="153" t="n">
        <v>103350</v>
      </c>
      <c r="M144" s="11" t="n"/>
      <c r="N144" s="153" t="n">
        <v>234672</v>
      </c>
      <c r="O144" s="11" t="n"/>
      <c r="P144" s="11" t="n"/>
      <c r="Q144" s="12" t="n"/>
      <c r="R144" s="11" t="n"/>
      <c r="S144" s="11" t="n"/>
      <c r="T144" s="11" t="n"/>
      <c r="U144" s="11" t="n"/>
      <c r="V144" s="154" t="n">
        <v>4.26</v>
      </c>
      <c r="W144" s="11">
        <f>SUMIFS(H:H,A:A,creditcard[[#This Row],[YYYYMM]],G:G,creditcard[[#This Row],[Item]])</f>
        <v/>
      </c>
      <c r="X144" s="4">
        <f>IFERROR(SUMIFS(H:H,A:A,creditcard[[#This Row],[YYYYMM]],E:E,"&lt;=5")/creditcard[[#This Row],[市場總計]],"")</f>
        <v/>
      </c>
      <c r="Y144" s="4">
        <f>IFERROR(SUMIFS(H:H,A:A,creditcard[[#This Row],[YYYYMM]],E:E,"&lt;=10")/creditcard[[#This Row],[市場總計]],"")</f>
        <v/>
      </c>
      <c r="Z144" s="4">
        <f>IFERROR(SUMIFS(I:I,A:A,creditcard[[#This Row],[YYYYMM]],E:E,"&lt;=5")/creditcard[[#This Row],[有效卡數]],"")</f>
        <v/>
      </c>
      <c r="AA144" s="4">
        <f>IFERROR(SUMIFS(I:I,A:A,creditcard[[#This Row],[YYYYMM]],E:E,"&lt;=10")/creditcard[[#This Row],[有效卡數]],"")</f>
        <v/>
      </c>
      <c r="AB144" s="4">
        <f>IFERROR(SUMIFS(J:J,A:A,creditcard[[#This Row],[YYYYMM]],E:E,"&lt;=5")/creditcard[[#This Row],[當月發卡數]],"")</f>
        <v/>
      </c>
      <c r="AC144" s="4">
        <f>IFERROR(SUMIFS(J:J,A:A,creditcard[[#This Row],[YYYYMM]],E:E,"&lt;=10")/creditcard[[#This Row],[當月發卡數]],"")</f>
        <v/>
      </c>
      <c r="AD144" s="4">
        <f>IFERROR(SUMIFS(K:K,A:A,creditcard[[#This Row],[YYYYMM]],E:E,"&lt;=5")/creditcard[[#This Row],[當月停卡數]],"")</f>
        <v/>
      </c>
      <c r="AE144" s="4">
        <f>IFERROR(SUMIFS(K:K,A:A,creditcard[[#This Row],[YYYYMM]],E:E,"&lt;=10")/creditcard[[#This Row],[當月停卡數]],"")</f>
        <v/>
      </c>
      <c r="AF144" s="4">
        <f>IFERROR(SUMIFS(L:L,A:A,creditcard[[#This Row],[YYYYMM]],E:E,"&lt;=5")/creditcard[[#This Row],[循環信用餘額]],"")</f>
        <v/>
      </c>
      <c r="AG144" s="4">
        <f>IFERROR(SUMIFS(L:L,A:A,creditcard[[#This Row],[YYYYMM]],E:E,"&lt;=10")/creditcard[[#This Row],[循環信用餘額]],"")</f>
        <v/>
      </c>
      <c r="AH144" s="4">
        <f>IFERROR(SUMIFS(N:N,A:A,creditcard[[#This Row],[YYYYMM]],E:E,"&lt;=5")/creditcard[[#This Row],[當月簽帳金額]],"")</f>
        <v/>
      </c>
      <c r="AI144" s="4">
        <f>IFERROR(SUMIFS(N:N,A:A,creditcard[[#This Row],[YYYYMM]],E:E,"&lt;=10")/creditcard[[#This Row],[當月簽帳金額]],"")</f>
        <v/>
      </c>
    </row>
    <row r="145">
      <c r="A145" s="14" t="n">
        <v>202009</v>
      </c>
      <c r="B145" s="15">
        <f>LEFT(creditcard[[#This Row],[YYYYMM]],4)</f>
        <v/>
      </c>
      <c r="C145" s="15">
        <f>RIGHT(creditcard[[#This Row],[YYYYMM]],2)</f>
        <v/>
      </c>
      <c r="D145" s="15">
        <f>IF(RIGHT(creditcard[[#This Row],[YYYYMM]],2)="--","--","Q"&amp;ROUNDUP(VALUE(RIGHT(creditcard[[#This Row],[YYYYMM]],2))/3,0))</f>
        <v/>
      </c>
      <c r="E145" s="15" t="n">
        <v>1</v>
      </c>
      <c r="F145" s="155" t="inlineStr">
        <is>
          <t>中信</t>
        </is>
      </c>
      <c r="G145" s="156" t="inlineStr">
        <is>
          <t>01 中信</t>
        </is>
      </c>
      <c r="H145" s="157" t="n">
        <v>7165845</v>
      </c>
      <c r="I145" s="157" t="n">
        <v>4646284</v>
      </c>
      <c r="J145" s="157" t="n">
        <v>71205</v>
      </c>
      <c r="K145" s="157" t="n">
        <v>33853</v>
      </c>
      <c r="L145" s="157" t="n">
        <v>16261.245</v>
      </c>
      <c r="M145" s="16" t="n"/>
      <c r="N145" s="157" t="n">
        <v>37004.38</v>
      </c>
      <c r="O145" s="16" t="n"/>
      <c r="P145" s="16" t="n"/>
      <c r="Q145" s="17" t="n"/>
      <c r="R145" s="16" t="n"/>
      <c r="S145" s="16" t="n"/>
      <c r="T145" s="16" t="n"/>
      <c r="U145" s="16" t="n"/>
      <c r="V145" s="158" t="n"/>
      <c r="W145" s="16" t="n"/>
      <c r="X145" s="18" t="n"/>
      <c r="Y145" s="18" t="n"/>
      <c r="Z145" s="18" t="n"/>
      <c r="AA145" s="18" t="n"/>
      <c r="AB145" s="18" t="n"/>
      <c r="AC145" s="18" t="n"/>
      <c r="AD145" s="18" t="n"/>
      <c r="AE145" s="18" t="n"/>
      <c r="AF145" s="18" t="n"/>
      <c r="AG145" s="18" t="n"/>
      <c r="AH145" s="18" t="n"/>
      <c r="AI145" s="18" t="n"/>
    </row>
    <row r="146">
      <c r="A146" s="9" t="n">
        <v>202009</v>
      </c>
      <c r="B146" s="10">
        <f>LEFT(creditcard[[#This Row],[YYYYMM]],4)</f>
        <v/>
      </c>
      <c r="C146" s="10">
        <f>RIGHT(creditcard[[#This Row],[YYYYMM]],2)</f>
        <v/>
      </c>
      <c r="D146" s="10">
        <f>IF(RIGHT(creditcard[[#This Row],[YYYYMM]],2)="--","--","Q"&amp;ROUNDUP(VALUE(RIGHT(creditcard[[#This Row],[YYYYMM]],2))/3,0))</f>
        <v/>
      </c>
      <c r="E146" s="10" t="n">
        <v>2</v>
      </c>
      <c r="F146" s="151" t="inlineStr">
        <is>
          <t>富邦</t>
        </is>
      </c>
      <c r="G146" s="152" t="inlineStr">
        <is>
          <t>02 富邦</t>
        </is>
      </c>
      <c r="H146" s="153" t="n">
        <v>3748686</v>
      </c>
      <c r="I146" s="153" t="n">
        <v>2446123</v>
      </c>
      <c r="J146" s="153" t="n">
        <v>60546</v>
      </c>
      <c r="K146" s="153" t="n">
        <v>18756</v>
      </c>
      <c r="L146" s="153" t="n">
        <v>5351.509</v>
      </c>
      <c r="M146" s="11" t="n"/>
      <c r="N146" s="153" t="n">
        <v>21382.167</v>
      </c>
      <c r="O146" s="11" t="n"/>
      <c r="P146" s="11" t="n"/>
      <c r="Q146" s="12" t="n"/>
      <c r="R146" s="11" t="n"/>
      <c r="S146" s="11" t="n"/>
      <c r="T146" s="11" t="n"/>
      <c r="U146" s="11" t="n"/>
      <c r="V146" s="154" t="n"/>
      <c r="W146" s="11" t="n"/>
      <c r="X146" s="13" t="n"/>
      <c r="Y146" s="13" t="n"/>
      <c r="Z146" s="13" t="n"/>
      <c r="AA146" s="13" t="n"/>
      <c r="AB146" s="13" t="n"/>
      <c r="AC146" s="13" t="n"/>
      <c r="AD146" s="13" t="n"/>
      <c r="AE146" s="13" t="n"/>
      <c r="AF146" s="13" t="n"/>
      <c r="AG146" s="13" t="n"/>
      <c r="AH146" s="13" t="n"/>
      <c r="AI146" s="13" t="n"/>
    </row>
    <row r="147">
      <c r="A147" s="14" t="n">
        <v>202009</v>
      </c>
      <c r="B147" s="15">
        <f>LEFT(creditcard[[#This Row],[YYYYMM]],4)</f>
        <v/>
      </c>
      <c r="C147" s="15">
        <f>RIGHT(creditcard[[#This Row],[YYYYMM]],2)</f>
        <v/>
      </c>
      <c r="D147" s="15">
        <f>IF(RIGHT(creditcard[[#This Row],[YYYYMM]],2)="--","--","Q"&amp;ROUNDUP(VALUE(RIGHT(creditcard[[#This Row],[YYYYMM]],2))/3,0))</f>
        <v/>
      </c>
      <c r="E147" s="15" t="n">
        <v>3</v>
      </c>
      <c r="F147" s="155" t="inlineStr">
        <is>
          <t>國泰</t>
        </is>
      </c>
      <c r="G147" s="156" t="inlineStr">
        <is>
          <t>03 國泰</t>
        </is>
      </c>
      <c r="H147" s="157" t="n">
        <v>7039832</v>
      </c>
      <c r="I147" s="157" t="n">
        <v>5050965</v>
      </c>
      <c r="J147" s="157" t="n">
        <v>68668</v>
      </c>
      <c r="K147" s="157" t="n">
        <v>44707</v>
      </c>
      <c r="L147" s="157" t="n">
        <v>17571.825</v>
      </c>
      <c r="M147" s="16" t="n"/>
      <c r="N147" s="157" t="n">
        <v>42402.869</v>
      </c>
      <c r="O147" s="16" t="n"/>
      <c r="P147" s="16" t="n"/>
      <c r="Q147" s="17" t="n"/>
      <c r="R147" s="16" t="n"/>
      <c r="S147" s="16" t="n"/>
      <c r="T147" s="16" t="n"/>
      <c r="U147" s="16" t="n"/>
      <c r="V147" s="158" t="n"/>
      <c r="W147" s="16" t="n"/>
      <c r="X147" s="18" t="n"/>
      <c r="Y147" s="18" t="n"/>
      <c r="Z147" s="18" t="n"/>
      <c r="AA147" s="18" t="n"/>
      <c r="AB147" s="18" t="n"/>
      <c r="AC147" s="18" t="n"/>
      <c r="AD147" s="18" t="n"/>
      <c r="AE147" s="18" t="n"/>
      <c r="AF147" s="18" t="n"/>
      <c r="AG147" s="18" t="n"/>
      <c r="AH147" s="18" t="n"/>
      <c r="AI147" s="18" t="n"/>
    </row>
    <row r="148">
      <c r="A148" s="9" t="n">
        <v>202009</v>
      </c>
      <c r="B148" s="10">
        <f>LEFT(creditcard[[#This Row],[YYYYMM]],4)</f>
        <v/>
      </c>
      <c r="C148" s="10">
        <f>RIGHT(creditcard[[#This Row],[YYYYMM]],2)</f>
        <v/>
      </c>
      <c r="D148" s="10">
        <f>IF(RIGHT(creditcard[[#This Row],[YYYYMM]],2)="--","--","Q"&amp;ROUNDUP(VALUE(RIGHT(creditcard[[#This Row],[YYYYMM]],2))/3,0))</f>
        <v/>
      </c>
      <c r="E148" s="10" t="n">
        <v>4</v>
      </c>
      <c r="F148" s="151" t="inlineStr">
        <is>
          <t>玉山</t>
        </is>
      </c>
      <c r="G148" s="152" t="inlineStr">
        <is>
          <t>04 玉山</t>
        </is>
      </c>
      <c r="H148" s="153" t="n">
        <v>6263910</v>
      </c>
      <c r="I148" s="153" t="n">
        <v>4443827</v>
      </c>
      <c r="J148" s="153" t="n">
        <v>54958</v>
      </c>
      <c r="K148" s="153" t="n">
        <v>24505</v>
      </c>
      <c r="L148" s="153" t="n">
        <v>12479.6</v>
      </c>
      <c r="M148" s="11" t="n"/>
      <c r="N148" s="153" t="n">
        <v>36331.076</v>
      </c>
      <c r="O148" s="11" t="n"/>
      <c r="P148" s="11" t="n"/>
      <c r="Q148" s="12" t="n"/>
      <c r="R148" s="11" t="n"/>
      <c r="S148" s="11" t="n"/>
      <c r="T148" s="11" t="n"/>
      <c r="U148" s="11" t="n"/>
      <c r="V148" s="154" t="n"/>
      <c r="W148" s="11" t="n"/>
      <c r="X148" s="13" t="n"/>
      <c r="Y148" s="13" t="n"/>
      <c r="Z148" s="13" t="n"/>
      <c r="AA148" s="13" t="n"/>
      <c r="AB148" s="13" t="n"/>
      <c r="AC148" s="13" t="n"/>
      <c r="AD148" s="13" t="n"/>
      <c r="AE148" s="13" t="n"/>
      <c r="AF148" s="13" t="n"/>
      <c r="AG148" s="13" t="n"/>
      <c r="AH148" s="13" t="n"/>
      <c r="AI148" s="13" t="n"/>
    </row>
    <row r="149">
      <c r="A149" s="14" t="n">
        <v>202009</v>
      </c>
      <c r="B149" s="15">
        <f>LEFT(creditcard[[#This Row],[YYYYMM]],4)</f>
        <v/>
      </c>
      <c r="C149" s="15">
        <f>RIGHT(creditcard[[#This Row],[YYYYMM]],2)</f>
        <v/>
      </c>
      <c r="D149" s="15">
        <f>IF(RIGHT(creditcard[[#This Row],[YYYYMM]],2)="--","--","Q"&amp;ROUNDUP(VALUE(RIGHT(creditcard[[#This Row],[YYYYMM]],2))/3,0))</f>
        <v/>
      </c>
      <c r="E149" s="15" t="n">
        <v>5</v>
      </c>
      <c r="F149" s="155" t="inlineStr">
        <is>
          <t>台新</t>
        </is>
      </c>
      <c r="G149" s="156" t="inlineStr">
        <is>
          <t>05 台新</t>
        </is>
      </c>
      <c r="H149" s="157" t="n">
        <v>5620279</v>
      </c>
      <c r="I149" s="157" t="n">
        <v>3948064</v>
      </c>
      <c r="J149" s="157" t="n">
        <v>56721</v>
      </c>
      <c r="K149" s="157" t="n">
        <v>19104</v>
      </c>
      <c r="L149" s="157" t="n">
        <v>10347.773</v>
      </c>
      <c r="M149" s="16" t="n"/>
      <c r="N149" s="157" t="n">
        <v>27473.056</v>
      </c>
      <c r="O149" s="16" t="n"/>
      <c r="P149" s="16" t="n"/>
      <c r="Q149" s="17" t="n"/>
      <c r="R149" s="16" t="n"/>
      <c r="S149" s="16" t="n"/>
      <c r="T149" s="16" t="n"/>
      <c r="U149" s="16" t="n"/>
      <c r="V149" s="158" t="n"/>
      <c r="W149" s="16" t="n"/>
      <c r="X149" s="18" t="n"/>
      <c r="Y149" s="18" t="n"/>
      <c r="Z149" s="18" t="n"/>
      <c r="AA149" s="18" t="n"/>
      <c r="AB149" s="18" t="n"/>
      <c r="AC149" s="18" t="n"/>
      <c r="AD149" s="18" t="n"/>
      <c r="AE149" s="18" t="n"/>
      <c r="AF149" s="18" t="n"/>
      <c r="AG149" s="18" t="n"/>
      <c r="AH149" s="18" t="n"/>
      <c r="AI149" s="18" t="n"/>
    </row>
    <row r="150">
      <c r="A150" s="9" t="n">
        <v>202009</v>
      </c>
      <c r="B150" s="10">
        <f>LEFT(creditcard[[#This Row],[YYYYMM]],4)</f>
        <v/>
      </c>
      <c r="C150" s="10">
        <f>RIGHT(creditcard[[#This Row],[YYYYMM]],2)</f>
        <v/>
      </c>
      <c r="D150" s="10">
        <f>IF(RIGHT(creditcard[[#This Row],[YYYYMM]],2)="--","--","Q"&amp;ROUNDUP(VALUE(RIGHT(creditcard[[#This Row],[YYYYMM]],2))/3,0))</f>
        <v/>
      </c>
      <c r="E150" s="10" t="n">
        <v>6</v>
      </c>
      <c r="F150" s="151" t="inlineStr">
        <is>
          <t>星展</t>
        </is>
      </c>
      <c r="G150" s="152" t="inlineStr">
        <is>
          <t>06 星展</t>
        </is>
      </c>
      <c r="H150" s="153" t="n">
        <v>601779</v>
      </c>
      <c r="I150" s="153" t="n">
        <v>336271</v>
      </c>
      <c r="J150" s="153" t="n">
        <v>5812</v>
      </c>
      <c r="K150" s="153" t="n">
        <v>5499</v>
      </c>
      <c r="L150" s="153" t="n">
        <v>1365</v>
      </c>
      <c r="M150" s="11" t="n"/>
      <c r="N150" s="153" t="n">
        <v>3057</v>
      </c>
      <c r="O150" s="11" t="n"/>
      <c r="P150" s="11" t="n"/>
      <c r="Q150" s="12" t="n"/>
      <c r="R150" s="11" t="n"/>
      <c r="S150" s="11" t="n"/>
      <c r="T150" s="11" t="n"/>
      <c r="U150" s="11" t="n"/>
      <c r="V150" s="154" t="n"/>
      <c r="W150" s="11" t="n"/>
      <c r="X150" s="13" t="n"/>
      <c r="Y150" s="13" t="n"/>
      <c r="Z150" s="13" t="n"/>
      <c r="AA150" s="13" t="n"/>
      <c r="AB150" s="13" t="n"/>
      <c r="AC150" s="13" t="n"/>
      <c r="AD150" s="13" t="n"/>
      <c r="AE150" s="13" t="n"/>
      <c r="AF150" s="13" t="n"/>
      <c r="AG150" s="13" t="n"/>
      <c r="AH150" s="13" t="n"/>
      <c r="AI150" s="13" t="n"/>
    </row>
    <row r="151">
      <c r="A151" s="14" t="n">
        <v>202009</v>
      </c>
      <c r="B151" s="15">
        <f>LEFT(creditcard[[#This Row],[YYYYMM]],4)</f>
        <v/>
      </c>
      <c r="C151" s="15">
        <f>RIGHT(creditcard[[#This Row],[YYYYMM]],2)</f>
        <v/>
      </c>
      <c r="D151" s="15">
        <f>IF(RIGHT(creditcard[[#This Row],[YYYYMM]],2)="--","--","Q"&amp;ROUNDUP(VALUE(RIGHT(creditcard[[#This Row],[YYYYMM]],2))/3,0))</f>
        <v/>
      </c>
      <c r="E151" s="15" t="n">
        <v>7</v>
      </c>
      <c r="F151" s="155" t="inlineStr">
        <is>
          <t>聯邦</t>
        </is>
      </c>
      <c r="G151" s="156" t="inlineStr">
        <is>
          <t>07 聯邦</t>
        </is>
      </c>
      <c r="H151" s="157" t="n">
        <v>2231943</v>
      </c>
      <c r="I151" s="157" t="n">
        <v>1315903</v>
      </c>
      <c r="J151" s="157" t="n">
        <v>37869</v>
      </c>
      <c r="K151" s="157" t="n">
        <v>13728</v>
      </c>
      <c r="L151" s="157" t="n">
        <v>5662.484</v>
      </c>
      <c r="M151" s="16" t="n"/>
      <c r="N151" s="157" t="n">
        <v>8315.348</v>
      </c>
      <c r="O151" s="16" t="n"/>
      <c r="P151" s="16" t="n"/>
      <c r="Q151" s="17" t="n"/>
      <c r="R151" s="16" t="n"/>
      <c r="S151" s="16" t="n"/>
      <c r="T151" s="16" t="n"/>
      <c r="U151" s="16" t="n"/>
      <c r="V151" s="158" t="n"/>
      <c r="W151" s="16" t="n"/>
      <c r="X151" s="18" t="n"/>
      <c r="Y151" s="18" t="n"/>
      <c r="Z151" s="18" t="n"/>
      <c r="AA151" s="18" t="n"/>
      <c r="AB151" s="18" t="n"/>
      <c r="AC151" s="18" t="n"/>
      <c r="AD151" s="18" t="n"/>
      <c r="AE151" s="18" t="n"/>
      <c r="AF151" s="18" t="n"/>
      <c r="AG151" s="18" t="n"/>
      <c r="AH151" s="18" t="n"/>
      <c r="AI151" s="18" t="n"/>
    </row>
    <row r="152">
      <c r="A152" s="9" t="n">
        <v>202009</v>
      </c>
      <c r="B152" s="10">
        <f>LEFT(creditcard[[#This Row],[YYYYMM]],4)</f>
        <v/>
      </c>
      <c r="C152" s="10">
        <f>RIGHT(creditcard[[#This Row],[YYYYMM]],2)</f>
        <v/>
      </c>
      <c r="D152" s="10">
        <f>IF(RIGHT(creditcard[[#This Row],[YYYYMM]],2)="--","--","Q"&amp;ROUNDUP(VALUE(RIGHT(creditcard[[#This Row],[YYYYMM]],2))/3,0))</f>
        <v/>
      </c>
      <c r="E152" s="10" t="n">
        <v>8</v>
      </c>
      <c r="F152" s="151" t="inlineStr">
        <is>
          <t>永豐</t>
        </is>
      </c>
      <c r="G152" s="152" t="inlineStr">
        <is>
          <t>08 永豐</t>
        </is>
      </c>
      <c r="H152" s="153" t="n">
        <v>2118026</v>
      </c>
      <c r="I152" s="153" t="n">
        <v>1095715</v>
      </c>
      <c r="J152" s="153" t="n">
        <v>25872</v>
      </c>
      <c r="K152" s="153" t="n">
        <v>8086</v>
      </c>
      <c r="L152" s="153" t="n">
        <v>4085.434</v>
      </c>
      <c r="M152" s="11" t="n"/>
      <c r="N152" s="153" t="n">
        <v>10086.408</v>
      </c>
      <c r="O152" s="11" t="n"/>
      <c r="P152" s="11" t="n"/>
      <c r="Q152" s="12" t="n"/>
      <c r="R152" s="11" t="n"/>
      <c r="S152" s="11" t="n"/>
      <c r="T152" s="11" t="n"/>
      <c r="U152" s="11" t="n"/>
      <c r="V152" s="154" t="n"/>
      <c r="W152" s="11" t="n"/>
      <c r="X152" s="13" t="n"/>
      <c r="Y152" s="13" t="n"/>
      <c r="Z152" s="13" t="n"/>
      <c r="AA152" s="13" t="n"/>
      <c r="AB152" s="13" t="n"/>
      <c r="AC152" s="13" t="n"/>
      <c r="AD152" s="13" t="n"/>
      <c r="AE152" s="13" t="n"/>
      <c r="AF152" s="13" t="n"/>
      <c r="AG152" s="13" t="n"/>
      <c r="AH152" s="13" t="n"/>
      <c r="AI152" s="13" t="n"/>
    </row>
    <row r="153">
      <c r="A153" s="14" t="n">
        <v>202009</v>
      </c>
      <c r="B153" s="15">
        <f>LEFT(creditcard[[#This Row],[YYYYMM]],4)</f>
        <v/>
      </c>
      <c r="C153" s="15">
        <f>RIGHT(creditcard[[#This Row],[YYYYMM]],2)</f>
        <v/>
      </c>
      <c r="D153" s="15">
        <f>IF(RIGHT(creditcard[[#This Row],[YYYYMM]],2)="--","--","Q"&amp;ROUNDUP(VALUE(RIGHT(creditcard[[#This Row],[YYYYMM]],2))/3,0))</f>
        <v/>
      </c>
      <c r="E153" s="15" t="n">
        <v>9</v>
      </c>
      <c r="F153" s="155" t="inlineStr">
        <is>
          <t>第一</t>
        </is>
      </c>
      <c r="G153" s="156" t="inlineStr">
        <is>
          <t>09 第一</t>
        </is>
      </c>
      <c r="H153" s="157" t="n">
        <v>1263792</v>
      </c>
      <c r="I153" s="157" t="n">
        <v>755366</v>
      </c>
      <c r="J153" s="157" t="n">
        <v>15839</v>
      </c>
      <c r="K153" s="157" t="n">
        <v>12274</v>
      </c>
      <c r="L153" s="157" t="n">
        <v>1399</v>
      </c>
      <c r="M153" s="16" t="n"/>
      <c r="N153" s="157" t="n">
        <v>4469</v>
      </c>
      <c r="O153" s="16" t="n"/>
      <c r="P153" s="16" t="n"/>
      <c r="Q153" s="17" t="n"/>
      <c r="R153" s="16" t="n"/>
      <c r="S153" s="16" t="n"/>
      <c r="T153" s="16" t="n"/>
      <c r="U153" s="16" t="n"/>
      <c r="V153" s="158" t="n"/>
      <c r="W153" s="16" t="n"/>
      <c r="X153" s="18" t="n"/>
      <c r="Y153" s="18" t="n"/>
      <c r="Z153" s="18" t="n"/>
      <c r="AA153" s="18" t="n"/>
      <c r="AB153" s="18" t="n"/>
      <c r="AC153" s="18" t="n"/>
      <c r="AD153" s="18" t="n"/>
      <c r="AE153" s="18" t="n"/>
      <c r="AF153" s="18" t="n"/>
      <c r="AG153" s="18" t="n"/>
      <c r="AH153" s="18" t="n"/>
      <c r="AI153" s="18" t="n"/>
    </row>
    <row r="154">
      <c r="A154" s="9" t="n">
        <v>202009</v>
      </c>
      <c r="B154" s="10">
        <f>LEFT(creditcard[[#This Row],[YYYYMM]],4)</f>
        <v/>
      </c>
      <c r="C154" s="10">
        <f>RIGHT(creditcard[[#This Row],[YYYYMM]],2)</f>
        <v/>
      </c>
      <c r="D154" s="10">
        <f>IF(RIGHT(creditcard[[#This Row],[YYYYMM]],2)="--","--","Q"&amp;ROUNDUP(VALUE(RIGHT(creditcard[[#This Row],[YYYYMM]],2))/3,0))</f>
        <v/>
      </c>
      <c r="E154" s="10" t="n">
        <v>10</v>
      </c>
      <c r="F154" s="151" t="inlineStr">
        <is>
          <t>遠東</t>
        </is>
      </c>
      <c r="G154" s="152" t="inlineStr">
        <is>
          <t>10 遠東</t>
        </is>
      </c>
      <c r="H154" s="153" t="n">
        <v>1627258</v>
      </c>
      <c r="I154" s="153" t="n">
        <v>1021828</v>
      </c>
      <c r="J154" s="153" t="n">
        <v>9183</v>
      </c>
      <c r="K154" s="153" t="n">
        <v>5240</v>
      </c>
      <c r="L154" s="153" t="n">
        <v>3981.837</v>
      </c>
      <c r="M154" s="11" t="n"/>
      <c r="N154" s="153" t="n">
        <v>4148.644</v>
      </c>
      <c r="O154" s="11" t="n"/>
      <c r="P154" s="11" t="n"/>
      <c r="Q154" s="12" t="n"/>
      <c r="R154" s="11" t="n"/>
      <c r="S154" s="11" t="n"/>
      <c r="T154" s="11" t="n"/>
      <c r="U154" s="11" t="n"/>
      <c r="V154" s="154" t="n"/>
      <c r="W154" s="11" t="n"/>
      <c r="X154" s="13" t="n"/>
      <c r="Y154" s="13" t="n"/>
      <c r="Z154" s="13" t="n"/>
      <c r="AA154" s="13" t="n"/>
      <c r="AB154" s="13" t="n"/>
      <c r="AC154" s="13" t="n"/>
      <c r="AD154" s="13" t="n"/>
      <c r="AE154" s="13" t="n"/>
      <c r="AF154" s="13" t="n"/>
      <c r="AG154" s="13" t="n"/>
      <c r="AH154" s="13" t="n"/>
      <c r="AI154" s="13" t="n"/>
    </row>
    <row r="155">
      <c r="A155" s="14" t="n">
        <v>202009</v>
      </c>
      <c r="B155" s="15">
        <f>LEFT(creditcard[[#This Row],[YYYYMM]],4)</f>
        <v/>
      </c>
      <c r="C155" s="15">
        <f>RIGHT(creditcard[[#This Row],[YYYYMM]],2)</f>
        <v/>
      </c>
      <c r="D155" s="15">
        <f>IF(RIGHT(creditcard[[#This Row],[YYYYMM]],2)="--","--","Q"&amp;ROUNDUP(VALUE(RIGHT(creditcard[[#This Row],[YYYYMM]],2))/3,0))</f>
        <v/>
      </c>
      <c r="E155" s="15" t="n">
        <v>11</v>
      </c>
      <c r="F155" s="155" t="inlineStr">
        <is>
          <t>市場總計</t>
        </is>
      </c>
      <c r="G155" s="156" t="inlineStr">
        <is>
          <t>11 市場總計</t>
        </is>
      </c>
      <c r="H155" s="157" t="n">
        <v>49665526</v>
      </c>
      <c r="I155" s="157" t="n">
        <v>32516399</v>
      </c>
      <c r="J155" s="157" t="n">
        <v>533012</v>
      </c>
      <c r="K155" s="157" t="n">
        <v>275402</v>
      </c>
      <c r="L155" s="157" t="n">
        <v>103711.24</v>
      </c>
      <c r="M155" s="16" t="n"/>
      <c r="N155" s="157" t="n">
        <v>248729.702</v>
      </c>
      <c r="O155" s="16" t="n"/>
      <c r="P155" s="16" t="n"/>
      <c r="Q155" s="17" t="n"/>
      <c r="R155" s="16" t="n"/>
      <c r="S155" s="16" t="n"/>
      <c r="T155" s="16" t="n"/>
      <c r="U155" s="16" t="n"/>
      <c r="V155" s="158" t="n">
        <v>4.27</v>
      </c>
      <c r="W155" s="16">
        <f>SUMIFS(H:H,A:A,creditcard[[#This Row],[YYYYMM]],G:G,creditcard[[#This Row],[Item]])</f>
        <v/>
      </c>
      <c r="X155" s="4">
        <f>IFERROR(SUMIFS(H:H,A:A,creditcard[[#This Row],[YYYYMM]],E:E,"&lt;=5")/creditcard[[#This Row],[市場總計]],"")</f>
        <v/>
      </c>
      <c r="Y155" s="4">
        <f>IFERROR(SUMIFS(H:H,A:A,creditcard[[#This Row],[YYYYMM]],E:E,"&lt;=10")/creditcard[[#This Row],[市場總計]],"")</f>
        <v/>
      </c>
      <c r="Z155" s="4">
        <f>IFERROR(SUMIFS(I:I,A:A,creditcard[[#This Row],[YYYYMM]],E:E,"&lt;=5")/creditcard[[#This Row],[有效卡數]],"")</f>
        <v/>
      </c>
      <c r="AA155" s="4">
        <f>IFERROR(SUMIFS(I:I,A:A,creditcard[[#This Row],[YYYYMM]],E:E,"&lt;=10")/creditcard[[#This Row],[有效卡數]],"")</f>
        <v/>
      </c>
      <c r="AB155" s="4">
        <f>IFERROR(SUMIFS(J:J,A:A,creditcard[[#This Row],[YYYYMM]],E:E,"&lt;=5")/creditcard[[#This Row],[當月發卡數]],"")</f>
        <v/>
      </c>
      <c r="AC155" s="4">
        <f>IFERROR(SUMIFS(J:J,A:A,creditcard[[#This Row],[YYYYMM]],E:E,"&lt;=10")/creditcard[[#This Row],[當月發卡數]],"")</f>
        <v/>
      </c>
      <c r="AD155" s="4">
        <f>IFERROR(SUMIFS(K:K,A:A,creditcard[[#This Row],[YYYYMM]],E:E,"&lt;=5")/creditcard[[#This Row],[當月停卡數]],"")</f>
        <v/>
      </c>
      <c r="AE155" s="4">
        <f>IFERROR(SUMIFS(K:K,A:A,creditcard[[#This Row],[YYYYMM]],E:E,"&lt;=10")/creditcard[[#This Row],[當月停卡數]],"")</f>
        <v/>
      </c>
      <c r="AF155" s="4">
        <f>IFERROR(SUMIFS(L:L,A:A,creditcard[[#This Row],[YYYYMM]],E:E,"&lt;=5")/creditcard[[#This Row],[循環信用餘額]],"")</f>
        <v/>
      </c>
      <c r="AG155" s="4">
        <f>IFERROR(SUMIFS(L:L,A:A,creditcard[[#This Row],[YYYYMM]],E:E,"&lt;=10")/creditcard[[#This Row],[循環信用餘額]],"")</f>
        <v/>
      </c>
      <c r="AH155" s="4">
        <f>IFERROR(SUMIFS(N:N,A:A,creditcard[[#This Row],[YYYYMM]],E:E,"&lt;=5")/creditcard[[#This Row],[當月簽帳金額]],"")</f>
        <v/>
      </c>
      <c r="AI155" s="4">
        <f>IFERROR(SUMIFS(N:N,A:A,creditcard[[#This Row],[YYYYMM]],E:E,"&lt;=10")/creditcard[[#This Row],[當月簽帳金額]],"")</f>
        <v/>
      </c>
    </row>
    <row r="156">
      <c r="A156" s="9" t="n">
        <v>202010</v>
      </c>
      <c r="B156" s="10">
        <f>LEFT(creditcard[[#This Row],[YYYYMM]],4)</f>
        <v/>
      </c>
      <c r="C156" s="10">
        <f>RIGHT(creditcard[[#This Row],[YYYYMM]],2)</f>
        <v/>
      </c>
      <c r="D156" s="10">
        <f>IF(RIGHT(creditcard[[#This Row],[YYYYMM]],2)="--","--","Q"&amp;ROUNDUP(VALUE(RIGHT(creditcard[[#This Row],[YYYYMM]],2))/3,0))</f>
        <v/>
      </c>
      <c r="E156" s="10" t="n">
        <v>1</v>
      </c>
      <c r="F156" s="151" t="inlineStr">
        <is>
          <t>中信</t>
        </is>
      </c>
      <c r="G156" s="152" t="inlineStr">
        <is>
          <t>01 中信</t>
        </is>
      </c>
      <c r="H156" s="153" t="n">
        <v>7195752</v>
      </c>
      <c r="I156" s="153" t="n">
        <v>4657748</v>
      </c>
      <c r="J156" s="153" t="n">
        <v>59995</v>
      </c>
      <c r="K156" s="153" t="n">
        <v>30088</v>
      </c>
      <c r="L156" s="153" t="n">
        <v>16413.279</v>
      </c>
      <c r="M156" s="11" t="n"/>
      <c r="N156" s="153" t="n">
        <v>34754.039</v>
      </c>
      <c r="O156" s="11" t="n"/>
      <c r="P156" s="11" t="n"/>
      <c r="Q156" s="12" t="n"/>
      <c r="R156" s="11" t="n"/>
      <c r="S156" s="11" t="n"/>
      <c r="T156" s="11" t="n"/>
      <c r="U156" s="11" t="n"/>
      <c r="V156" s="154" t="n"/>
      <c r="W156" s="11" t="n"/>
      <c r="X156" s="13" t="n"/>
      <c r="Y156" s="13" t="n"/>
      <c r="Z156" s="13" t="n"/>
      <c r="AA156" s="13" t="n"/>
      <c r="AB156" s="13" t="n"/>
      <c r="AC156" s="13" t="n"/>
      <c r="AD156" s="13" t="n"/>
      <c r="AE156" s="13" t="n"/>
      <c r="AF156" s="13" t="n"/>
      <c r="AG156" s="13" t="n"/>
      <c r="AH156" s="13" t="n"/>
      <c r="AI156" s="13" t="n"/>
    </row>
    <row r="157">
      <c r="A157" s="14" t="n">
        <v>202010</v>
      </c>
      <c r="B157" s="15">
        <f>LEFT(creditcard[[#This Row],[YYYYMM]],4)</f>
        <v/>
      </c>
      <c r="C157" s="15">
        <f>RIGHT(creditcard[[#This Row],[YYYYMM]],2)</f>
        <v/>
      </c>
      <c r="D157" s="15">
        <f>IF(RIGHT(creditcard[[#This Row],[YYYYMM]],2)="--","--","Q"&amp;ROUNDUP(VALUE(RIGHT(creditcard[[#This Row],[YYYYMM]],2))/3,0))</f>
        <v/>
      </c>
      <c r="E157" s="15" t="n">
        <v>2</v>
      </c>
      <c r="F157" s="155" t="inlineStr">
        <is>
          <t>富邦</t>
        </is>
      </c>
      <c r="G157" s="156" t="inlineStr">
        <is>
          <t>02 富邦</t>
        </is>
      </c>
      <c r="H157" s="157" t="n">
        <v>3778945</v>
      </c>
      <c r="I157" s="157" t="n">
        <v>2471207</v>
      </c>
      <c r="J157" s="157" t="n">
        <v>46744</v>
      </c>
      <c r="K157" s="157" t="n">
        <v>16485</v>
      </c>
      <c r="L157" s="157" t="n">
        <v>5470.918</v>
      </c>
      <c r="M157" s="16" t="n"/>
      <c r="N157" s="157" t="n">
        <v>21344.825</v>
      </c>
      <c r="O157" s="16" t="n"/>
      <c r="P157" s="16" t="n"/>
      <c r="Q157" s="17" t="n"/>
      <c r="R157" s="16" t="n"/>
      <c r="S157" s="16" t="n"/>
      <c r="T157" s="16" t="n"/>
      <c r="U157" s="16" t="n"/>
      <c r="V157" s="158" t="n"/>
      <c r="W157" s="16" t="n"/>
      <c r="X157" s="18" t="n"/>
      <c r="Y157" s="18" t="n"/>
      <c r="Z157" s="18" t="n"/>
      <c r="AA157" s="18" t="n"/>
      <c r="AB157" s="18" t="n"/>
      <c r="AC157" s="18" t="n"/>
      <c r="AD157" s="18" t="n"/>
      <c r="AE157" s="18" t="n"/>
      <c r="AF157" s="18" t="n"/>
      <c r="AG157" s="18" t="n"/>
      <c r="AH157" s="18" t="n"/>
      <c r="AI157" s="18" t="n"/>
    </row>
    <row r="158">
      <c r="A158" s="9" t="n">
        <v>202010</v>
      </c>
      <c r="B158" s="10">
        <f>LEFT(creditcard[[#This Row],[YYYYMM]],4)</f>
        <v/>
      </c>
      <c r="C158" s="10">
        <f>RIGHT(creditcard[[#This Row],[YYYYMM]],2)</f>
        <v/>
      </c>
      <c r="D158" s="10">
        <f>IF(RIGHT(creditcard[[#This Row],[YYYYMM]],2)="--","--","Q"&amp;ROUNDUP(VALUE(RIGHT(creditcard[[#This Row],[YYYYMM]],2))/3,0))</f>
        <v/>
      </c>
      <c r="E158" s="10" t="n">
        <v>3</v>
      </c>
      <c r="F158" s="151" t="inlineStr">
        <is>
          <t>國泰</t>
        </is>
      </c>
      <c r="G158" s="152" t="inlineStr">
        <is>
          <t>03 國泰</t>
        </is>
      </c>
      <c r="H158" s="153" t="n">
        <v>7060222</v>
      </c>
      <c r="I158" s="153" t="n">
        <v>5055817</v>
      </c>
      <c r="J158" s="153" t="n">
        <v>61640</v>
      </c>
      <c r="K158" s="153" t="n">
        <v>41250</v>
      </c>
      <c r="L158" s="153" t="n">
        <v>17795.867</v>
      </c>
      <c r="M158" s="11" t="n"/>
      <c r="N158" s="153" t="n">
        <v>37658.519</v>
      </c>
      <c r="O158" s="11" t="n"/>
      <c r="P158" s="11" t="n"/>
      <c r="Q158" s="12" t="n"/>
      <c r="R158" s="11" t="n"/>
      <c r="S158" s="11" t="n"/>
      <c r="T158" s="11" t="n"/>
      <c r="U158" s="11" t="n"/>
      <c r="V158" s="154" t="n"/>
      <c r="W158" s="11" t="n"/>
      <c r="X158" s="13" t="n"/>
      <c r="Y158" s="13" t="n"/>
      <c r="Z158" s="13" t="n"/>
      <c r="AA158" s="13" t="n"/>
      <c r="AB158" s="13" t="n"/>
      <c r="AC158" s="13" t="n"/>
      <c r="AD158" s="13" t="n"/>
      <c r="AE158" s="13" t="n"/>
      <c r="AF158" s="13" t="n"/>
      <c r="AG158" s="13" t="n"/>
      <c r="AH158" s="13" t="n"/>
      <c r="AI158" s="13" t="n"/>
    </row>
    <row r="159">
      <c r="A159" s="14" t="n">
        <v>202010</v>
      </c>
      <c r="B159" s="15">
        <f>LEFT(creditcard[[#This Row],[YYYYMM]],4)</f>
        <v/>
      </c>
      <c r="C159" s="15">
        <f>RIGHT(creditcard[[#This Row],[YYYYMM]],2)</f>
        <v/>
      </c>
      <c r="D159" s="15">
        <f>IF(RIGHT(creditcard[[#This Row],[YYYYMM]],2)="--","--","Q"&amp;ROUNDUP(VALUE(RIGHT(creditcard[[#This Row],[YYYYMM]],2))/3,0))</f>
        <v/>
      </c>
      <c r="E159" s="15" t="n">
        <v>4</v>
      </c>
      <c r="F159" s="155" t="inlineStr">
        <is>
          <t>玉山</t>
        </is>
      </c>
      <c r="G159" s="156" t="inlineStr">
        <is>
          <t>04 玉山</t>
        </is>
      </c>
      <c r="H159" s="157" t="n">
        <v>6290830</v>
      </c>
      <c r="I159" s="157" t="n">
        <v>4460063</v>
      </c>
      <c r="J159" s="157" t="n">
        <v>50179</v>
      </c>
      <c r="K159" s="157" t="n">
        <v>23259</v>
      </c>
      <c r="L159" s="157" t="n">
        <v>12612.368</v>
      </c>
      <c r="M159" s="16" t="n"/>
      <c r="N159" s="157" t="n">
        <v>36249.066</v>
      </c>
      <c r="O159" s="16" t="n"/>
      <c r="P159" s="16" t="n"/>
      <c r="Q159" s="17" t="n"/>
      <c r="R159" s="16" t="n"/>
      <c r="S159" s="16" t="n"/>
      <c r="T159" s="16" t="n"/>
      <c r="U159" s="16" t="n"/>
      <c r="V159" s="158" t="n"/>
      <c r="W159" s="16" t="n"/>
      <c r="X159" s="18" t="n"/>
      <c r="Y159" s="18" t="n"/>
      <c r="Z159" s="18" t="n"/>
      <c r="AA159" s="18" t="n"/>
      <c r="AB159" s="18" t="n"/>
      <c r="AC159" s="18" t="n"/>
      <c r="AD159" s="18" t="n"/>
      <c r="AE159" s="18" t="n"/>
      <c r="AF159" s="18" t="n"/>
      <c r="AG159" s="18" t="n"/>
      <c r="AH159" s="18" t="n"/>
      <c r="AI159" s="18" t="n"/>
    </row>
    <row r="160">
      <c r="A160" s="9" t="n">
        <v>202010</v>
      </c>
      <c r="B160" s="10">
        <f>LEFT(creditcard[[#This Row],[YYYYMM]],4)</f>
        <v/>
      </c>
      <c r="C160" s="10">
        <f>RIGHT(creditcard[[#This Row],[YYYYMM]],2)</f>
        <v/>
      </c>
      <c r="D160" s="10">
        <f>IF(RIGHT(creditcard[[#This Row],[YYYYMM]],2)="--","--","Q"&amp;ROUNDUP(VALUE(RIGHT(creditcard[[#This Row],[YYYYMM]],2))/3,0))</f>
        <v/>
      </c>
      <c r="E160" s="10" t="n">
        <v>5</v>
      </c>
      <c r="F160" s="151" t="inlineStr">
        <is>
          <t>台新</t>
        </is>
      </c>
      <c r="G160" s="152" t="inlineStr">
        <is>
          <t>05 台新</t>
        </is>
      </c>
      <c r="H160" s="153" t="n">
        <v>5665577</v>
      </c>
      <c r="I160" s="153" t="n">
        <v>3968052</v>
      </c>
      <c r="J160" s="153" t="n">
        <v>72582</v>
      </c>
      <c r="K160" s="153" t="n">
        <v>27284</v>
      </c>
      <c r="L160" s="153" t="n">
        <v>10395.875</v>
      </c>
      <c r="M160" s="11" t="n"/>
      <c r="N160" s="153" t="n">
        <v>28397.557</v>
      </c>
      <c r="O160" s="11" t="n"/>
      <c r="P160" s="11" t="n"/>
      <c r="Q160" s="12" t="n"/>
      <c r="R160" s="11" t="n"/>
      <c r="S160" s="11" t="n"/>
      <c r="T160" s="11" t="n"/>
      <c r="U160" s="11" t="n"/>
      <c r="V160" s="154" t="n"/>
      <c r="W160" s="11" t="n"/>
      <c r="X160" s="13" t="n"/>
      <c r="Y160" s="13" t="n"/>
      <c r="Z160" s="13" t="n"/>
      <c r="AA160" s="13" t="n"/>
      <c r="AB160" s="13" t="n"/>
      <c r="AC160" s="13" t="n"/>
      <c r="AD160" s="13" t="n"/>
      <c r="AE160" s="13" t="n"/>
      <c r="AF160" s="13" t="n"/>
      <c r="AG160" s="13" t="n"/>
      <c r="AH160" s="13" t="n"/>
      <c r="AI160" s="13" t="n"/>
    </row>
    <row r="161">
      <c r="A161" s="14" t="n">
        <v>202010</v>
      </c>
      <c r="B161" s="15">
        <f>LEFT(creditcard[[#This Row],[YYYYMM]],4)</f>
        <v/>
      </c>
      <c r="C161" s="15">
        <f>RIGHT(creditcard[[#This Row],[YYYYMM]],2)</f>
        <v/>
      </c>
      <c r="D161" s="15">
        <f>IF(RIGHT(creditcard[[#This Row],[YYYYMM]],2)="--","--","Q"&amp;ROUNDUP(VALUE(RIGHT(creditcard[[#This Row],[YYYYMM]],2))/3,0))</f>
        <v/>
      </c>
      <c r="E161" s="15" t="n">
        <v>6</v>
      </c>
      <c r="F161" s="155" t="inlineStr">
        <is>
          <t>星展</t>
        </is>
      </c>
      <c r="G161" s="156" t="inlineStr">
        <is>
          <t>06 星展</t>
        </is>
      </c>
      <c r="H161" s="157" t="n">
        <v>604553</v>
      </c>
      <c r="I161" s="157" t="n">
        <v>335853</v>
      </c>
      <c r="J161" s="157" t="n">
        <v>4469</v>
      </c>
      <c r="K161" s="157" t="n">
        <v>4607</v>
      </c>
      <c r="L161" s="157" t="n">
        <v>1370</v>
      </c>
      <c r="M161" s="16" t="n"/>
      <c r="N161" s="157" t="n">
        <v>2907</v>
      </c>
      <c r="O161" s="16" t="n"/>
      <c r="P161" s="16" t="n"/>
      <c r="Q161" s="17" t="n"/>
      <c r="R161" s="16" t="n"/>
      <c r="S161" s="16" t="n"/>
      <c r="T161" s="16" t="n"/>
      <c r="U161" s="16" t="n"/>
      <c r="V161" s="158" t="n"/>
      <c r="W161" s="16" t="n"/>
      <c r="X161" s="18" t="n"/>
      <c r="Y161" s="18" t="n"/>
      <c r="Z161" s="18" t="n"/>
      <c r="AA161" s="18" t="n"/>
      <c r="AB161" s="18" t="n"/>
      <c r="AC161" s="18" t="n"/>
      <c r="AD161" s="18" t="n"/>
      <c r="AE161" s="18" t="n"/>
      <c r="AF161" s="18" t="n"/>
      <c r="AG161" s="18" t="n"/>
      <c r="AH161" s="18" t="n"/>
      <c r="AI161" s="18" t="n"/>
    </row>
    <row r="162">
      <c r="A162" s="9" t="n">
        <v>202010</v>
      </c>
      <c r="B162" s="10">
        <f>LEFT(creditcard[[#This Row],[YYYYMM]],4)</f>
        <v/>
      </c>
      <c r="C162" s="10">
        <f>RIGHT(creditcard[[#This Row],[YYYYMM]],2)</f>
        <v/>
      </c>
      <c r="D162" s="10">
        <f>IF(RIGHT(creditcard[[#This Row],[YYYYMM]],2)="--","--","Q"&amp;ROUNDUP(VALUE(RIGHT(creditcard[[#This Row],[YYYYMM]],2))/3,0))</f>
        <v/>
      </c>
      <c r="E162" s="10" t="n">
        <v>7</v>
      </c>
      <c r="F162" s="151" t="inlineStr">
        <is>
          <t>聯邦</t>
        </is>
      </c>
      <c r="G162" s="152" t="inlineStr">
        <is>
          <t>07 聯邦</t>
        </is>
      </c>
      <c r="H162" s="153" t="n">
        <v>2221614</v>
      </c>
      <c r="I162" s="153" t="n">
        <v>1309146</v>
      </c>
      <c r="J162" s="153" t="n">
        <v>22771</v>
      </c>
      <c r="K162" s="153" t="n">
        <v>33100</v>
      </c>
      <c r="L162" s="153" t="n">
        <v>5658.367</v>
      </c>
      <c r="M162" s="11" t="n"/>
      <c r="N162" s="153" t="n">
        <v>8431.519</v>
      </c>
      <c r="O162" s="11" t="n"/>
      <c r="P162" s="11" t="n"/>
      <c r="Q162" s="12" t="n"/>
      <c r="R162" s="11" t="n"/>
      <c r="S162" s="11" t="n"/>
      <c r="T162" s="11" t="n"/>
      <c r="U162" s="11" t="n"/>
      <c r="V162" s="154" t="n"/>
      <c r="W162" s="11" t="n"/>
      <c r="X162" s="13" t="n"/>
      <c r="Y162" s="13" t="n"/>
      <c r="Z162" s="13" t="n"/>
      <c r="AA162" s="13" t="n"/>
      <c r="AB162" s="13" t="n"/>
      <c r="AC162" s="13" t="n"/>
      <c r="AD162" s="13" t="n"/>
      <c r="AE162" s="13" t="n"/>
      <c r="AF162" s="13" t="n"/>
      <c r="AG162" s="13" t="n"/>
      <c r="AH162" s="13" t="n"/>
      <c r="AI162" s="13" t="n"/>
    </row>
    <row r="163">
      <c r="A163" s="14" t="n">
        <v>202010</v>
      </c>
      <c r="B163" s="15">
        <f>LEFT(creditcard[[#This Row],[YYYYMM]],4)</f>
        <v/>
      </c>
      <c r="C163" s="15">
        <f>RIGHT(creditcard[[#This Row],[YYYYMM]],2)</f>
        <v/>
      </c>
      <c r="D163" s="15">
        <f>IF(RIGHT(creditcard[[#This Row],[YYYYMM]],2)="--","--","Q"&amp;ROUNDUP(VALUE(RIGHT(creditcard[[#This Row],[YYYYMM]],2))/3,0))</f>
        <v/>
      </c>
      <c r="E163" s="15" t="n">
        <v>8</v>
      </c>
      <c r="F163" s="155" t="inlineStr">
        <is>
          <t>永豐</t>
        </is>
      </c>
      <c r="G163" s="156" t="inlineStr">
        <is>
          <t>08 永豐</t>
        </is>
      </c>
      <c r="H163" s="157" t="n">
        <v>2075987</v>
      </c>
      <c r="I163" s="157" t="n">
        <v>1099813</v>
      </c>
      <c r="J163" s="157" t="n">
        <v>32151</v>
      </c>
      <c r="K163" s="157" t="n">
        <v>74612</v>
      </c>
      <c r="L163" s="157" t="n">
        <v>4116.652</v>
      </c>
      <c r="M163" s="16" t="n"/>
      <c r="N163" s="157" t="n">
        <v>8735.02</v>
      </c>
      <c r="O163" s="16" t="n"/>
      <c r="P163" s="16" t="n"/>
      <c r="Q163" s="17" t="n"/>
      <c r="R163" s="16" t="n"/>
      <c r="S163" s="16" t="n"/>
      <c r="T163" s="16" t="n"/>
      <c r="U163" s="16" t="n"/>
      <c r="V163" s="158" t="n"/>
      <c r="W163" s="16" t="n"/>
      <c r="X163" s="18" t="n"/>
      <c r="Y163" s="18" t="n"/>
      <c r="Z163" s="18" t="n"/>
      <c r="AA163" s="18" t="n"/>
      <c r="AB163" s="18" t="n"/>
      <c r="AC163" s="18" t="n"/>
      <c r="AD163" s="18" t="n"/>
      <c r="AE163" s="18" t="n"/>
      <c r="AF163" s="18" t="n"/>
      <c r="AG163" s="18" t="n"/>
      <c r="AH163" s="18" t="n"/>
      <c r="AI163" s="18" t="n"/>
    </row>
    <row r="164">
      <c r="A164" s="9" t="n">
        <v>202010</v>
      </c>
      <c r="B164" s="10">
        <f>LEFT(creditcard[[#This Row],[YYYYMM]],4)</f>
        <v/>
      </c>
      <c r="C164" s="10">
        <f>RIGHT(creditcard[[#This Row],[YYYYMM]],2)</f>
        <v/>
      </c>
      <c r="D164" s="10">
        <f>IF(RIGHT(creditcard[[#This Row],[YYYYMM]],2)="--","--","Q"&amp;ROUNDUP(VALUE(RIGHT(creditcard[[#This Row],[YYYYMM]],2))/3,0))</f>
        <v/>
      </c>
      <c r="E164" s="10" t="n">
        <v>9</v>
      </c>
      <c r="F164" s="151" t="inlineStr">
        <is>
          <t>第一</t>
        </is>
      </c>
      <c r="G164" s="152" t="inlineStr">
        <is>
          <t>09 第一</t>
        </is>
      </c>
      <c r="H164" s="153" t="n">
        <v>1270702</v>
      </c>
      <c r="I164" s="153" t="n">
        <v>763536</v>
      </c>
      <c r="J164" s="153" t="n">
        <v>14452</v>
      </c>
      <c r="K164" s="153" t="n">
        <v>9979</v>
      </c>
      <c r="L164" s="153" t="n">
        <v>1418</v>
      </c>
      <c r="M164" s="11" t="n"/>
      <c r="N164" s="153" t="n">
        <v>4412</v>
      </c>
      <c r="O164" s="11" t="n"/>
      <c r="P164" s="11" t="n"/>
      <c r="Q164" s="12" t="n"/>
      <c r="R164" s="11" t="n"/>
      <c r="S164" s="11" t="n"/>
      <c r="T164" s="11" t="n"/>
      <c r="U164" s="11" t="n"/>
      <c r="V164" s="154" t="n"/>
      <c r="W164" s="11" t="n"/>
      <c r="X164" s="13" t="n"/>
      <c r="Y164" s="13" t="n"/>
      <c r="Z164" s="13" t="n"/>
      <c r="AA164" s="13" t="n"/>
      <c r="AB164" s="13" t="n"/>
      <c r="AC164" s="13" t="n"/>
      <c r="AD164" s="13" t="n"/>
      <c r="AE164" s="13" t="n"/>
      <c r="AF164" s="13" t="n"/>
      <c r="AG164" s="13" t="n"/>
      <c r="AH164" s="13" t="n"/>
      <c r="AI164" s="13" t="n"/>
    </row>
    <row r="165">
      <c r="A165" s="14" t="n">
        <v>202010</v>
      </c>
      <c r="B165" s="15">
        <f>LEFT(creditcard[[#This Row],[YYYYMM]],4)</f>
        <v/>
      </c>
      <c r="C165" s="15">
        <f>RIGHT(creditcard[[#This Row],[YYYYMM]],2)</f>
        <v/>
      </c>
      <c r="D165" s="15">
        <f>IF(RIGHT(creditcard[[#This Row],[YYYYMM]],2)="--","--","Q"&amp;ROUNDUP(VALUE(RIGHT(creditcard[[#This Row],[YYYYMM]],2))/3,0))</f>
        <v/>
      </c>
      <c r="E165" s="15" t="n">
        <v>10</v>
      </c>
      <c r="F165" s="155" t="inlineStr">
        <is>
          <t>遠東</t>
        </is>
      </c>
      <c r="G165" s="156" t="inlineStr">
        <is>
          <t>10 遠東</t>
        </is>
      </c>
      <c r="H165" s="157" t="n">
        <v>1634192</v>
      </c>
      <c r="I165" s="157" t="n">
        <v>1026460</v>
      </c>
      <c r="J165" s="157" t="n">
        <v>12403</v>
      </c>
      <c r="K165" s="157" t="n">
        <v>5480</v>
      </c>
      <c r="L165" s="157" t="n">
        <v>3965.961</v>
      </c>
      <c r="M165" s="16" t="n"/>
      <c r="N165" s="157" t="n">
        <v>4511.272</v>
      </c>
      <c r="O165" s="16" t="n"/>
      <c r="P165" s="16" t="n"/>
      <c r="Q165" s="17" t="n"/>
      <c r="R165" s="16" t="n"/>
      <c r="S165" s="16" t="n"/>
      <c r="T165" s="16" t="n"/>
      <c r="U165" s="16" t="n"/>
      <c r="V165" s="158" t="n"/>
      <c r="W165" s="16" t="n"/>
      <c r="X165" s="18" t="n"/>
      <c r="Y165" s="18" t="n"/>
      <c r="Z165" s="18" t="n"/>
      <c r="AA165" s="18" t="n"/>
      <c r="AB165" s="18" t="n"/>
      <c r="AC165" s="18" t="n"/>
      <c r="AD165" s="18" t="n"/>
      <c r="AE165" s="18" t="n"/>
      <c r="AF165" s="18" t="n"/>
      <c r="AG165" s="18" t="n"/>
      <c r="AH165" s="18" t="n"/>
      <c r="AI165" s="18" t="n"/>
    </row>
    <row r="166">
      <c r="A166" s="9" t="n">
        <v>202010</v>
      </c>
      <c r="B166" s="10">
        <f>LEFT(creditcard[[#This Row],[YYYYMM]],4)</f>
        <v/>
      </c>
      <c r="C166" s="10">
        <f>RIGHT(creditcard[[#This Row],[YYYYMM]],2)</f>
        <v/>
      </c>
      <c r="D166" s="10">
        <f>IF(RIGHT(creditcard[[#This Row],[YYYYMM]],2)="--","--","Q"&amp;ROUNDUP(VALUE(RIGHT(creditcard[[#This Row],[YYYYMM]],2))/3,0))</f>
        <v/>
      </c>
      <c r="E166" s="10" t="n">
        <v>11</v>
      </c>
      <c r="F166" s="151" t="inlineStr">
        <is>
          <t>市場總計</t>
        </is>
      </c>
      <c r="G166" s="152" t="inlineStr">
        <is>
          <t>11 市場總計</t>
        </is>
      </c>
      <c r="H166" s="153" t="n">
        <v>49790612</v>
      </c>
      <c r="I166" s="153" t="n">
        <v>32622661</v>
      </c>
      <c r="J166" s="153" t="n">
        <v>465798</v>
      </c>
      <c r="K166" s="153" t="n">
        <v>359720</v>
      </c>
      <c r="L166" s="153" t="n">
        <v>104583.252</v>
      </c>
      <c r="M166" s="11" t="n"/>
      <c r="N166" s="153" t="n">
        <v>240657.682</v>
      </c>
      <c r="O166" s="11" t="n"/>
      <c r="P166" s="11" t="n"/>
      <c r="Q166" s="12" t="n"/>
      <c r="R166" s="11" t="n"/>
      <c r="S166" s="11" t="n"/>
      <c r="T166" s="11" t="n"/>
      <c r="U166" s="11" t="n"/>
      <c r="V166" s="154" t="n">
        <v>4.28</v>
      </c>
      <c r="W166" s="11">
        <f>SUMIFS(H:H,A:A,creditcard[[#This Row],[YYYYMM]],G:G,creditcard[[#This Row],[Item]])</f>
        <v/>
      </c>
      <c r="X166" s="4">
        <f>IFERROR(SUMIFS(H:H,A:A,creditcard[[#This Row],[YYYYMM]],E:E,"&lt;=5")/creditcard[[#This Row],[市場總計]],"")</f>
        <v/>
      </c>
      <c r="Y166" s="4">
        <f>IFERROR(SUMIFS(H:H,A:A,creditcard[[#This Row],[YYYYMM]],E:E,"&lt;=10")/creditcard[[#This Row],[市場總計]],"")</f>
        <v/>
      </c>
      <c r="Z166" s="4">
        <f>IFERROR(SUMIFS(I:I,A:A,creditcard[[#This Row],[YYYYMM]],E:E,"&lt;=5")/creditcard[[#This Row],[有效卡數]],"")</f>
        <v/>
      </c>
      <c r="AA166" s="4">
        <f>IFERROR(SUMIFS(I:I,A:A,creditcard[[#This Row],[YYYYMM]],E:E,"&lt;=10")/creditcard[[#This Row],[有效卡數]],"")</f>
        <v/>
      </c>
      <c r="AB166" s="4">
        <f>IFERROR(SUMIFS(J:J,A:A,creditcard[[#This Row],[YYYYMM]],E:E,"&lt;=5")/creditcard[[#This Row],[當月發卡數]],"")</f>
        <v/>
      </c>
      <c r="AC166" s="4">
        <f>IFERROR(SUMIFS(J:J,A:A,creditcard[[#This Row],[YYYYMM]],E:E,"&lt;=10")/creditcard[[#This Row],[當月發卡數]],"")</f>
        <v/>
      </c>
      <c r="AD166" s="4">
        <f>IFERROR(SUMIFS(K:K,A:A,creditcard[[#This Row],[YYYYMM]],E:E,"&lt;=5")/creditcard[[#This Row],[當月停卡數]],"")</f>
        <v/>
      </c>
      <c r="AE166" s="4">
        <f>IFERROR(SUMIFS(K:K,A:A,creditcard[[#This Row],[YYYYMM]],E:E,"&lt;=10")/creditcard[[#This Row],[當月停卡數]],"")</f>
        <v/>
      </c>
      <c r="AF166" s="4">
        <f>IFERROR(SUMIFS(L:L,A:A,creditcard[[#This Row],[YYYYMM]],E:E,"&lt;=5")/creditcard[[#This Row],[循環信用餘額]],"")</f>
        <v/>
      </c>
      <c r="AG166" s="4">
        <f>IFERROR(SUMIFS(L:L,A:A,creditcard[[#This Row],[YYYYMM]],E:E,"&lt;=10")/creditcard[[#This Row],[循環信用餘額]],"")</f>
        <v/>
      </c>
      <c r="AH166" s="4">
        <f>IFERROR(SUMIFS(N:N,A:A,creditcard[[#This Row],[YYYYMM]],E:E,"&lt;=5")/creditcard[[#This Row],[當月簽帳金額]],"")</f>
        <v/>
      </c>
      <c r="AI166" s="4">
        <f>IFERROR(SUMIFS(N:N,A:A,creditcard[[#This Row],[YYYYMM]],E:E,"&lt;=10")/creditcard[[#This Row],[當月簽帳金額]],"")</f>
        <v/>
      </c>
    </row>
    <row r="167">
      <c r="A167" s="14" t="n">
        <v>202011</v>
      </c>
      <c r="B167" s="15">
        <f>LEFT(creditcard[[#This Row],[YYYYMM]],4)</f>
        <v/>
      </c>
      <c r="C167" s="15">
        <f>RIGHT(creditcard[[#This Row],[YYYYMM]],2)</f>
        <v/>
      </c>
      <c r="D167" s="15">
        <f>IF(RIGHT(creditcard[[#This Row],[YYYYMM]],2)="--","--","Q"&amp;ROUNDUP(VALUE(RIGHT(creditcard[[#This Row],[YYYYMM]],2))/3,0))</f>
        <v/>
      </c>
      <c r="E167" s="15" t="n">
        <v>1</v>
      </c>
      <c r="F167" s="155" t="inlineStr">
        <is>
          <t>中信</t>
        </is>
      </c>
      <c r="G167" s="156" t="inlineStr">
        <is>
          <t>01 中信</t>
        </is>
      </c>
      <c r="H167" s="157" t="n">
        <v>7229899</v>
      </c>
      <c r="I167" s="157" t="n">
        <v>4686245</v>
      </c>
      <c r="J167" s="157" t="n">
        <v>67957</v>
      </c>
      <c r="K167" s="157" t="n">
        <v>33810</v>
      </c>
      <c r="L167" s="157" t="n">
        <v>16155.679</v>
      </c>
      <c r="M167" s="16" t="n"/>
      <c r="N167" s="157" t="n">
        <v>37675.901</v>
      </c>
      <c r="O167" s="16" t="n"/>
      <c r="P167" s="16" t="n"/>
      <c r="Q167" s="17" t="n"/>
      <c r="R167" s="16" t="n"/>
      <c r="S167" s="16" t="n"/>
      <c r="T167" s="16" t="n"/>
      <c r="U167" s="16" t="n"/>
      <c r="V167" s="158" t="n"/>
      <c r="W167" s="16" t="n"/>
      <c r="X167" s="18" t="n"/>
      <c r="Y167" s="18" t="n"/>
      <c r="Z167" s="18" t="n"/>
      <c r="AA167" s="18" t="n"/>
      <c r="AB167" s="18" t="n"/>
      <c r="AC167" s="18" t="n"/>
      <c r="AD167" s="18" t="n"/>
      <c r="AE167" s="18" t="n"/>
      <c r="AF167" s="18" t="n"/>
      <c r="AG167" s="18" t="n"/>
      <c r="AH167" s="18" t="n"/>
      <c r="AI167" s="18" t="n"/>
    </row>
    <row r="168">
      <c r="A168" s="9" t="n">
        <v>202011</v>
      </c>
      <c r="B168" s="10">
        <f>LEFT(creditcard[[#This Row],[YYYYMM]],4)</f>
        <v/>
      </c>
      <c r="C168" s="10">
        <f>RIGHT(creditcard[[#This Row],[YYYYMM]],2)</f>
        <v/>
      </c>
      <c r="D168" s="10">
        <f>IF(RIGHT(creditcard[[#This Row],[YYYYMM]],2)="--","--","Q"&amp;ROUNDUP(VALUE(RIGHT(creditcard[[#This Row],[YYYYMM]],2))/3,0))</f>
        <v/>
      </c>
      <c r="E168" s="10" t="n">
        <v>2</v>
      </c>
      <c r="F168" s="151" t="inlineStr">
        <is>
          <t>富邦</t>
        </is>
      </c>
      <c r="G168" s="152" t="inlineStr">
        <is>
          <t>02 富邦</t>
        </is>
      </c>
      <c r="H168" s="153" t="n">
        <v>3835056</v>
      </c>
      <c r="I168" s="153" t="n">
        <v>2526871</v>
      </c>
      <c r="J168" s="153" t="n">
        <v>74849</v>
      </c>
      <c r="K168" s="153" t="n">
        <v>18738</v>
      </c>
      <c r="L168" s="153" t="n">
        <v>5566.744</v>
      </c>
      <c r="M168" s="11" t="n"/>
      <c r="N168" s="153" t="n">
        <v>26157.589</v>
      </c>
      <c r="O168" s="11" t="n"/>
      <c r="P168" s="11" t="n"/>
      <c r="Q168" s="12" t="n"/>
      <c r="R168" s="11" t="n"/>
      <c r="S168" s="11" t="n"/>
      <c r="T168" s="11" t="n"/>
      <c r="U168" s="11" t="n"/>
      <c r="V168" s="154" t="n"/>
      <c r="W168" s="11" t="n"/>
      <c r="X168" s="13" t="n"/>
      <c r="Y168" s="13" t="n"/>
      <c r="Z168" s="13" t="n"/>
      <c r="AA168" s="13" t="n"/>
      <c r="AB168" s="13" t="n"/>
      <c r="AC168" s="13" t="n"/>
      <c r="AD168" s="13" t="n"/>
      <c r="AE168" s="13" t="n"/>
      <c r="AF168" s="13" t="n"/>
      <c r="AG168" s="13" t="n"/>
      <c r="AH168" s="13" t="n"/>
      <c r="AI168" s="13" t="n"/>
    </row>
    <row r="169">
      <c r="A169" s="14" t="n">
        <v>202011</v>
      </c>
      <c r="B169" s="15">
        <f>LEFT(creditcard[[#This Row],[YYYYMM]],4)</f>
        <v/>
      </c>
      <c r="C169" s="15">
        <f>RIGHT(creditcard[[#This Row],[YYYYMM]],2)</f>
        <v/>
      </c>
      <c r="D169" s="15">
        <f>IF(RIGHT(creditcard[[#This Row],[YYYYMM]],2)="--","--","Q"&amp;ROUNDUP(VALUE(RIGHT(creditcard[[#This Row],[YYYYMM]],2))/3,0))</f>
        <v/>
      </c>
      <c r="E169" s="15" t="n">
        <v>3</v>
      </c>
      <c r="F169" s="155" t="inlineStr">
        <is>
          <t>國泰</t>
        </is>
      </c>
      <c r="G169" s="156" t="inlineStr">
        <is>
          <t>03 國泰</t>
        </is>
      </c>
      <c r="H169" s="157" t="n">
        <v>7086166</v>
      </c>
      <c r="I169" s="157" t="n">
        <v>5106133</v>
      </c>
      <c r="J169" s="157" t="n">
        <v>66060</v>
      </c>
      <c r="K169" s="157" t="n">
        <v>40116</v>
      </c>
      <c r="L169" s="157" t="n">
        <v>18158.575</v>
      </c>
      <c r="M169" s="16" t="n"/>
      <c r="N169" s="157" t="n">
        <v>40804.339</v>
      </c>
      <c r="O169" s="16" t="n"/>
      <c r="P169" s="16" t="n"/>
      <c r="Q169" s="17" t="n"/>
      <c r="R169" s="16" t="n"/>
      <c r="S169" s="16" t="n"/>
      <c r="T169" s="16" t="n"/>
      <c r="U169" s="16" t="n"/>
      <c r="V169" s="158" t="n"/>
      <c r="W169" s="16" t="n"/>
      <c r="X169" s="18" t="n"/>
      <c r="Y169" s="18" t="n"/>
      <c r="Z169" s="18" t="n"/>
      <c r="AA169" s="18" t="n"/>
      <c r="AB169" s="18" t="n"/>
      <c r="AC169" s="18" t="n"/>
      <c r="AD169" s="18" t="n"/>
      <c r="AE169" s="18" t="n"/>
      <c r="AF169" s="18" t="n"/>
      <c r="AG169" s="18" t="n"/>
      <c r="AH169" s="18" t="n"/>
      <c r="AI169" s="18" t="n"/>
    </row>
    <row r="170">
      <c r="A170" s="9" t="n">
        <v>202011</v>
      </c>
      <c r="B170" s="10">
        <f>LEFT(creditcard[[#This Row],[YYYYMM]],4)</f>
        <v/>
      </c>
      <c r="C170" s="10">
        <f>RIGHT(creditcard[[#This Row],[YYYYMM]],2)</f>
        <v/>
      </c>
      <c r="D170" s="10">
        <f>IF(RIGHT(creditcard[[#This Row],[YYYYMM]],2)="--","--","Q"&amp;ROUNDUP(VALUE(RIGHT(creditcard[[#This Row],[YYYYMM]],2))/3,0))</f>
        <v/>
      </c>
      <c r="E170" s="10" t="n">
        <v>4</v>
      </c>
      <c r="F170" s="151" t="inlineStr">
        <is>
          <t>玉山</t>
        </is>
      </c>
      <c r="G170" s="152" t="inlineStr">
        <is>
          <t>04 玉山</t>
        </is>
      </c>
      <c r="H170" s="153" t="n">
        <v>6321054</v>
      </c>
      <c r="I170" s="153" t="n">
        <v>4477538</v>
      </c>
      <c r="J170" s="153" t="n">
        <v>52246</v>
      </c>
      <c r="K170" s="153" t="n">
        <v>22022</v>
      </c>
      <c r="L170" s="153" t="n">
        <v>12645.88</v>
      </c>
      <c r="M170" s="11" t="n"/>
      <c r="N170" s="153" t="n">
        <v>39026.463</v>
      </c>
      <c r="O170" s="11" t="n"/>
      <c r="P170" s="11" t="n"/>
      <c r="Q170" s="12" t="n"/>
      <c r="R170" s="11" t="n"/>
      <c r="S170" s="11" t="n"/>
      <c r="T170" s="11" t="n"/>
      <c r="U170" s="11" t="n"/>
      <c r="V170" s="154" t="n"/>
      <c r="W170" s="11" t="n"/>
      <c r="X170" s="13" t="n"/>
      <c r="Y170" s="13" t="n"/>
      <c r="Z170" s="13" t="n"/>
      <c r="AA170" s="13" t="n"/>
      <c r="AB170" s="13" t="n"/>
      <c r="AC170" s="13" t="n"/>
      <c r="AD170" s="13" t="n"/>
      <c r="AE170" s="13" t="n"/>
      <c r="AF170" s="13" t="n"/>
      <c r="AG170" s="13" t="n"/>
      <c r="AH170" s="13" t="n"/>
      <c r="AI170" s="13" t="n"/>
    </row>
    <row r="171">
      <c r="A171" s="14" t="n">
        <v>202011</v>
      </c>
      <c r="B171" s="15">
        <f>LEFT(creditcard[[#This Row],[YYYYMM]],4)</f>
        <v/>
      </c>
      <c r="C171" s="15">
        <f>RIGHT(creditcard[[#This Row],[YYYYMM]],2)</f>
        <v/>
      </c>
      <c r="D171" s="15">
        <f>IF(RIGHT(creditcard[[#This Row],[YYYYMM]],2)="--","--","Q"&amp;ROUNDUP(VALUE(RIGHT(creditcard[[#This Row],[YYYYMM]],2))/3,0))</f>
        <v/>
      </c>
      <c r="E171" s="15" t="n">
        <v>5</v>
      </c>
      <c r="F171" s="155" t="inlineStr">
        <is>
          <t>台新</t>
        </is>
      </c>
      <c r="G171" s="156" t="inlineStr">
        <is>
          <t>05 台新</t>
        </is>
      </c>
      <c r="H171" s="157" t="n">
        <v>5696228</v>
      </c>
      <c r="I171" s="157" t="n">
        <v>3990058</v>
      </c>
      <c r="J171" s="157" t="n">
        <v>66616</v>
      </c>
      <c r="K171" s="157" t="n">
        <v>35965</v>
      </c>
      <c r="L171" s="157" t="n">
        <v>10324.07</v>
      </c>
      <c r="M171" s="16" t="n"/>
      <c r="N171" s="157" t="n">
        <v>28839.01</v>
      </c>
      <c r="O171" s="16" t="n"/>
      <c r="P171" s="16" t="n"/>
      <c r="Q171" s="17" t="n"/>
      <c r="R171" s="16" t="n"/>
      <c r="S171" s="16" t="n"/>
      <c r="T171" s="16" t="n"/>
      <c r="U171" s="16" t="n"/>
      <c r="V171" s="158" t="n"/>
      <c r="W171" s="16" t="n"/>
      <c r="X171" s="18" t="n"/>
      <c r="Y171" s="18" t="n"/>
      <c r="Z171" s="18" t="n"/>
      <c r="AA171" s="18" t="n"/>
      <c r="AB171" s="18" t="n"/>
      <c r="AC171" s="18" t="n"/>
      <c r="AD171" s="18" t="n"/>
      <c r="AE171" s="18" t="n"/>
      <c r="AF171" s="18" t="n"/>
      <c r="AG171" s="18" t="n"/>
      <c r="AH171" s="18" t="n"/>
      <c r="AI171" s="18" t="n"/>
    </row>
    <row r="172">
      <c r="A172" s="9" t="n">
        <v>202011</v>
      </c>
      <c r="B172" s="10">
        <f>LEFT(creditcard[[#This Row],[YYYYMM]],4)</f>
        <v/>
      </c>
      <c r="C172" s="10">
        <f>RIGHT(creditcard[[#This Row],[YYYYMM]],2)</f>
        <v/>
      </c>
      <c r="D172" s="10">
        <f>IF(RIGHT(creditcard[[#This Row],[YYYYMM]],2)="--","--","Q"&amp;ROUNDUP(VALUE(RIGHT(creditcard[[#This Row],[YYYYMM]],2))/3,0))</f>
        <v/>
      </c>
      <c r="E172" s="10" t="n">
        <v>6</v>
      </c>
      <c r="F172" s="151" t="inlineStr">
        <is>
          <t>星展</t>
        </is>
      </c>
      <c r="G172" s="152" t="inlineStr">
        <is>
          <t>06 星展</t>
        </is>
      </c>
      <c r="H172" s="153" t="n">
        <v>606156</v>
      </c>
      <c r="I172" s="153" t="n">
        <v>328439</v>
      </c>
      <c r="J172" s="153" t="n">
        <v>4359</v>
      </c>
      <c r="K172" s="153" t="n">
        <v>4499</v>
      </c>
      <c r="L172" s="153" t="n">
        <v>1366</v>
      </c>
      <c r="M172" s="11" t="n"/>
      <c r="N172" s="153" t="n">
        <v>3041</v>
      </c>
      <c r="O172" s="11" t="n"/>
      <c r="P172" s="11" t="n"/>
      <c r="Q172" s="12" t="n"/>
      <c r="R172" s="11" t="n"/>
      <c r="S172" s="11" t="n"/>
      <c r="T172" s="11" t="n"/>
      <c r="U172" s="11" t="n"/>
      <c r="V172" s="154" t="n"/>
      <c r="W172" s="11" t="n"/>
      <c r="X172" s="13" t="n"/>
      <c r="Y172" s="13" t="n"/>
      <c r="Z172" s="13" t="n"/>
      <c r="AA172" s="13" t="n"/>
      <c r="AB172" s="13" t="n"/>
      <c r="AC172" s="13" t="n"/>
      <c r="AD172" s="13" t="n"/>
      <c r="AE172" s="13" t="n"/>
      <c r="AF172" s="13" t="n"/>
      <c r="AG172" s="13" t="n"/>
      <c r="AH172" s="13" t="n"/>
      <c r="AI172" s="13" t="n"/>
    </row>
    <row r="173">
      <c r="A173" s="14" t="n">
        <v>202011</v>
      </c>
      <c r="B173" s="15">
        <f>LEFT(creditcard[[#This Row],[YYYYMM]],4)</f>
        <v/>
      </c>
      <c r="C173" s="15">
        <f>RIGHT(creditcard[[#This Row],[YYYYMM]],2)</f>
        <v/>
      </c>
      <c r="D173" s="15">
        <f>IF(RIGHT(creditcard[[#This Row],[YYYYMM]],2)="--","--","Q"&amp;ROUNDUP(VALUE(RIGHT(creditcard[[#This Row],[YYYYMM]],2))/3,0))</f>
        <v/>
      </c>
      <c r="E173" s="15" t="n">
        <v>7</v>
      </c>
      <c r="F173" s="155" t="inlineStr">
        <is>
          <t>聯邦</t>
        </is>
      </c>
      <c r="G173" s="156" t="inlineStr">
        <is>
          <t>07 聯邦</t>
        </is>
      </c>
      <c r="H173" s="157" t="n">
        <v>2233423</v>
      </c>
      <c r="I173" s="157" t="n">
        <v>1318430</v>
      </c>
      <c r="J173" s="157" t="n">
        <v>24460</v>
      </c>
      <c r="K173" s="157" t="n">
        <v>12651</v>
      </c>
      <c r="L173" s="157" t="n">
        <v>5675.84</v>
      </c>
      <c r="M173" s="16" t="n"/>
      <c r="N173" s="157" t="n">
        <v>9151.959999999999</v>
      </c>
      <c r="O173" s="16" t="n"/>
      <c r="P173" s="16" t="n"/>
      <c r="Q173" s="17" t="n"/>
      <c r="R173" s="16" t="n"/>
      <c r="S173" s="16" t="n"/>
      <c r="T173" s="16" t="n"/>
      <c r="U173" s="16" t="n"/>
      <c r="V173" s="158" t="n"/>
      <c r="W173" s="16" t="n"/>
      <c r="X173" s="18" t="n"/>
      <c r="Y173" s="18" t="n"/>
      <c r="Z173" s="18" t="n"/>
      <c r="AA173" s="18" t="n"/>
      <c r="AB173" s="18" t="n"/>
      <c r="AC173" s="18" t="n"/>
      <c r="AD173" s="18" t="n"/>
      <c r="AE173" s="18" t="n"/>
      <c r="AF173" s="18" t="n"/>
      <c r="AG173" s="18" t="n"/>
      <c r="AH173" s="18" t="n"/>
      <c r="AI173" s="18" t="n"/>
    </row>
    <row r="174">
      <c r="A174" s="9" t="n">
        <v>202011</v>
      </c>
      <c r="B174" s="10">
        <f>LEFT(creditcard[[#This Row],[YYYYMM]],4)</f>
        <v/>
      </c>
      <c r="C174" s="10">
        <f>RIGHT(creditcard[[#This Row],[YYYYMM]],2)</f>
        <v/>
      </c>
      <c r="D174" s="10">
        <f>IF(RIGHT(creditcard[[#This Row],[YYYYMM]],2)="--","--","Q"&amp;ROUNDUP(VALUE(RIGHT(creditcard[[#This Row],[YYYYMM]],2))/3,0))</f>
        <v/>
      </c>
      <c r="E174" s="10" t="n">
        <v>8</v>
      </c>
      <c r="F174" s="151" t="inlineStr">
        <is>
          <t>永豐</t>
        </is>
      </c>
      <c r="G174" s="152" t="inlineStr">
        <is>
          <t>08 永豐</t>
        </is>
      </c>
      <c r="H174" s="153" t="n">
        <v>2078829</v>
      </c>
      <c r="I174" s="153" t="n">
        <v>1109061</v>
      </c>
      <c r="J174" s="153" t="n">
        <v>14693</v>
      </c>
      <c r="K174" s="153" t="n">
        <v>12634</v>
      </c>
      <c r="L174" s="153" t="n">
        <v>4068.256</v>
      </c>
      <c r="M174" s="11" t="n"/>
      <c r="N174" s="153" t="n">
        <v>9180.968000000001</v>
      </c>
      <c r="O174" s="11" t="n"/>
      <c r="P174" s="11" t="n"/>
      <c r="Q174" s="12" t="n"/>
      <c r="R174" s="11" t="n"/>
      <c r="S174" s="11" t="n"/>
      <c r="T174" s="11" t="n"/>
      <c r="U174" s="11" t="n"/>
      <c r="V174" s="154" t="n"/>
      <c r="W174" s="11" t="n"/>
      <c r="X174" s="13" t="n"/>
      <c r="Y174" s="13" t="n"/>
      <c r="Z174" s="13" t="n"/>
      <c r="AA174" s="13" t="n"/>
      <c r="AB174" s="13" t="n"/>
      <c r="AC174" s="13" t="n"/>
      <c r="AD174" s="13" t="n"/>
      <c r="AE174" s="13" t="n"/>
      <c r="AF174" s="13" t="n"/>
      <c r="AG174" s="13" t="n"/>
      <c r="AH174" s="13" t="n"/>
      <c r="AI174" s="13" t="n"/>
    </row>
    <row r="175">
      <c r="A175" s="14" t="n">
        <v>202011</v>
      </c>
      <c r="B175" s="15">
        <f>LEFT(creditcard[[#This Row],[YYYYMM]],4)</f>
        <v/>
      </c>
      <c r="C175" s="15">
        <f>RIGHT(creditcard[[#This Row],[YYYYMM]],2)</f>
        <v/>
      </c>
      <c r="D175" s="15">
        <f>IF(RIGHT(creditcard[[#This Row],[YYYYMM]],2)="--","--","Q"&amp;ROUNDUP(VALUE(RIGHT(creditcard[[#This Row],[YYYYMM]],2))/3,0))</f>
        <v/>
      </c>
      <c r="E175" s="15" t="n">
        <v>9</v>
      </c>
      <c r="F175" s="155" t="inlineStr">
        <is>
          <t>第一</t>
        </is>
      </c>
      <c r="G175" s="156" t="inlineStr">
        <is>
          <t>09 第一</t>
        </is>
      </c>
      <c r="H175" s="157" t="n">
        <v>1276633</v>
      </c>
      <c r="I175" s="157" t="n">
        <v>769145</v>
      </c>
      <c r="J175" s="157" t="n">
        <v>15858</v>
      </c>
      <c r="K175" s="157" t="n">
        <v>12568</v>
      </c>
      <c r="L175" s="157" t="n">
        <v>1424</v>
      </c>
      <c r="M175" s="16" t="n"/>
      <c r="N175" s="157" t="n">
        <v>4496</v>
      </c>
      <c r="O175" s="16" t="n"/>
      <c r="P175" s="16" t="n"/>
      <c r="Q175" s="17" t="n"/>
      <c r="R175" s="16" t="n"/>
      <c r="S175" s="16" t="n"/>
      <c r="T175" s="16" t="n"/>
      <c r="U175" s="16" t="n"/>
      <c r="V175" s="158" t="n"/>
      <c r="W175" s="16" t="n"/>
      <c r="X175" s="18" t="n"/>
      <c r="Y175" s="18" t="n"/>
      <c r="Z175" s="18" t="n"/>
      <c r="AA175" s="18" t="n"/>
      <c r="AB175" s="18" t="n"/>
      <c r="AC175" s="18" t="n"/>
      <c r="AD175" s="18" t="n"/>
      <c r="AE175" s="18" t="n"/>
      <c r="AF175" s="18" t="n"/>
      <c r="AG175" s="18" t="n"/>
      <c r="AH175" s="18" t="n"/>
      <c r="AI175" s="18" t="n"/>
    </row>
    <row r="176">
      <c r="A176" s="9" t="n">
        <v>202011</v>
      </c>
      <c r="B176" s="10">
        <f>LEFT(creditcard[[#This Row],[YYYYMM]],4)</f>
        <v/>
      </c>
      <c r="C176" s="10">
        <f>RIGHT(creditcard[[#This Row],[YYYYMM]],2)</f>
        <v/>
      </c>
      <c r="D176" s="10">
        <f>IF(RIGHT(creditcard[[#This Row],[YYYYMM]],2)="--","--","Q"&amp;ROUNDUP(VALUE(RIGHT(creditcard[[#This Row],[YYYYMM]],2))/3,0))</f>
        <v/>
      </c>
      <c r="E176" s="10" t="n">
        <v>10</v>
      </c>
      <c r="F176" s="151" t="inlineStr">
        <is>
          <t>遠東</t>
        </is>
      </c>
      <c r="G176" s="152" t="inlineStr">
        <is>
          <t>10 遠東</t>
        </is>
      </c>
      <c r="H176" s="153" t="n">
        <v>1639588</v>
      </c>
      <c r="I176" s="153" t="n">
        <v>1039402</v>
      </c>
      <c r="J176" s="153" t="n">
        <v>13296</v>
      </c>
      <c r="K176" s="153" t="n">
        <v>7914</v>
      </c>
      <c r="L176" s="153" t="n">
        <v>4033.894</v>
      </c>
      <c r="M176" s="11" t="n"/>
      <c r="N176" s="153" t="n">
        <v>4996.032</v>
      </c>
      <c r="O176" s="11" t="n"/>
      <c r="P176" s="11" t="n"/>
      <c r="Q176" s="12" t="n"/>
      <c r="R176" s="11" t="n"/>
      <c r="S176" s="11" t="n"/>
      <c r="T176" s="11" t="n"/>
      <c r="U176" s="11" t="n"/>
      <c r="V176" s="154" t="n"/>
      <c r="W176" s="11" t="n"/>
      <c r="X176" s="13" t="n"/>
      <c r="Y176" s="13" t="n"/>
      <c r="Z176" s="13" t="n"/>
      <c r="AA176" s="13" t="n"/>
      <c r="AB176" s="13" t="n"/>
      <c r="AC176" s="13" t="n"/>
      <c r="AD176" s="13" t="n"/>
      <c r="AE176" s="13" t="n"/>
      <c r="AF176" s="13" t="n"/>
      <c r="AG176" s="13" t="n"/>
      <c r="AH176" s="13" t="n"/>
      <c r="AI176" s="13" t="n"/>
    </row>
    <row r="177">
      <c r="A177" s="14" t="n">
        <v>202011</v>
      </c>
      <c r="B177" s="15">
        <f>LEFT(creditcard[[#This Row],[YYYYMM]],4)</f>
        <v/>
      </c>
      <c r="C177" s="15">
        <f>RIGHT(creditcard[[#This Row],[YYYYMM]],2)</f>
        <v/>
      </c>
      <c r="D177" s="15">
        <f>IF(RIGHT(creditcard[[#This Row],[YYYYMM]],2)="--","--","Q"&amp;ROUNDUP(VALUE(RIGHT(creditcard[[#This Row],[YYYYMM]],2))/3,0))</f>
        <v/>
      </c>
      <c r="E177" s="15" t="n">
        <v>11</v>
      </c>
      <c r="F177" s="155" t="inlineStr">
        <is>
          <t>市場總計</t>
        </is>
      </c>
      <c r="G177" s="156" t="inlineStr">
        <is>
          <t>11 市場總計</t>
        </is>
      </c>
      <c r="H177" s="157" t="n">
        <v>49972268</v>
      </c>
      <c r="I177" s="157" t="n">
        <v>32822235</v>
      </c>
      <c r="J177" s="157" t="n">
        <v>491712</v>
      </c>
      <c r="K177" s="157" t="n">
        <v>329033</v>
      </c>
      <c r="L177" s="157" t="n">
        <v>104694.035</v>
      </c>
      <c r="M177" s="16" t="n"/>
      <c r="N177" s="157" t="n">
        <v>259474.64</v>
      </c>
      <c r="O177" s="16" t="n"/>
      <c r="P177" s="16" t="n"/>
      <c r="Q177" s="17" t="n"/>
      <c r="R177" s="16" t="n"/>
      <c r="S177" s="16" t="n"/>
      <c r="T177" s="16" t="n"/>
      <c r="U177" s="16" t="n"/>
      <c r="V177" s="158" t="n">
        <v>4.28</v>
      </c>
      <c r="W177" s="16">
        <f>SUMIFS(H:H,A:A,creditcard[[#This Row],[YYYYMM]],G:G,creditcard[[#This Row],[Item]])</f>
        <v/>
      </c>
      <c r="X177" s="4">
        <f>IFERROR(SUMIFS(H:H,A:A,creditcard[[#This Row],[YYYYMM]],E:E,"&lt;=5")/creditcard[[#This Row],[市場總計]],"")</f>
        <v/>
      </c>
      <c r="Y177" s="4">
        <f>IFERROR(SUMIFS(H:H,A:A,creditcard[[#This Row],[YYYYMM]],E:E,"&lt;=10")/creditcard[[#This Row],[市場總計]],"")</f>
        <v/>
      </c>
      <c r="Z177" s="4">
        <f>IFERROR(SUMIFS(I:I,A:A,creditcard[[#This Row],[YYYYMM]],E:E,"&lt;=5")/creditcard[[#This Row],[有效卡數]],"")</f>
        <v/>
      </c>
      <c r="AA177" s="4">
        <f>IFERROR(SUMIFS(I:I,A:A,creditcard[[#This Row],[YYYYMM]],E:E,"&lt;=10")/creditcard[[#This Row],[有效卡數]],"")</f>
        <v/>
      </c>
      <c r="AB177" s="4">
        <f>IFERROR(SUMIFS(J:J,A:A,creditcard[[#This Row],[YYYYMM]],E:E,"&lt;=5")/creditcard[[#This Row],[當月發卡數]],"")</f>
        <v/>
      </c>
      <c r="AC177" s="4">
        <f>IFERROR(SUMIFS(J:J,A:A,creditcard[[#This Row],[YYYYMM]],E:E,"&lt;=10")/creditcard[[#This Row],[當月發卡數]],"")</f>
        <v/>
      </c>
      <c r="AD177" s="4">
        <f>IFERROR(SUMIFS(K:K,A:A,creditcard[[#This Row],[YYYYMM]],E:E,"&lt;=5")/creditcard[[#This Row],[當月停卡數]],"")</f>
        <v/>
      </c>
      <c r="AE177" s="4">
        <f>IFERROR(SUMIFS(K:K,A:A,creditcard[[#This Row],[YYYYMM]],E:E,"&lt;=10")/creditcard[[#This Row],[當月停卡數]],"")</f>
        <v/>
      </c>
      <c r="AF177" s="4">
        <f>IFERROR(SUMIFS(L:L,A:A,creditcard[[#This Row],[YYYYMM]],E:E,"&lt;=5")/creditcard[[#This Row],[循環信用餘額]],"")</f>
        <v/>
      </c>
      <c r="AG177" s="4">
        <f>IFERROR(SUMIFS(L:L,A:A,creditcard[[#This Row],[YYYYMM]],E:E,"&lt;=10")/creditcard[[#This Row],[循環信用餘額]],"")</f>
        <v/>
      </c>
      <c r="AH177" s="4">
        <f>IFERROR(SUMIFS(N:N,A:A,creditcard[[#This Row],[YYYYMM]],E:E,"&lt;=5")/creditcard[[#This Row],[當月簽帳金額]],"")</f>
        <v/>
      </c>
      <c r="AI177" s="4">
        <f>IFERROR(SUMIFS(N:N,A:A,creditcard[[#This Row],[YYYYMM]],E:E,"&lt;=10")/creditcard[[#This Row],[當月簽帳金額]],"")</f>
        <v/>
      </c>
    </row>
    <row r="178">
      <c r="A178" s="9" t="n">
        <v>202012</v>
      </c>
      <c r="B178" s="10">
        <f>LEFT(creditcard[[#This Row],[YYYYMM]],4)</f>
        <v/>
      </c>
      <c r="C178" s="10">
        <f>RIGHT(creditcard[[#This Row],[YYYYMM]],2)</f>
        <v/>
      </c>
      <c r="D178" s="10">
        <f>IF(RIGHT(creditcard[[#This Row],[YYYYMM]],2)="--","--","Q"&amp;ROUNDUP(VALUE(RIGHT(creditcard[[#This Row],[YYYYMM]],2))/3,0))</f>
        <v/>
      </c>
      <c r="E178" s="10" t="n">
        <v>1</v>
      </c>
      <c r="F178" s="151" t="inlineStr">
        <is>
          <t>中信</t>
        </is>
      </c>
      <c r="G178" s="152" t="inlineStr">
        <is>
          <t>01 中信</t>
        </is>
      </c>
      <c r="H178" s="153" t="n">
        <v>7281706</v>
      </c>
      <c r="I178" s="153" t="n">
        <v>4722215</v>
      </c>
      <c r="J178" s="153" t="n">
        <v>88772</v>
      </c>
      <c r="K178" s="153" t="n">
        <v>36965</v>
      </c>
      <c r="L178" s="153" t="n">
        <v>16341.46</v>
      </c>
      <c r="M178" s="11" t="n"/>
      <c r="N178" s="153" t="n">
        <v>42029.74</v>
      </c>
      <c r="O178" s="11" t="n"/>
      <c r="P178" s="11" t="n"/>
      <c r="Q178" s="12" t="n"/>
      <c r="R178" s="11" t="n"/>
      <c r="S178" s="11" t="n"/>
      <c r="T178" s="11" t="n"/>
      <c r="U178" s="11" t="n"/>
      <c r="V178" s="154" t="n"/>
      <c r="W178" s="11" t="n"/>
      <c r="X178" s="13" t="n"/>
      <c r="Y178" s="13" t="n"/>
      <c r="Z178" s="13" t="n"/>
      <c r="AA178" s="13" t="n"/>
      <c r="AB178" s="13" t="n"/>
      <c r="AC178" s="13" t="n"/>
      <c r="AD178" s="13" t="n"/>
      <c r="AE178" s="13" t="n"/>
      <c r="AF178" s="13" t="n"/>
      <c r="AG178" s="13" t="n"/>
      <c r="AH178" s="13" t="n"/>
      <c r="AI178" s="13" t="n"/>
    </row>
    <row r="179">
      <c r="A179" s="14" t="n">
        <v>202012</v>
      </c>
      <c r="B179" s="15">
        <f>LEFT(creditcard[[#This Row],[YYYYMM]],4)</f>
        <v/>
      </c>
      <c r="C179" s="15">
        <f>RIGHT(creditcard[[#This Row],[YYYYMM]],2)</f>
        <v/>
      </c>
      <c r="D179" s="15">
        <f>IF(RIGHT(creditcard[[#This Row],[YYYYMM]],2)="--","--","Q"&amp;ROUNDUP(VALUE(RIGHT(creditcard[[#This Row],[YYYYMM]],2))/3,0))</f>
        <v/>
      </c>
      <c r="E179" s="15" t="n">
        <v>2</v>
      </c>
      <c r="F179" s="155" t="inlineStr">
        <is>
          <t>富邦</t>
        </is>
      </c>
      <c r="G179" s="156" t="inlineStr">
        <is>
          <t>02 富邦</t>
        </is>
      </c>
      <c r="H179" s="157" t="n">
        <v>3855965</v>
      </c>
      <c r="I179" s="157" t="n">
        <v>2571152</v>
      </c>
      <c r="J179" s="157" t="n">
        <v>49792</v>
      </c>
      <c r="K179" s="157" t="n">
        <v>28883</v>
      </c>
      <c r="L179" s="157" t="n">
        <v>5587.439</v>
      </c>
      <c r="M179" s="16" t="n"/>
      <c r="N179" s="157" t="n">
        <v>31782.209</v>
      </c>
      <c r="O179" s="16" t="n"/>
      <c r="P179" s="16" t="n"/>
      <c r="Q179" s="17" t="n"/>
      <c r="R179" s="16" t="n"/>
      <c r="S179" s="16" t="n"/>
      <c r="T179" s="16" t="n"/>
      <c r="U179" s="16" t="n"/>
      <c r="V179" s="158" t="n"/>
      <c r="W179" s="16" t="n"/>
      <c r="X179" s="18" t="n"/>
      <c r="Y179" s="18" t="n"/>
      <c r="Z179" s="18" t="n"/>
      <c r="AA179" s="18" t="n"/>
      <c r="AB179" s="18" t="n"/>
      <c r="AC179" s="18" t="n"/>
      <c r="AD179" s="18" t="n"/>
      <c r="AE179" s="18" t="n"/>
      <c r="AF179" s="18" t="n"/>
      <c r="AG179" s="18" t="n"/>
      <c r="AH179" s="18" t="n"/>
      <c r="AI179" s="18" t="n"/>
    </row>
    <row r="180">
      <c r="A180" s="9" t="n">
        <v>202012</v>
      </c>
      <c r="B180" s="10">
        <f>LEFT(creditcard[[#This Row],[YYYYMM]],4)</f>
        <v/>
      </c>
      <c r="C180" s="10">
        <f>RIGHT(creditcard[[#This Row],[YYYYMM]],2)</f>
        <v/>
      </c>
      <c r="D180" s="10">
        <f>IF(RIGHT(creditcard[[#This Row],[YYYYMM]],2)="--","--","Q"&amp;ROUNDUP(VALUE(RIGHT(creditcard[[#This Row],[YYYYMM]],2))/3,0))</f>
        <v/>
      </c>
      <c r="E180" s="10" t="n">
        <v>3</v>
      </c>
      <c r="F180" s="151" t="inlineStr">
        <is>
          <t>國泰</t>
        </is>
      </c>
      <c r="G180" s="152" t="inlineStr">
        <is>
          <t>03 國泰</t>
        </is>
      </c>
      <c r="H180" s="153" t="n">
        <v>7115437</v>
      </c>
      <c r="I180" s="153" t="n">
        <v>5134530</v>
      </c>
      <c r="J180" s="153" t="n">
        <v>65735</v>
      </c>
      <c r="K180" s="153" t="n">
        <v>36464</v>
      </c>
      <c r="L180" s="153" t="n">
        <v>18133.686</v>
      </c>
      <c r="M180" s="11" t="n"/>
      <c r="N180" s="153" t="n">
        <v>53623.061</v>
      </c>
      <c r="O180" s="11" t="n"/>
      <c r="P180" s="11" t="n"/>
      <c r="Q180" s="12" t="n"/>
      <c r="R180" s="11" t="n"/>
      <c r="S180" s="11" t="n"/>
      <c r="T180" s="11" t="n"/>
      <c r="U180" s="11" t="n"/>
      <c r="V180" s="154" t="n"/>
      <c r="W180" s="11" t="n"/>
      <c r="X180" s="13" t="n"/>
      <c r="Y180" s="13" t="n"/>
      <c r="Z180" s="13" t="n"/>
      <c r="AA180" s="13" t="n"/>
      <c r="AB180" s="13" t="n"/>
      <c r="AC180" s="13" t="n"/>
      <c r="AD180" s="13" t="n"/>
      <c r="AE180" s="13" t="n"/>
      <c r="AF180" s="13" t="n"/>
      <c r="AG180" s="13" t="n"/>
      <c r="AH180" s="13" t="n"/>
      <c r="AI180" s="13" t="n"/>
    </row>
    <row r="181">
      <c r="A181" s="14" t="n">
        <v>202012</v>
      </c>
      <c r="B181" s="15">
        <f>LEFT(creditcard[[#This Row],[YYYYMM]],4)</f>
        <v/>
      </c>
      <c r="C181" s="15">
        <f>RIGHT(creditcard[[#This Row],[YYYYMM]],2)</f>
        <v/>
      </c>
      <c r="D181" s="15">
        <f>IF(RIGHT(creditcard[[#This Row],[YYYYMM]],2)="--","--","Q"&amp;ROUNDUP(VALUE(RIGHT(creditcard[[#This Row],[YYYYMM]],2))/3,0))</f>
        <v/>
      </c>
      <c r="E181" s="15" t="n">
        <v>4</v>
      </c>
      <c r="F181" s="155" t="inlineStr">
        <is>
          <t>玉山</t>
        </is>
      </c>
      <c r="G181" s="156" t="inlineStr">
        <is>
          <t>04 玉山</t>
        </is>
      </c>
      <c r="H181" s="157" t="n">
        <v>6346283</v>
      </c>
      <c r="I181" s="157" t="n">
        <v>4488251</v>
      </c>
      <c r="J181" s="157" t="n">
        <v>48950</v>
      </c>
      <c r="K181" s="157" t="n">
        <v>23721</v>
      </c>
      <c r="L181" s="157" t="n">
        <v>12818.988</v>
      </c>
      <c r="M181" s="16" t="n"/>
      <c r="N181" s="157" t="n">
        <v>41247.881</v>
      </c>
      <c r="O181" s="16" t="n"/>
      <c r="P181" s="16" t="n"/>
      <c r="Q181" s="17" t="n"/>
      <c r="R181" s="16" t="n"/>
      <c r="S181" s="16" t="n"/>
      <c r="T181" s="16" t="n"/>
      <c r="U181" s="16" t="n"/>
      <c r="V181" s="158" t="n"/>
      <c r="W181" s="16" t="n"/>
      <c r="X181" s="18" t="n"/>
      <c r="Y181" s="18" t="n"/>
      <c r="Z181" s="18" t="n"/>
      <c r="AA181" s="18" t="n"/>
      <c r="AB181" s="18" t="n"/>
      <c r="AC181" s="18" t="n"/>
      <c r="AD181" s="18" t="n"/>
      <c r="AE181" s="18" t="n"/>
      <c r="AF181" s="18" t="n"/>
      <c r="AG181" s="18" t="n"/>
      <c r="AH181" s="18" t="n"/>
      <c r="AI181" s="18" t="n"/>
    </row>
    <row r="182">
      <c r="A182" s="9" t="n">
        <v>202012</v>
      </c>
      <c r="B182" s="10">
        <f>LEFT(creditcard[[#This Row],[YYYYMM]],4)</f>
        <v/>
      </c>
      <c r="C182" s="10">
        <f>RIGHT(creditcard[[#This Row],[YYYYMM]],2)</f>
        <v/>
      </c>
      <c r="D182" s="10">
        <f>IF(RIGHT(creditcard[[#This Row],[YYYYMM]],2)="--","--","Q"&amp;ROUNDUP(VALUE(RIGHT(creditcard[[#This Row],[YYYYMM]],2))/3,0))</f>
        <v/>
      </c>
      <c r="E182" s="10" t="n">
        <v>5</v>
      </c>
      <c r="F182" s="151" t="inlineStr">
        <is>
          <t>台新</t>
        </is>
      </c>
      <c r="G182" s="152" t="inlineStr">
        <is>
          <t>05 台新</t>
        </is>
      </c>
      <c r="H182" s="153" t="n">
        <v>5730768</v>
      </c>
      <c r="I182" s="153" t="n">
        <v>4016276</v>
      </c>
      <c r="J182" s="153" t="n">
        <v>63771</v>
      </c>
      <c r="K182" s="153" t="n">
        <v>29231</v>
      </c>
      <c r="L182" s="153" t="n">
        <v>10452.764</v>
      </c>
      <c r="M182" s="11" t="n"/>
      <c r="N182" s="153" t="n">
        <v>30769.489</v>
      </c>
      <c r="O182" s="11" t="n"/>
      <c r="P182" s="11" t="n"/>
      <c r="Q182" s="12" t="n"/>
      <c r="R182" s="11" t="n"/>
      <c r="S182" s="11" t="n"/>
      <c r="T182" s="11" t="n"/>
      <c r="U182" s="11" t="n"/>
      <c r="V182" s="154" t="n"/>
      <c r="W182" s="11" t="n"/>
      <c r="X182" s="13" t="n"/>
      <c r="Y182" s="13" t="n"/>
      <c r="Z182" s="13" t="n"/>
      <c r="AA182" s="13" t="n"/>
      <c r="AB182" s="13" t="n"/>
      <c r="AC182" s="13" t="n"/>
      <c r="AD182" s="13" t="n"/>
      <c r="AE182" s="13" t="n"/>
      <c r="AF182" s="13" t="n"/>
      <c r="AG182" s="13" t="n"/>
      <c r="AH182" s="13" t="n"/>
      <c r="AI182" s="13" t="n"/>
    </row>
    <row r="183">
      <c r="A183" s="14" t="n">
        <v>202012</v>
      </c>
      <c r="B183" s="15">
        <f>LEFT(creditcard[[#This Row],[YYYYMM]],4)</f>
        <v/>
      </c>
      <c r="C183" s="15">
        <f>RIGHT(creditcard[[#This Row],[YYYYMM]],2)</f>
        <v/>
      </c>
      <c r="D183" s="15">
        <f>IF(RIGHT(creditcard[[#This Row],[YYYYMM]],2)="--","--","Q"&amp;ROUNDUP(VALUE(RIGHT(creditcard[[#This Row],[YYYYMM]],2))/3,0))</f>
        <v/>
      </c>
      <c r="E183" s="15" t="n">
        <v>6</v>
      </c>
      <c r="F183" s="155" t="inlineStr">
        <is>
          <t>星展</t>
        </is>
      </c>
      <c r="G183" s="156" t="inlineStr">
        <is>
          <t>06 星展</t>
        </is>
      </c>
      <c r="H183" s="157" t="n">
        <v>607125</v>
      </c>
      <c r="I183" s="157" t="n">
        <v>327609</v>
      </c>
      <c r="J183" s="157" t="n">
        <v>5463</v>
      </c>
      <c r="K183" s="157" t="n">
        <v>5457</v>
      </c>
      <c r="L183" s="157" t="n">
        <v>1361</v>
      </c>
      <c r="M183" s="16" t="n"/>
      <c r="N183" s="157" t="n">
        <v>3356</v>
      </c>
      <c r="O183" s="16" t="n"/>
      <c r="P183" s="16" t="n"/>
      <c r="Q183" s="17" t="n"/>
      <c r="R183" s="16" t="n"/>
      <c r="S183" s="16" t="n"/>
      <c r="T183" s="16" t="n"/>
      <c r="U183" s="16" t="n"/>
      <c r="V183" s="158" t="n"/>
      <c r="W183" s="16" t="n"/>
      <c r="X183" s="18" t="n"/>
      <c r="Y183" s="18" t="n"/>
      <c r="Z183" s="18" t="n"/>
      <c r="AA183" s="18" t="n"/>
      <c r="AB183" s="18" t="n"/>
      <c r="AC183" s="18" t="n"/>
      <c r="AD183" s="18" t="n"/>
      <c r="AE183" s="18" t="n"/>
      <c r="AF183" s="18" t="n"/>
      <c r="AG183" s="18" t="n"/>
      <c r="AH183" s="18" t="n"/>
      <c r="AI183" s="18" t="n"/>
    </row>
    <row r="184">
      <c r="A184" s="9" t="n">
        <v>202012</v>
      </c>
      <c r="B184" s="10">
        <f>LEFT(creditcard[[#This Row],[YYYYMM]],4)</f>
        <v/>
      </c>
      <c r="C184" s="10">
        <f>RIGHT(creditcard[[#This Row],[YYYYMM]],2)</f>
        <v/>
      </c>
      <c r="D184" s="10">
        <f>IF(RIGHT(creditcard[[#This Row],[YYYYMM]],2)="--","--","Q"&amp;ROUNDUP(VALUE(RIGHT(creditcard[[#This Row],[YYYYMM]],2))/3,0))</f>
        <v/>
      </c>
      <c r="E184" s="10" t="n">
        <v>7</v>
      </c>
      <c r="F184" s="151" t="inlineStr">
        <is>
          <t>聯邦</t>
        </is>
      </c>
      <c r="G184" s="152" t="inlineStr">
        <is>
          <t>07 聯邦</t>
        </is>
      </c>
      <c r="H184" s="153" t="n">
        <v>2243665</v>
      </c>
      <c r="I184" s="153" t="n">
        <v>1322987</v>
      </c>
      <c r="J184" s="153" t="n">
        <v>22882</v>
      </c>
      <c r="K184" s="153" t="n">
        <v>12640</v>
      </c>
      <c r="L184" s="153" t="n">
        <v>5738.451</v>
      </c>
      <c r="M184" s="11" t="n"/>
      <c r="N184" s="153" t="n">
        <v>9897.642</v>
      </c>
      <c r="O184" s="11" t="n"/>
      <c r="P184" s="11" t="n"/>
      <c r="Q184" s="12" t="n"/>
      <c r="R184" s="11" t="n"/>
      <c r="S184" s="11" t="n"/>
      <c r="T184" s="11" t="n"/>
      <c r="U184" s="11" t="n"/>
      <c r="V184" s="154" t="n"/>
      <c r="W184" s="11" t="n"/>
      <c r="X184" s="13" t="n"/>
      <c r="Y184" s="13" t="n"/>
      <c r="Z184" s="13" t="n"/>
      <c r="AA184" s="13" t="n"/>
      <c r="AB184" s="13" t="n"/>
      <c r="AC184" s="13" t="n"/>
      <c r="AD184" s="13" t="n"/>
      <c r="AE184" s="13" t="n"/>
      <c r="AF184" s="13" t="n"/>
      <c r="AG184" s="13" t="n"/>
      <c r="AH184" s="13" t="n"/>
      <c r="AI184" s="13" t="n"/>
    </row>
    <row r="185">
      <c r="A185" s="14" t="n">
        <v>202012</v>
      </c>
      <c r="B185" s="15">
        <f>LEFT(creditcard[[#This Row],[YYYYMM]],4)</f>
        <v/>
      </c>
      <c r="C185" s="15">
        <f>RIGHT(creditcard[[#This Row],[YYYYMM]],2)</f>
        <v/>
      </c>
      <c r="D185" s="15">
        <f>IF(RIGHT(creditcard[[#This Row],[YYYYMM]],2)="--","--","Q"&amp;ROUNDUP(VALUE(RIGHT(creditcard[[#This Row],[YYYYMM]],2))/3,0))</f>
        <v/>
      </c>
      <c r="E185" s="15" t="n">
        <v>8</v>
      </c>
      <c r="F185" s="155" t="inlineStr">
        <is>
          <t>永豐</t>
        </is>
      </c>
      <c r="G185" s="156" t="inlineStr">
        <is>
          <t>08 永豐</t>
        </is>
      </c>
      <c r="H185" s="157" t="n">
        <v>2062091</v>
      </c>
      <c r="I185" s="157" t="n">
        <v>1108933</v>
      </c>
      <c r="J185" s="157" t="n">
        <v>17675</v>
      </c>
      <c r="K185" s="157" t="n">
        <v>34865</v>
      </c>
      <c r="L185" s="157" t="n">
        <v>4083.287</v>
      </c>
      <c r="M185" s="16" t="n"/>
      <c r="N185" s="157" t="n">
        <v>11122.72</v>
      </c>
      <c r="O185" s="16" t="n"/>
      <c r="P185" s="16" t="n"/>
      <c r="Q185" s="17" t="n"/>
      <c r="R185" s="16" t="n"/>
      <c r="S185" s="16" t="n"/>
      <c r="T185" s="16" t="n"/>
      <c r="U185" s="16" t="n"/>
      <c r="V185" s="158" t="n"/>
      <c r="W185" s="16" t="n"/>
      <c r="X185" s="18" t="n"/>
      <c r="Y185" s="18" t="n"/>
      <c r="Z185" s="18" t="n"/>
      <c r="AA185" s="18" t="n"/>
      <c r="AB185" s="18" t="n"/>
      <c r="AC185" s="18" t="n"/>
      <c r="AD185" s="18" t="n"/>
      <c r="AE185" s="18" t="n"/>
      <c r="AF185" s="18" t="n"/>
      <c r="AG185" s="18" t="n"/>
      <c r="AH185" s="18" t="n"/>
      <c r="AI185" s="18" t="n"/>
    </row>
    <row r="186">
      <c r="A186" s="9" t="n">
        <v>202012</v>
      </c>
      <c r="B186" s="10">
        <f>LEFT(creditcard[[#This Row],[YYYYMM]],4)</f>
        <v/>
      </c>
      <c r="C186" s="10">
        <f>RIGHT(creditcard[[#This Row],[YYYYMM]],2)</f>
        <v/>
      </c>
      <c r="D186" s="10">
        <f>IF(RIGHT(creditcard[[#This Row],[YYYYMM]],2)="--","--","Q"&amp;ROUNDUP(VALUE(RIGHT(creditcard[[#This Row],[YYYYMM]],2))/3,0))</f>
        <v/>
      </c>
      <c r="E186" s="10" t="n">
        <v>9</v>
      </c>
      <c r="F186" s="151" t="inlineStr">
        <is>
          <t>第一</t>
        </is>
      </c>
      <c r="G186" s="152" t="inlineStr">
        <is>
          <t>09 第一</t>
        </is>
      </c>
      <c r="H186" s="153" t="n">
        <v>1280384</v>
      </c>
      <c r="I186" s="153" t="n">
        <v>778382</v>
      </c>
      <c r="J186" s="153" t="n">
        <v>14719</v>
      </c>
      <c r="K186" s="153" t="n">
        <v>14207</v>
      </c>
      <c r="L186" s="153" t="n">
        <v>1463</v>
      </c>
      <c r="M186" s="11" t="n"/>
      <c r="N186" s="153" t="n">
        <v>5090</v>
      </c>
      <c r="O186" s="11" t="n"/>
      <c r="P186" s="11" t="n"/>
      <c r="Q186" s="12" t="n"/>
      <c r="R186" s="11" t="n"/>
      <c r="S186" s="11" t="n"/>
      <c r="T186" s="11" t="n"/>
      <c r="U186" s="11" t="n"/>
      <c r="V186" s="154" t="n"/>
      <c r="W186" s="11" t="n"/>
      <c r="X186" s="13" t="n"/>
      <c r="Y186" s="13" t="n"/>
      <c r="Z186" s="13" t="n"/>
      <c r="AA186" s="13" t="n"/>
      <c r="AB186" s="13" t="n"/>
      <c r="AC186" s="13" t="n"/>
      <c r="AD186" s="13" t="n"/>
      <c r="AE186" s="13" t="n"/>
      <c r="AF186" s="13" t="n"/>
      <c r="AG186" s="13" t="n"/>
      <c r="AH186" s="13" t="n"/>
      <c r="AI186" s="13" t="n"/>
    </row>
    <row r="187">
      <c r="A187" s="14" t="n">
        <v>202012</v>
      </c>
      <c r="B187" s="15">
        <f>LEFT(creditcard[[#This Row],[YYYYMM]],4)</f>
        <v/>
      </c>
      <c r="C187" s="15">
        <f>RIGHT(creditcard[[#This Row],[YYYYMM]],2)</f>
        <v/>
      </c>
      <c r="D187" s="15">
        <f>IF(RIGHT(creditcard[[#This Row],[YYYYMM]],2)="--","--","Q"&amp;ROUNDUP(VALUE(RIGHT(creditcard[[#This Row],[YYYYMM]],2))/3,0))</f>
        <v/>
      </c>
      <c r="E187" s="15" t="n">
        <v>10</v>
      </c>
      <c r="F187" s="155" t="inlineStr">
        <is>
          <t>遠東</t>
        </is>
      </c>
      <c r="G187" s="156" t="inlineStr">
        <is>
          <t>10 遠東</t>
        </is>
      </c>
      <c r="H187" s="157" t="n">
        <v>1626660</v>
      </c>
      <c r="I187" s="157" t="n">
        <v>1048521</v>
      </c>
      <c r="J187" s="157" t="n">
        <v>10014</v>
      </c>
      <c r="K187" s="157" t="n">
        <v>22967</v>
      </c>
      <c r="L187" s="157" t="n">
        <v>3983.607</v>
      </c>
      <c r="M187" s="16" t="n"/>
      <c r="N187" s="157" t="n">
        <v>4897.955</v>
      </c>
      <c r="O187" s="16" t="n"/>
      <c r="P187" s="16" t="n"/>
      <c r="Q187" s="17" t="n"/>
      <c r="R187" s="16" t="n"/>
      <c r="S187" s="16" t="n"/>
      <c r="T187" s="16" t="n"/>
      <c r="U187" s="16" t="n"/>
      <c r="V187" s="158" t="n"/>
      <c r="W187" s="16" t="n"/>
      <c r="X187" s="18" t="n"/>
      <c r="Y187" s="18" t="n"/>
      <c r="Z187" s="18" t="n"/>
      <c r="AA187" s="18" t="n"/>
      <c r="AB187" s="18" t="n"/>
      <c r="AC187" s="18" t="n"/>
      <c r="AD187" s="18" t="n"/>
      <c r="AE187" s="18" t="n"/>
      <c r="AF187" s="18" t="n"/>
      <c r="AG187" s="18" t="n"/>
      <c r="AH187" s="18" t="n"/>
      <c r="AI187" s="18" t="n"/>
    </row>
    <row r="188">
      <c r="A188" s="9" t="n">
        <v>202012</v>
      </c>
      <c r="B188" s="10">
        <f>LEFT(creditcard[[#This Row],[YYYYMM]],4)</f>
        <v/>
      </c>
      <c r="C188" s="10">
        <f>RIGHT(creditcard[[#This Row],[YYYYMM]],2)</f>
        <v/>
      </c>
      <c r="D188" s="10">
        <f>IF(RIGHT(creditcard[[#This Row],[YYYYMM]],2)="--","--","Q"&amp;ROUNDUP(VALUE(RIGHT(creditcard[[#This Row],[YYYYMM]],2))/3,0))</f>
        <v/>
      </c>
      <c r="E188" s="10" t="n">
        <v>11</v>
      </c>
      <c r="F188" s="151" t="inlineStr">
        <is>
          <t>市場總計</t>
        </is>
      </c>
      <c r="G188" s="152" t="inlineStr">
        <is>
          <t>11 市場總計</t>
        </is>
      </c>
      <c r="H188" s="153" t="n">
        <v>50116397</v>
      </c>
      <c r="I188" s="153" t="n">
        <v>33004316</v>
      </c>
      <c r="J188" s="153" t="n">
        <v>482669</v>
      </c>
      <c r="K188" s="153" t="n">
        <v>356102</v>
      </c>
      <c r="L188" s="153" t="n">
        <v>105615.288</v>
      </c>
      <c r="M188" s="11" t="n"/>
      <c r="N188" s="153" t="n">
        <v>295757.329</v>
      </c>
      <c r="O188" s="11" t="n"/>
      <c r="P188" s="11" t="n"/>
      <c r="Q188" s="12" t="n"/>
      <c r="R188" s="11" t="n"/>
      <c r="S188" s="11" t="n"/>
      <c r="T188" s="11" t="n"/>
      <c r="U188" s="11" t="n"/>
      <c r="V188" s="154" t="n">
        <v>4.29</v>
      </c>
      <c r="W188" s="11">
        <f>SUMIFS(H:H,A:A,creditcard[[#This Row],[YYYYMM]],G:G,creditcard[[#This Row],[Item]])</f>
        <v/>
      </c>
      <c r="X188" s="4">
        <f>IFERROR(SUMIFS(H:H,A:A,creditcard[[#This Row],[YYYYMM]],E:E,"&lt;=5")/creditcard[[#This Row],[市場總計]],"")</f>
        <v/>
      </c>
      <c r="Y188" s="4">
        <f>IFERROR(SUMIFS(H:H,A:A,creditcard[[#This Row],[YYYYMM]],E:E,"&lt;=10")/creditcard[[#This Row],[市場總計]],"")</f>
        <v/>
      </c>
      <c r="Z188" s="4">
        <f>IFERROR(SUMIFS(I:I,A:A,creditcard[[#This Row],[YYYYMM]],E:E,"&lt;=5")/creditcard[[#This Row],[有效卡數]],"")</f>
        <v/>
      </c>
      <c r="AA188" s="4">
        <f>IFERROR(SUMIFS(I:I,A:A,creditcard[[#This Row],[YYYYMM]],E:E,"&lt;=10")/creditcard[[#This Row],[有效卡數]],"")</f>
        <v/>
      </c>
      <c r="AB188" s="4">
        <f>IFERROR(SUMIFS(J:J,A:A,creditcard[[#This Row],[YYYYMM]],E:E,"&lt;=5")/creditcard[[#This Row],[當月發卡數]],"")</f>
        <v/>
      </c>
      <c r="AC188" s="4">
        <f>IFERROR(SUMIFS(J:J,A:A,creditcard[[#This Row],[YYYYMM]],E:E,"&lt;=10")/creditcard[[#This Row],[當月發卡數]],"")</f>
        <v/>
      </c>
      <c r="AD188" s="4">
        <f>IFERROR(SUMIFS(K:K,A:A,creditcard[[#This Row],[YYYYMM]],E:E,"&lt;=5")/creditcard[[#This Row],[當月停卡數]],"")</f>
        <v/>
      </c>
      <c r="AE188" s="4">
        <f>IFERROR(SUMIFS(K:K,A:A,creditcard[[#This Row],[YYYYMM]],E:E,"&lt;=10")/creditcard[[#This Row],[當月停卡數]],"")</f>
        <v/>
      </c>
      <c r="AF188" s="4">
        <f>IFERROR(SUMIFS(L:L,A:A,creditcard[[#This Row],[YYYYMM]],E:E,"&lt;=5")/creditcard[[#This Row],[循環信用餘額]],"")</f>
        <v/>
      </c>
      <c r="AG188" s="4">
        <f>IFERROR(SUMIFS(L:L,A:A,creditcard[[#This Row],[YYYYMM]],E:E,"&lt;=10")/creditcard[[#This Row],[循環信用餘額]],"")</f>
        <v/>
      </c>
      <c r="AH188" s="4">
        <f>IFERROR(SUMIFS(N:N,A:A,creditcard[[#This Row],[YYYYMM]],E:E,"&lt;=5")/creditcard[[#This Row],[當月簽帳金額]],"")</f>
        <v/>
      </c>
      <c r="AI188" s="4">
        <f>IFERROR(SUMIFS(N:N,A:A,creditcard[[#This Row],[YYYYMM]],E:E,"&lt;=10")/creditcard[[#This Row],[當月簽帳金額]],"")</f>
        <v/>
      </c>
    </row>
    <row r="189">
      <c r="A189" s="14" t="inlineStr">
        <is>
          <t>2020--</t>
        </is>
      </c>
      <c r="B189" s="15">
        <f>LEFT(creditcard[[#This Row],[YYYYMM]],4)</f>
        <v/>
      </c>
      <c r="C189" s="15">
        <f>RIGHT(creditcard[[#This Row],[YYYYMM]],2)</f>
        <v/>
      </c>
      <c r="D189" s="15">
        <f>IF(RIGHT(creditcard[[#This Row],[YYYYMM]],2)="--","--","Q"&amp;ROUNDUP(VALUE(RIGHT(creditcard[[#This Row],[YYYYMM]],2))/3,0))</f>
        <v/>
      </c>
      <c r="E189" s="15" t="n">
        <v>1</v>
      </c>
      <c r="F189" s="155" t="inlineStr">
        <is>
          <t>中信</t>
        </is>
      </c>
      <c r="G189" s="156" t="inlineStr">
        <is>
          <t>01 中信</t>
        </is>
      </c>
      <c r="H189" s="157" t="n">
        <v>7281706</v>
      </c>
      <c r="I189" s="157" t="n">
        <v>4722215</v>
      </c>
      <c r="J189" s="157" t="n">
        <v>832691</v>
      </c>
      <c r="K189" s="157" t="n">
        <v>423786</v>
      </c>
      <c r="L189" s="157" t="n">
        <v>16341.46</v>
      </c>
      <c r="M189" s="16" t="n"/>
      <c r="N189" s="157" t="n">
        <v>450599.696</v>
      </c>
      <c r="O189" s="16" t="n"/>
      <c r="P189" s="16" t="n"/>
      <c r="Q189" s="17" t="n"/>
      <c r="R189" s="16" t="n"/>
      <c r="S189" s="16" t="n"/>
      <c r="T189" s="16" t="n"/>
      <c r="U189" s="16" t="n"/>
      <c r="V189" s="158" t="n"/>
      <c r="W189" s="16" t="n"/>
      <c r="X189" s="18" t="n"/>
      <c r="Y189" s="18" t="n"/>
      <c r="Z189" s="18" t="n"/>
      <c r="AA189" s="18" t="n"/>
      <c r="AB189" s="18" t="n"/>
      <c r="AC189" s="18" t="n"/>
      <c r="AD189" s="18" t="n"/>
      <c r="AE189" s="18" t="n"/>
      <c r="AF189" s="18" t="n"/>
      <c r="AG189" s="18" t="n"/>
      <c r="AH189" s="18" t="n"/>
      <c r="AI189" s="18" t="n"/>
    </row>
    <row r="190">
      <c r="A190" s="9" t="inlineStr">
        <is>
          <t>2020--</t>
        </is>
      </c>
      <c r="B190" s="10">
        <f>LEFT(creditcard[[#This Row],[YYYYMM]],4)</f>
        <v/>
      </c>
      <c r="C190" s="10">
        <f>RIGHT(creditcard[[#This Row],[YYYYMM]],2)</f>
        <v/>
      </c>
      <c r="D190" s="10">
        <f>IF(RIGHT(creditcard[[#This Row],[YYYYMM]],2)="--","--","Q"&amp;ROUNDUP(VALUE(RIGHT(creditcard[[#This Row],[YYYYMM]],2))/3,0))</f>
        <v/>
      </c>
      <c r="E190" s="10" t="n">
        <v>2</v>
      </c>
      <c r="F190" s="151" t="inlineStr">
        <is>
          <t>富邦</t>
        </is>
      </c>
      <c r="G190" s="152" t="inlineStr">
        <is>
          <t>02 富邦</t>
        </is>
      </c>
      <c r="H190" s="153" t="n">
        <v>3855965</v>
      </c>
      <c r="I190" s="153" t="n">
        <v>2571152</v>
      </c>
      <c r="J190" s="153" t="n">
        <v>816186</v>
      </c>
      <c r="K190" s="153" t="n">
        <v>248460</v>
      </c>
      <c r="L190" s="153" t="n">
        <v>5587.439</v>
      </c>
      <c r="M190" s="11" t="n"/>
      <c r="N190" s="153" t="n">
        <v>280720.64</v>
      </c>
      <c r="O190" s="11" t="n"/>
      <c r="P190" s="11" t="n"/>
      <c r="Q190" s="12" t="n"/>
      <c r="R190" s="11" t="n"/>
      <c r="S190" s="11" t="n"/>
      <c r="T190" s="11" t="n"/>
      <c r="U190" s="11" t="n"/>
      <c r="V190" s="154" t="n"/>
      <c r="W190" s="11" t="n"/>
      <c r="X190" s="13" t="n"/>
      <c r="Y190" s="13" t="n"/>
      <c r="Z190" s="13" t="n"/>
      <c r="AA190" s="13" t="n"/>
      <c r="AB190" s="13" t="n"/>
      <c r="AC190" s="13" t="n"/>
      <c r="AD190" s="13" t="n"/>
      <c r="AE190" s="13" t="n"/>
      <c r="AF190" s="13" t="n"/>
      <c r="AG190" s="13" t="n"/>
      <c r="AH190" s="13" t="n"/>
      <c r="AI190" s="13" t="n"/>
    </row>
    <row r="191">
      <c r="A191" s="14" t="inlineStr">
        <is>
          <t>2020--</t>
        </is>
      </c>
      <c r="B191" s="15">
        <f>LEFT(creditcard[[#This Row],[YYYYMM]],4)</f>
        <v/>
      </c>
      <c r="C191" s="15">
        <f>RIGHT(creditcard[[#This Row],[YYYYMM]],2)</f>
        <v/>
      </c>
      <c r="D191" s="15">
        <f>IF(RIGHT(creditcard[[#This Row],[YYYYMM]],2)="--","--","Q"&amp;ROUNDUP(VALUE(RIGHT(creditcard[[#This Row],[YYYYMM]],2))/3,0))</f>
        <v/>
      </c>
      <c r="E191" s="15" t="n">
        <v>3</v>
      </c>
      <c r="F191" s="155" t="inlineStr">
        <is>
          <t>國泰</t>
        </is>
      </c>
      <c r="G191" s="156" t="inlineStr">
        <is>
          <t>03 國泰</t>
        </is>
      </c>
      <c r="H191" s="157" t="n">
        <v>7115437</v>
      </c>
      <c r="I191" s="157" t="n">
        <v>5134530</v>
      </c>
      <c r="J191" s="157" t="n">
        <v>762645</v>
      </c>
      <c r="K191" s="157" t="n">
        <v>381437</v>
      </c>
      <c r="L191" s="157" t="n">
        <v>18133.686</v>
      </c>
      <c r="M191" s="16" t="n"/>
      <c r="N191" s="157" t="n">
        <v>490936.199</v>
      </c>
      <c r="O191" s="16" t="n"/>
      <c r="P191" s="16" t="n"/>
      <c r="Q191" s="17" t="n"/>
      <c r="R191" s="16" t="n"/>
      <c r="S191" s="16" t="n"/>
      <c r="T191" s="16" t="n"/>
      <c r="U191" s="16" t="n"/>
      <c r="V191" s="158" t="n"/>
      <c r="W191" s="16" t="n"/>
      <c r="X191" s="18" t="n"/>
      <c r="Y191" s="18" t="n"/>
      <c r="Z191" s="18" t="n"/>
      <c r="AA191" s="18" t="n"/>
      <c r="AB191" s="18" t="n"/>
      <c r="AC191" s="18" t="n"/>
      <c r="AD191" s="18" t="n"/>
      <c r="AE191" s="18" t="n"/>
      <c r="AF191" s="18" t="n"/>
      <c r="AG191" s="18" t="n"/>
      <c r="AH191" s="18" t="n"/>
      <c r="AI191" s="18" t="n"/>
    </row>
    <row r="192">
      <c r="A192" s="9" t="inlineStr">
        <is>
          <t>2020--</t>
        </is>
      </c>
      <c r="B192" s="10">
        <f>LEFT(creditcard[[#This Row],[YYYYMM]],4)</f>
        <v/>
      </c>
      <c r="C192" s="10">
        <f>RIGHT(creditcard[[#This Row],[YYYYMM]],2)</f>
        <v/>
      </c>
      <c r="D192" s="10">
        <f>IF(RIGHT(creditcard[[#This Row],[YYYYMM]],2)="--","--","Q"&amp;ROUNDUP(VALUE(RIGHT(creditcard[[#This Row],[YYYYMM]],2))/3,0))</f>
        <v/>
      </c>
      <c r="E192" s="10" t="n">
        <v>4</v>
      </c>
      <c r="F192" s="151" t="inlineStr">
        <is>
          <t>玉山</t>
        </is>
      </c>
      <c r="G192" s="152" t="inlineStr">
        <is>
          <t>04 玉山</t>
        </is>
      </c>
      <c r="H192" s="153" t="n">
        <v>6346283</v>
      </c>
      <c r="I192" s="153" t="n">
        <v>4488251</v>
      </c>
      <c r="J192" s="153" t="n">
        <v>822744</v>
      </c>
      <c r="K192" s="153" t="n">
        <v>300533</v>
      </c>
      <c r="L192" s="153" t="n">
        <v>12818.988</v>
      </c>
      <c r="M192" s="11" t="n"/>
      <c r="N192" s="153" t="n">
        <v>469569.758</v>
      </c>
      <c r="O192" s="11" t="n"/>
      <c r="P192" s="11" t="n"/>
      <c r="Q192" s="12" t="n"/>
      <c r="R192" s="11" t="n"/>
      <c r="S192" s="11" t="n"/>
      <c r="T192" s="11" t="n"/>
      <c r="U192" s="11" t="n"/>
      <c r="V192" s="154" t="n"/>
      <c r="W192" s="11" t="n"/>
      <c r="X192" s="13" t="n"/>
      <c r="Y192" s="13" t="n"/>
      <c r="Z192" s="13" t="n"/>
      <c r="AA192" s="13" t="n"/>
      <c r="AB192" s="13" t="n"/>
      <c r="AC192" s="13" t="n"/>
      <c r="AD192" s="13" t="n"/>
      <c r="AE192" s="13" t="n"/>
      <c r="AF192" s="13" t="n"/>
      <c r="AG192" s="13" t="n"/>
      <c r="AH192" s="13" t="n"/>
      <c r="AI192" s="13" t="n"/>
    </row>
    <row r="193">
      <c r="A193" s="14" t="inlineStr">
        <is>
          <t>2020--</t>
        </is>
      </c>
      <c r="B193" s="15">
        <f>LEFT(creditcard[[#This Row],[YYYYMM]],4)</f>
        <v/>
      </c>
      <c r="C193" s="15">
        <f>RIGHT(creditcard[[#This Row],[YYYYMM]],2)</f>
        <v/>
      </c>
      <c r="D193" s="15">
        <f>IF(RIGHT(creditcard[[#This Row],[YYYYMM]],2)="--","--","Q"&amp;ROUNDUP(VALUE(RIGHT(creditcard[[#This Row],[YYYYMM]],2))/3,0))</f>
        <v/>
      </c>
      <c r="E193" s="15" t="n">
        <v>5</v>
      </c>
      <c r="F193" s="155" t="inlineStr">
        <is>
          <t>台新</t>
        </is>
      </c>
      <c r="G193" s="156" t="inlineStr">
        <is>
          <t>05 台新</t>
        </is>
      </c>
      <c r="H193" s="157" t="n">
        <v>5730768</v>
      </c>
      <c r="I193" s="157" t="n">
        <v>4016276</v>
      </c>
      <c r="J193" s="157" t="n">
        <v>699553</v>
      </c>
      <c r="K193" s="157" t="n">
        <v>322272</v>
      </c>
      <c r="L193" s="157" t="n">
        <v>10452.764</v>
      </c>
      <c r="M193" s="16" t="n"/>
      <c r="N193" s="157" t="n">
        <v>341627.263</v>
      </c>
      <c r="O193" s="16" t="n"/>
      <c r="P193" s="16" t="n"/>
      <c r="Q193" s="17" t="n"/>
      <c r="R193" s="16" t="n"/>
      <c r="S193" s="16" t="n"/>
      <c r="T193" s="16" t="n"/>
      <c r="U193" s="16" t="n"/>
      <c r="V193" s="158" t="n"/>
      <c r="W193" s="16" t="n"/>
      <c r="X193" s="18" t="n"/>
      <c r="Y193" s="18" t="n"/>
      <c r="Z193" s="18" t="n"/>
      <c r="AA193" s="18" t="n"/>
      <c r="AB193" s="18" t="n"/>
      <c r="AC193" s="18" t="n"/>
      <c r="AD193" s="18" t="n"/>
      <c r="AE193" s="18" t="n"/>
      <c r="AF193" s="18" t="n"/>
      <c r="AG193" s="18" t="n"/>
      <c r="AH193" s="18" t="n"/>
      <c r="AI193" s="18" t="n"/>
    </row>
    <row r="194">
      <c r="A194" s="9" t="inlineStr">
        <is>
          <t>2020--</t>
        </is>
      </c>
      <c r="B194" s="10">
        <f>LEFT(creditcard[[#This Row],[YYYYMM]],4)</f>
        <v/>
      </c>
      <c r="C194" s="10">
        <f>RIGHT(creditcard[[#This Row],[YYYYMM]],2)</f>
        <v/>
      </c>
      <c r="D194" s="10">
        <f>IF(RIGHT(creditcard[[#This Row],[YYYYMM]],2)="--","--","Q"&amp;ROUNDUP(VALUE(RIGHT(creditcard[[#This Row],[YYYYMM]],2))/3,0))</f>
        <v/>
      </c>
      <c r="E194" s="10" t="n">
        <v>6</v>
      </c>
      <c r="F194" s="151" t="inlineStr">
        <is>
          <t>星展</t>
        </is>
      </c>
      <c r="G194" s="152" t="inlineStr">
        <is>
          <t>06 星展</t>
        </is>
      </c>
      <c r="H194" s="153" t="n">
        <v>607125</v>
      </c>
      <c r="I194" s="153" t="n">
        <v>327609</v>
      </c>
      <c r="J194" s="153" t="n">
        <v>68365</v>
      </c>
      <c r="K194" s="153" t="n">
        <v>90974</v>
      </c>
      <c r="L194" s="153" t="n">
        <v>1361</v>
      </c>
      <c r="M194" s="11" t="n"/>
      <c r="N194" s="153" t="n">
        <v>34751</v>
      </c>
      <c r="O194" s="11" t="n"/>
      <c r="P194" s="11" t="n"/>
      <c r="Q194" s="12" t="n"/>
      <c r="R194" s="11" t="n"/>
      <c r="S194" s="11" t="n"/>
      <c r="T194" s="11" t="n"/>
      <c r="U194" s="11" t="n"/>
      <c r="V194" s="154" t="n"/>
      <c r="W194" s="11" t="n"/>
      <c r="X194" s="13" t="n"/>
      <c r="Y194" s="13" t="n"/>
      <c r="Z194" s="13" t="n"/>
      <c r="AA194" s="13" t="n"/>
      <c r="AB194" s="13" t="n"/>
      <c r="AC194" s="13" t="n"/>
      <c r="AD194" s="13" t="n"/>
      <c r="AE194" s="13" t="n"/>
      <c r="AF194" s="13" t="n"/>
      <c r="AG194" s="13" t="n"/>
      <c r="AH194" s="13" t="n"/>
      <c r="AI194" s="13" t="n"/>
    </row>
    <row r="195">
      <c r="A195" s="14" t="inlineStr">
        <is>
          <t>2020--</t>
        </is>
      </c>
      <c r="B195" s="15">
        <f>LEFT(creditcard[[#This Row],[YYYYMM]],4)</f>
        <v/>
      </c>
      <c r="C195" s="15">
        <f>RIGHT(creditcard[[#This Row],[YYYYMM]],2)</f>
        <v/>
      </c>
      <c r="D195" s="15">
        <f>IF(RIGHT(creditcard[[#This Row],[YYYYMM]],2)="--","--","Q"&amp;ROUNDUP(VALUE(RIGHT(creditcard[[#This Row],[YYYYMM]],2))/3,0))</f>
        <v/>
      </c>
      <c r="E195" s="15" t="n">
        <v>7</v>
      </c>
      <c r="F195" s="155" t="inlineStr">
        <is>
          <t>聯邦</t>
        </is>
      </c>
      <c r="G195" s="156" t="inlineStr">
        <is>
          <t>07 聯邦</t>
        </is>
      </c>
      <c r="H195" s="157" t="n">
        <v>2243665</v>
      </c>
      <c r="I195" s="157" t="n">
        <v>1322987</v>
      </c>
      <c r="J195" s="157" t="n">
        <v>354906</v>
      </c>
      <c r="K195" s="157" t="n">
        <v>273947</v>
      </c>
      <c r="L195" s="157" t="n">
        <v>5738.451</v>
      </c>
      <c r="M195" s="16" t="n"/>
      <c r="N195" s="157" t="n">
        <v>98783.451</v>
      </c>
      <c r="O195" s="16" t="n"/>
      <c r="P195" s="16" t="n"/>
      <c r="Q195" s="17" t="n"/>
      <c r="R195" s="16" t="n"/>
      <c r="S195" s="16" t="n"/>
      <c r="T195" s="16" t="n"/>
      <c r="U195" s="16" t="n"/>
      <c r="V195" s="158" t="n"/>
      <c r="W195" s="16" t="n"/>
      <c r="X195" s="18" t="n"/>
      <c r="Y195" s="18" t="n"/>
      <c r="Z195" s="18" t="n"/>
      <c r="AA195" s="18" t="n"/>
      <c r="AB195" s="18" t="n"/>
      <c r="AC195" s="18" t="n"/>
      <c r="AD195" s="18" t="n"/>
      <c r="AE195" s="18" t="n"/>
      <c r="AF195" s="18" t="n"/>
      <c r="AG195" s="18" t="n"/>
      <c r="AH195" s="18" t="n"/>
      <c r="AI195" s="18" t="n"/>
    </row>
    <row r="196">
      <c r="A196" s="9" t="inlineStr">
        <is>
          <t>2020--</t>
        </is>
      </c>
      <c r="B196" s="10">
        <f>LEFT(creditcard[[#This Row],[YYYYMM]],4)</f>
        <v/>
      </c>
      <c r="C196" s="10">
        <f>RIGHT(creditcard[[#This Row],[YYYYMM]],2)</f>
        <v/>
      </c>
      <c r="D196" s="10">
        <f>IF(RIGHT(creditcard[[#This Row],[YYYYMM]],2)="--","--","Q"&amp;ROUNDUP(VALUE(RIGHT(creditcard[[#This Row],[YYYYMM]],2))/3,0))</f>
        <v/>
      </c>
      <c r="E196" s="10" t="n">
        <v>8</v>
      </c>
      <c r="F196" s="151" t="inlineStr">
        <is>
          <t>永豐</t>
        </is>
      </c>
      <c r="G196" s="152" t="inlineStr">
        <is>
          <t>08 永豐</t>
        </is>
      </c>
      <c r="H196" s="153" t="n">
        <v>2062091</v>
      </c>
      <c r="I196" s="153" t="n">
        <v>1108933</v>
      </c>
      <c r="J196" s="153" t="n">
        <v>330509</v>
      </c>
      <c r="K196" s="153" t="n">
        <v>258369</v>
      </c>
      <c r="L196" s="153" t="n">
        <v>4083.287</v>
      </c>
      <c r="M196" s="11" t="n"/>
      <c r="N196" s="153" t="n">
        <v>108619.155</v>
      </c>
      <c r="O196" s="11" t="n"/>
      <c r="P196" s="11" t="n"/>
      <c r="Q196" s="12" t="n"/>
      <c r="R196" s="11" t="n"/>
      <c r="S196" s="11" t="n"/>
      <c r="T196" s="11" t="n"/>
      <c r="U196" s="11" t="n"/>
      <c r="V196" s="154" t="n"/>
      <c r="W196" s="11" t="n"/>
      <c r="X196" s="13" t="n"/>
      <c r="Y196" s="13" t="n"/>
      <c r="Z196" s="13" t="n"/>
      <c r="AA196" s="13" t="n"/>
      <c r="AB196" s="13" t="n"/>
      <c r="AC196" s="13" t="n"/>
      <c r="AD196" s="13" t="n"/>
      <c r="AE196" s="13" t="n"/>
      <c r="AF196" s="13" t="n"/>
      <c r="AG196" s="13" t="n"/>
      <c r="AH196" s="13" t="n"/>
      <c r="AI196" s="13" t="n"/>
    </row>
    <row r="197">
      <c r="A197" s="14" t="inlineStr">
        <is>
          <t>2020--</t>
        </is>
      </c>
      <c r="B197" s="15">
        <f>LEFT(creditcard[[#This Row],[YYYYMM]],4)</f>
        <v/>
      </c>
      <c r="C197" s="15">
        <f>RIGHT(creditcard[[#This Row],[YYYYMM]],2)</f>
        <v/>
      </c>
      <c r="D197" s="15">
        <f>IF(RIGHT(creditcard[[#This Row],[YYYYMM]],2)="--","--","Q"&amp;ROUNDUP(VALUE(RIGHT(creditcard[[#This Row],[YYYYMM]],2))/3,0))</f>
        <v/>
      </c>
      <c r="E197" s="15" t="n">
        <v>9</v>
      </c>
      <c r="F197" s="155" t="inlineStr">
        <is>
          <t>第一</t>
        </is>
      </c>
      <c r="G197" s="156" t="inlineStr">
        <is>
          <t>09 第一</t>
        </is>
      </c>
      <c r="H197" s="157" t="n">
        <v>1280384</v>
      </c>
      <c r="I197" s="157" t="n">
        <v>778382</v>
      </c>
      <c r="J197" s="157" t="n">
        <v>187245</v>
      </c>
      <c r="K197" s="157" t="n">
        <v>153754</v>
      </c>
      <c r="L197" s="157" t="n">
        <v>1463</v>
      </c>
      <c r="M197" s="16" t="n"/>
      <c r="N197" s="157" t="n">
        <v>51192</v>
      </c>
      <c r="O197" s="16" t="n"/>
      <c r="P197" s="16" t="n"/>
      <c r="Q197" s="17" t="n"/>
      <c r="R197" s="16" t="n"/>
      <c r="S197" s="16" t="n"/>
      <c r="T197" s="16" t="n"/>
      <c r="U197" s="16" t="n"/>
      <c r="V197" s="158" t="n"/>
      <c r="W197" s="16" t="n"/>
      <c r="X197" s="18" t="n"/>
      <c r="Y197" s="18" t="n"/>
      <c r="Z197" s="18" t="n"/>
      <c r="AA197" s="18" t="n"/>
      <c r="AB197" s="18" t="n"/>
      <c r="AC197" s="18" t="n"/>
      <c r="AD197" s="18" t="n"/>
      <c r="AE197" s="18" t="n"/>
      <c r="AF197" s="18" t="n"/>
      <c r="AG197" s="18" t="n"/>
      <c r="AH197" s="18" t="n"/>
      <c r="AI197" s="18" t="n"/>
    </row>
    <row r="198">
      <c r="A198" s="9" t="inlineStr">
        <is>
          <t>2020--</t>
        </is>
      </c>
      <c r="B198" s="10">
        <f>LEFT(creditcard[[#This Row],[YYYYMM]],4)</f>
        <v/>
      </c>
      <c r="C198" s="10">
        <f>RIGHT(creditcard[[#This Row],[YYYYMM]],2)</f>
        <v/>
      </c>
      <c r="D198" s="10">
        <f>IF(RIGHT(creditcard[[#This Row],[YYYYMM]],2)="--","--","Q"&amp;ROUNDUP(VALUE(RIGHT(creditcard[[#This Row],[YYYYMM]],2))/3,0))</f>
        <v/>
      </c>
      <c r="E198" s="10" t="n">
        <v>10</v>
      </c>
      <c r="F198" s="151" t="inlineStr">
        <is>
          <t>遠東</t>
        </is>
      </c>
      <c r="G198" s="152" t="inlineStr">
        <is>
          <t>10 遠東</t>
        </is>
      </c>
      <c r="H198" s="153" t="n">
        <v>1626660</v>
      </c>
      <c r="I198" s="153" t="n">
        <v>1048521</v>
      </c>
      <c r="J198" s="153" t="n">
        <v>129720</v>
      </c>
      <c r="K198" s="153" t="n">
        <v>90506</v>
      </c>
      <c r="L198" s="153" t="n">
        <v>3983.607</v>
      </c>
      <c r="M198" s="11" t="n"/>
      <c r="N198" s="153" t="n">
        <v>50293.56</v>
      </c>
      <c r="O198" s="11" t="n"/>
      <c r="P198" s="11" t="n"/>
      <c r="Q198" s="12" t="n"/>
      <c r="R198" s="11" t="n"/>
      <c r="S198" s="11" t="n"/>
      <c r="T198" s="11" t="n"/>
      <c r="U198" s="11" t="n"/>
      <c r="V198" s="154" t="n"/>
      <c r="W198" s="11" t="n"/>
      <c r="X198" s="13" t="n"/>
      <c r="Y198" s="13" t="n"/>
      <c r="Z198" s="13" t="n"/>
      <c r="AA198" s="13" t="n"/>
      <c r="AB198" s="13" t="n"/>
      <c r="AC198" s="13" t="n"/>
      <c r="AD198" s="13" t="n"/>
      <c r="AE198" s="13" t="n"/>
      <c r="AF198" s="13" t="n"/>
      <c r="AG198" s="13" t="n"/>
      <c r="AH198" s="13" t="n"/>
      <c r="AI198" s="13" t="n"/>
    </row>
    <row r="199">
      <c r="A199" s="14" t="inlineStr">
        <is>
          <t>2020--</t>
        </is>
      </c>
      <c r="B199" s="15">
        <f>LEFT(creditcard[[#This Row],[YYYYMM]],4)</f>
        <v/>
      </c>
      <c r="C199" s="15">
        <f>RIGHT(creditcard[[#This Row],[YYYYMM]],2)</f>
        <v/>
      </c>
      <c r="D199" s="15">
        <f>IF(RIGHT(creditcard[[#This Row],[YYYYMM]],2)="--","--","Q"&amp;ROUNDUP(VALUE(RIGHT(creditcard[[#This Row],[YYYYMM]],2))/3,0))</f>
        <v/>
      </c>
      <c r="E199" s="15" t="n">
        <v>11</v>
      </c>
      <c r="F199" s="155" t="inlineStr">
        <is>
          <t>市場總計</t>
        </is>
      </c>
      <c r="G199" s="156" t="inlineStr">
        <is>
          <t>11 市場總計</t>
        </is>
      </c>
      <c r="H199" s="157" t="n">
        <v>50116397</v>
      </c>
      <c r="I199" s="157" t="n">
        <v>33004316</v>
      </c>
      <c r="J199" s="157" t="n">
        <v>6397106</v>
      </c>
      <c r="K199" s="157" t="n">
        <v>3836829</v>
      </c>
      <c r="L199" s="157" t="n">
        <v>105615.288</v>
      </c>
      <c r="M199" s="16" t="n"/>
      <c r="N199" s="157" t="n">
        <v>3019606.92</v>
      </c>
      <c r="O199" s="16" t="n"/>
      <c r="P199" s="16" t="n"/>
      <c r="Q199" s="17" t="n"/>
      <c r="R199" s="16" t="n"/>
      <c r="S199" s="16" t="n"/>
      <c r="T199" s="16" t="n"/>
      <c r="U199" s="16" t="n"/>
      <c r="V199" s="158" t="n">
        <v>4.29</v>
      </c>
      <c r="W199" s="16">
        <f>SUMIFS(H:H,A:A,creditcard[[#This Row],[YYYYMM]],G:G,creditcard[[#This Row],[Item]])</f>
        <v/>
      </c>
      <c r="X199" s="4">
        <f>IFERROR(SUMIFS(H:H,A:A,creditcard[[#This Row],[YYYYMM]],E:E,"&lt;=5")/creditcard[[#This Row],[市場總計]],"")</f>
        <v/>
      </c>
      <c r="Y199" s="4">
        <f>IFERROR(SUMIFS(H:H,A:A,creditcard[[#This Row],[YYYYMM]],E:E,"&lt;=10")/creditcard[[#This Row],[市場總計]],"")</f>
        <v/>
      </c>
      <c r="Z199" s="4">
        <f>IFERROR(SUMIFS(I:I,A:A,creditcard[[#This Row],[YYYYMM]],E:E,"&lt;=5")/creditcard[[#This Row],[有效卡數]],"")</f>
        <v/>
      </c>
      <c r="AA199" s="4">
        <f>IFERROR(SUMIFS(I:I,A:A,creditcard[[#This Row],[YYYYMM]],E:E,"&lt;=10")/creditcard[[#This Row],[有效卡數]],"")</f>
        <v/>
      </c>
      <c r="AB199" s="4">
        <f>IFERROR(SUMIFS(J:J,A:A,creditcard[[#This Row],[YYYYMM]],E:E,"&lt;=5")/creditcard[[#This Row],[當月發卡數]],"")</f>
        <v/>
      </c>
      <c r="AC199" s="4">
        <f>IFERROR(SUMIFS(J:J,A:A,creditcard[[#This Row],[YYYYMM]],E:E,"&lt;=10")/creditcard[[#This Row],[當月發卡數]],"")</f>
        <v/>
      </c>
      <c r="AD199" s="4">
        <f>IFERROR(SUMIFS(K:K,A:A,creditcard[[#This Row],[YYYYMM]],E:E,"&lt;=5")/creditcard[[#This Row],[當月停卡數]],"")</f>
        <v/>
      </c>
      <c r="AE199" s="4">
        <f>IFERROR(SUMIFS(K:K,A:A,creditcard[[#This Row],[YYYYMM]],E:E,"&lt;=10")/creditcard[[#This Row],[當月停卡數]],"")</f>
        <v/>
      </c>
      <c r="AF199" s="4">
        <f>IFERROR(SUMIFS(L:L,A:A,creditcard[[#This Row],[YYYYMM]],E:E,"&lt;=5")/creditcard[[#This Row],[循環信用餘額]],"")</f>
        <v/>
      </c>
      <c r="AG199" s="4">
        <f>IFERROR(SUMIFS(L:L,A:A,creditcard[[#This Row],[YYYYMM]],E:E,"&lt;=10")/creditcard[[#This Row],[循環信用餘額]],"")</f>
        <v/>
      </c>
      <c r="AH199" s="4">
        <f>IFERROR(SUMIFS(N:N,A:A,creditcard[[#This Row],[YYYYMM]],E:E,"&lt;=5")/creditcard[[#This Row],[當月簽帳金額]],"")</f>
        <v/>
      </c>
      <c r="AI199" s="4">
        <f>IFERROR(SUMIFS(N:N,A:A,creditcard[[#This Row],[YYYYMM]],E:E,"&lt;=10")/creditcard[[#This Row],[當月簽帳金額]],"")</f>
        <v/>
      </c>
    </row>
    <row r="200">
      <c r="A200" s="9" t="n">
        <v>202101</v>
      </c>
      <c r="B200" s="10">
        <f>LEFT(creditcard[[#This Row],[YYYYMM]],4)</f>
        <v/>
      </c>
      <c r="C200" s="10">
        <f>RIGHT(creditcard[[#This Row],[YYYYMM]],2)</f>
        <v/>
      </c>
      <c r="D200" s="10">
        <f>IF(RIGHT(creditcard[[#This Row],[YYYYMM]],2)="--","--","Q"&amp;ROUNDUP(VALUE(RIGHT(creditcard[[#This Row],[YYYYMM]],2))/3,0))</f>
        <v/>
      </c>
      <c r="E200" s="10" t="n">
        <v>1</v>
      </c>
      <c r="F200" s="151" t="inlineStr">
        <is>
          <t>中信</t>
        </is>
      </c>
      <c r="G200" s="152" t="inlineStr">
        <is>
          <t>01 中信</t>
        </is>
      </c>
      <c r="H200" s="153" t="n">
        <v>7340651</v>
      </c>
      <c r="I200" s="153" t="n">
        <v>4739732</v>
      </c>
      <c r="J200" s="153" t="n">
        <v>91967</v>
      </c>
      <c r="K200" s="153" t="n">
        <v>33022</v>
      </c>
      <c r="L200" s="153" t="n">
        <v>16327</v>
      </c>
      <c r="M200" s="11" t="n"/>
      <c r="N200" s="153" t="n">
        <v>36312</v>
      </c>
      <c r="O200" s="11" t="n"/>
      <c r="P200" s="11" t="n"/>
      <c r="Q200" s="12" t="n"/>
      <c r="R200" s="11" t="n"/>
      <c r="S200" s="11" t="n"/>
      <c r="T200" s="11" t="n"/>
      <c r="U200" s="11" t="n"/>
      <c r="V200" s="154" t="n"/>
      <c r="W200" s="11" t="n"/>
      <c r="X200" s="13" t="n"/>
      <c r="Y200" s="13" t="n"/>
      <c r="Z200" s="13" t="n"/>
      <c r="AA200" s="13" t="n"/>
      <c r="AB200" s="13" t="n"/>
      <c r="AC200" s="13" t="n"/>
      <c r="AD200" s="13" t="n"/>
      <c r="AE200" s="13" t="n"/>
      <c r="AF200" s="13" t="n"/>
      <c r="AG200" s="13" t="n"/>
      <c r="AH200" s="13" t="n"/>
      <c r="AI200" s="13" t="n"/>
    </row>
    <row r="201">
      <c r="A201" s="14" t="n">
        <v>202101</v>
      </c>
      <c r="B201" s="15">
        <f>LEFT(creditcard[[#This Row],[YYYYMM]],4)</f>
        <v/>
      </c>
      <c r="C201" s="15">
        <f>RIGHT(creditcard[[#This Row],[YYYYMM]],2)</f>
        <v/>
      </c>
      <c r="D201" s="15">
        <f>IF(RIGHT(creditcard[[#This Row],[YYYYMM]],2)="--","--","Q"&amp;ROUNDUP(VALUE(RIGHT(creditcard[[#This Row],[YYYYMM]],2))/3,0))</f>
        <v/>
      </c>
      <c r="E201" s="15" t="n">
        <v>2</v>
      </c>
      <c r="F201" s="155" t="inlineStr">
        <is>
          <t>富邦</t>
        </is>
      </c>
      <c r="G201" s="156" t="inlineStr">
        <is>
          <t>02 富邦</t>
        </is>
      </c>
      <c r="H201" s="157" t="n">
        <v>3881530</v>
      </c>
      <c r="I201" s="157" t="n">
        <v>2593594</v>
      </c>
      <c r="J201" s="157" t="n">
        <v>51881</v>
      </c>
      <c r="K201" s="157" t="n">
        <v>26316</v>
      </c>
      <c r="L201" s="157" t="n">
        <v>5746</v>
      </c>
      <c r="M201" s="16" t="n"/>
      <c r="N201" s="157" t="n">
        <v>25691</v>
      </c>
      <c r="O201" s="16" t="n"/>
      <c r="P201" s="16" t="n"/>
      <c r="Q201" s="17" t="n"/>
      <c r="R201" s="16" t="n"/>
      <c r="S201" s="16" t="n"/>
      <c r="T201" s="16" t="n"/>
      <c r="U201" s="16" t="n"/>
      <c r="V201" s="158" t="n"/>
      <c r="W201" s="16" t="n"/>
      <c r="X201" s="18" t="n"/>
      <c r="Y201" s="18" t="n"/>
      <c r="Z201" s="18" t="n"/>
      <c r="AA201" s="18" t="n"/>
      <c r="AB201" s="18" t="n"/>
      <c r="AC201" s="18" t="n"/>
      <c r="AD201" s="18" t="n"/>
      <c r="AE201" s="18" t="n"/>
      <c r="AF201" s="18" t="n"/>
      <c r="AG201" s="18" t="n"/>
      <c r="AH201" s="18" t="n"/>
      <c r="AI201" s="18" t="n"/>
    </row>
    <row r="202">
      <c r="A202" s="9" t="n">
        <v>202101</v>
      </c>
      <c r="B202" s="10">
        <f>LEFT(creditcard[[#This Row],[YYYYMM]],4)</f>
        <v/>
      </c>
      <c r="C202" s="10">
        <f>RIGHT(creditcard[[#This Row],[YYYYMM]],2)</f>
        <v/>
      </c>
      <c r="D202" s="10">
        <f>IF(RIGHT(creditcard[[#This Row],[YYYYMM]],2)="--","--","Q"&amp;ROUNDUP(VALUE(RIGHT(creditcard[[#This Row],[YYYYMM]],2))/3,0))</f>
        <v/>
      </c>
      <c r="E202" s="10" t="n">
        <v>3</v>
      </c>
      <c r="F202" s="151" t="inlineStr">
        <is>
          <t>國泰</t>
        </is>
      </c>
      <c r="G202" s="152" t="inlineStr">
        <is>
          <t>03 國泰</t>
        </is>
      </c>
      <c r="H202" s="153" t="n">
        <v>7140591</v>
      </c>
      <c r="I202" s="153" t="n">
        <v>5145914</v>
      </c>
      <c r="J202" s="153" t="n">
        <v>60911</v>
      </c>
      <c r="K202" s="153" t="n">
        <v>35757</v>
      </c>
      <c r="L202" s="153" t="n">
        <v>18445</v>
      </c>
      <c r="M202" s="11" t="n"/>
      <c r="N202" s="153" t="n">
        <v>37987</v>
      </c>
      <c r="O202" s="11" t="n"/>
      <c r="P202" s="11" t="n"/>
      <c r="Q202" s="12" t="n"/>
      <c r="R202" s="11" t="n"/>
      <c r="S202" s="11" t="n"/>
      <c r="T202" s="11" t="n"/>
      <c r="U202" s="11" t="n"/>
      <c r="V202" s="154" t="n"/>
      <c r="W202" s="11" t="n"/>
      <c r="X202" s="13" t="n"/>
      <c r="Y202" s="13" t="n"/>
      <c r="Z202" s="13" t="n"/>
      <c r="AA202" s="13" t="n"/>
      <c r="AB202" s="13" t="n"/>
      <c r="AC202" s="13" t="n"/>
      <c r="AD202" s="13" t="n"/>
      <c r="AE202" s="13" t="n"/>
      <c r="AF202" s="13" t="n"/>
      <c r="AG202" s="13" t="n"/>
      <c r="AH202" s="13" t="n"/>
      <c r="AI202" s="13" t="n"/>
    </row>
    <row r="203">
      <c r="A203" s="14" t="n">
        <v>202101</v>
      </c>
      <c r="B203" s="15">
        <f>LEFT(creditcard[[#This Row],[YYYYMM]],4)</f>
        <v/>
      </c>
      <c r="C203" s="15">
        <f>RIGHT(creditcard[[#This Row],[YYYYMM]],2)</f>
        <v/>
      </c>
      <c r="D203" s="15">
        <f>IF(RIGHT(creditcard[[#This Row],[YYYYMM]],2)="--","--","Q"&amp;ROUNDUP(VALUE(RIGHT(creditcard[[#This Row],[YYYYMM]],2))/3,0))</f>
        <v/>
      </c>
      <c r="E203" s="15" t="n">
        <v>4</v>
      </c>
      <c r="F203" s="155" t="inlineStr">
        <is>
          <t>玉山</t>
        </is>
      </c>
      <c r="G203" s="156" t="inlineStr">
        <is>
          <t>04 玉山</t>
        </is>
      </c>
      <c r="H203" s="157" t="n">
        <v>6373780</v>
      </c>
      <c r="I203" s="157" t="n">
        <v>4483522</v>
      </c>
      <c r="J203" s="157" t="n">
        <v>48214</v>
      </c>
      <c r="K203" s="157" t="n">
        <v>20717</v>
      </c>
      <c r="L203" s="157" t="n">
        <v>12893</v>
      </c>
      <c r="M203" s="16" t="n"/>
      <c r="N203" s="157" t="n">
        <v>37407</v>
      </c>
      <c r="O203" s="16" t="n"/>
      <c r="P203" s="16" t="n"/>
      <c r="Q203" s="17" t="n"/>
      <c r="R203" s="16" t="n"/>
      <c r="S203" s="16" t="n"/>
      <c r="T203" s="16" t="n"/>
      <c r="U203" s="16" t="n"/>
      <c r="V203" s="158" t="n"/>
      <c r="W203" s="16" t="n"/>
      <c r="X203" s="18" t="n"/>
      <c r="Y203" s="18" t="n"/>
      <c r="Z203" s="18" t="n"/>
      <c r="AA203" s="18" t="n"/>
      <c r="AB203" s="18" t="n"/>
      <c r="AC203" s="18" t="n"/>
      <c r="AD203" s="18" t="n"/>
      <c r="AE203" s="18" t="n"/>
      <c r="AF203" s="18" t="n"/>
      <c r="AG203" s="18" t="n"/>
      <c r="AH203" s="18" t="n"/>
      <c r="AI203" s="18" t="n"/>
    </row>
    <row r="204">
      <c r="A204" s="9" t="n">
        <v>202101</v>
      </c>
      <c r="B204" s="10">
        <f>LEFT(creditcard[[#This Row],[YYYYMM]],4)</f>
        <v/>
      </c>
      <c r="C204" s="10">
        <f>RIGHT(creditcard[[#This Row],[YYYYMM]],2)</f>
        <v/>
      </c>
      <c r="D204" s="10">
        <f>IF(RIGHT(creditcard[[#This Row],[YYYYMM]],2)="--","--","Q"&amp;ROUNDUP(VALUE(RIGHT(creditcard[[#This Row],[YYYYMM]],2))/3,0))</f>
        <v/>
      </c>
      <c r="E204" s="10" t="n">
        <v>5</v>
      </c>
      <c r="F204" s="151" t="inlineStr">
        <is>
          <t>台新</t>
        </is>
      </c>
      <c r="G204" s="152" t="inlineStr">
        <is>
          <t>05 台新</t>
        </is>
      </c>
      <c r="H204" s="153" t="n">
        <v>5763691</v>
      </c>
      <c r="I204" s="153" t="n">
        <v>4027672</v>
      </c>
      <c r="J204" s="153" t="n">
        <v>63419</v>
      </c>
      <c r="K204" s="153" t="n">
        <v>30496</v>
      </c>
      <c r="L204" s="153" t="n">
        <v>10497</v>
      </c>
      <c r="M204" s="11" t="n"/>
      <c r="N204" s="153" t="n">
        <v>29008</v>
      </c>
      <c r="O204" s="11" t="n"/>
      <c r="P204" s="11" t="n"/>
      <c r="Q204" s="12" t="n"/>
      <c r="R204" s="11" t="n"/>
      <c r="S204" s="11" t="n"/>
      <c r="T204" s="11" t="n"/>
      <c r="U204" s="11" t="n"/>
      <c r="V204" s="154" t="n"/>
      <c r="W204" s="11" t="n"/>
      <c r="X204" s="13" t="n"/>
      <c r="Y204" s="13" t="n"/>
      <c r="Z204" s="13" t="n"/>
      <c r="AA204" s="13" t="n"/>
      <c r="AB204" s="13" t="n"/>
      <c r="AC204" s="13" t="n"/>
      <c r="AD204" s="13" t="n"/>
      <c r="AE204" s="13" t="n"/>
      <c r="AF204" s="13" t="n"/>
      <c r="AG204" s="13" t="n"/>
      <c r="AH204" s="13" t="n"/>
      <c r="AI204" s="13" t="n"/>
    </row>
    <row r="205">
      <c r="A205" s="14" t="n">
        <v>202101</v>
      </c>
      <c r="B205" s="15">
        <f>LEFT(creditcard[[#This Row],[YYYYMM]],4)</f>
        <v/>
      </c>
      <c r="C205" s="15">
        <f>RIGHT(creditcard[[#This Row],[YYYYMM]],2)</f>
        <v/>
      </c>
      <c r="D205" s="15">
        <f>IF(RIGHT(creditcard[[#This Row],[YYYYMM]],2)="--","--","Q"&amp;ROUNDUP(VALUE(RIGHT(creditcard[[#This Row],[YYYYMM]],2))/3,0))</f>
        <v/>
      </c>
      <c r="E205" s="15" t="n">
        <v>6</v>
      </c>
      <c r="F205" s="155" t="inlineStr">
        <is>
          <t>星展</t>
        </is>
      </c>
      <c r="G205" s="156" t="inlineStr">
        <is>
          <t>06 星展</t>
        </is>
      </c>
      <c r="H205" s="157" t="n">
        <v>609349</v>
      </c>
      <c r="I205" s="157" t="n">
        <v>327992</v>
      </c>
      <c r="J205" s="157" t="n">
        <v>3656</v>
      </c>
      <c r="K205" s="157" t="n">
        <v>4986</v>
      </c>
      <c r="L205" s="157" t="n">
        <v>1370</v>
      </c>
      <c r="M205" s="16" t="n"/>
      <c r="N205" s="157" t="n">
        <v>2987</v>
      </c>
      <c r="O205" s="16" t="n"/>
      <c r="P205" s="16" t="n"/>
      <c r="Q205" s="17" t="n"/>
      <c r="R205" s="16" t="n"/>
      <c r="S205" s="16" t="n"/>
      <c r="T205" s="16" t="n"/>
      <c r="U205" s="16" t="n"/>
      <c r="V205" s="158" t="n"/>
      <c r="W205" s="16" t="n"/>
      <c r="X205" s="18" t="n"/>
      <c r="Y205" s="18" t="n"/>
      <c r="Z205" s="18" t="n"/>
      <c r="AA205" s="18" t="n"/>
      <c r="AB205" s="18" t="n"/>
      <c r="AC205" s="18" t="n"/>
      <c r="AD205" s="18" t="n"/>
      <c r="AE205" s="18" t="n"/>
      <c r="AF205" s="18" t="n"/>
      <c r="AG205" s="18" t="n"/>
      <c r="AH205" s="18" t="n"/>
      <c r="AI205" s="18" t="n"/>
    </row>
    <row r="206">
      <c r="A206" s="9" t="n">
        <v>202101</v>
      </c>
      <c r="B206" s="10">
        <f>LEFT(creditcard[[#This Row],[YYYYMM]],4)</f>
        <v/>
      </c>
      <c r="C206" s="10">
        <f>RIGHT(creditcard[[#This Row],[YYYYMM]],2)</f>
        <v/>
      </c>
      <c r="D206" s="10">
        <f>IF(RIGHT(creditcard[[#This Row],[YYYYMM]],2)="--","--","Q"&amp;ROUNDUP(VALUE(RIGHT(creditcard[[#This Row],[YYYYMM]],2))/3,0))</f>
        <v/>
      </c>
      <c r="E206" s="10" t="n">
        <v>7</v>
      </c>
      <c r="F206" s="151" t="inlineStr">
        <is>
          <t>聯邦</t>
        </is>
      </c>
      <c r="G206" s="152" t="inlineStr">
        <is>
          <t>07 聯邦</t>
        </is>
      </c>
      <c r="H206" s="153" t="n">
        <v>2251261</v>
      </c>
      <c r="I206" s="153" t="n">
        <v>1322997</v>
      </c>
      <c r="J206" s="153" t="n">
        <v>23169</v>
      </c>
      <c r="K206" s="153" t="n">
        <v>15573</v>
      </c>
      <c r="L206" s="153" t="n">
        <v>5725</v>
      </c>
      <c r="M206" s="11" t="n"/>
      <c r="N206" s="153" t="n">
        <v>8908</v>
      </c>
      <c r="O206" s="11" t="n"/>
      <c r="P206" s="11" t="n"/>
      <c r="Q206" s="12" t="n"/>
      <c r="R206" s="11" t="n"/>
      <c r="S206" s="11" t="n"/>
      <c r="T206" s="11" t="n"/>
      <c r="U206" s="11" t="n"/>
      <c r="V206" s="154" t="n"/>
      <c r="W206" s="11" t="n"/>
      <c r="X206" s="13" t="n"/>
      <c r="Y206" s="13" t="n"/>
      <c r="Z206" s="13" t="n"/>
      <c r="AA206" s="13" t="n"/>
      <c r="AB206" s="13" t="n"/>
      <c r="AC206" s="13" t="n"/>
      <c r="AD206" s="13" t="n"/>
      <c r="AE206" s="13" t="n"/>
      <c r="AF206" s="13" t="n"/>
      <c r="AG206" s="13" t="n"/>
      <c r="AH206" s="13" t="n"/>
      <c r="AI206" s="13" t="n"/>
    </row>
    <row r="207">
      <c r="A207" s="14" t="n">
        <v>202101</v>
      </c>
      <c r="B207" s="15">
        <f>LEFT(creditcard[[#This Row],[YYYYMM]],4)</f>
        <v/>
      </c>
      <c r="C207" s="15">
        <f>RIGHT(creditcard[[#This Row],[YYYYMM]],2)</f>
        <v/>
      </c>
      <c r="D207" s="15">
        <f>IF(RIGHT(creditcard[[#This Row],[YYYYMM]],2)="--","--","Q"&amp;ROUNDUP(VALUE(RIGHT(creditcard[[#This Row],[YYYYMM]],2))/3,0))</f>
        <v/>
      </c>
      <c r="E207" s="15" t="n">
        <v>8</v>
      </c>
      <c r="F207" s="155" t="inlineStr">
        <is>
          <t>永豐</t>
        </is>
      </c>
      <c r="G207" s="156" t="inlineStr">
        <is>
          <t>08 永豐</t>
        </is>
      </c>
      <c r="H207" s="157" t="n">
        <v>2067816</v>
      </c>
      <c r="I207" s="157" t="n">
        <v>1109617</v>
      </c>
      <c r="J207" s="157" t="n">
        <v>89629</v>
      </c>
      <c r="K207" s="157" t="n">
        <v>84043</v>
      </c>
      <c r="L207" s="157" t="n">
        <v>4120</v>
      </c>
      <c r="M207" s="16" t="n"/>
      <c r="N207" s="157" t="n">
        <v>10794</v>
      </c>
      <c r="O207" s="16" t="n"/>
      <c r="P207" s="16" t="n"/>
      <c r="Q207" s="17" t="n"/>
      <c r="R207" s="16" t="n"/>
      <c r="S207" s="16" t="n"/>
      <c r="T207" s="16" t="n"/>
      <c r="U207" s="16" t="n"/>
      <c r="V207" s="158" t="n"/>
      <c r="W207" s="16" t="n"/>
      <c r="X207" s="18" t="n"/>
      <c r="Y207" s="18" t="n"/>
      <c r="Z207" s="18" t="n"/>
      <c r="AA207" s="18" t="n"/>
      <c r="AB207" s="18" t="n"/>
      <c r="AC207" s="18" t="n"/>
      <c r="AD207" s="18" t="n"/>
      <c r="AE207" s="18" t="n"/>
      <c r="AF207" s="18" t="n"/>
      <c r="AG207" s="18" t="n"/>
      <c r="AH207" s="18" t="n"/>
      <c r="AI207" s="18" t="n"/>
    </row>
    <row r="208">
      <c r="A208" s="9" t="n">
        <v>202101</v>
      </c>
      <c r="B208" s="10">
        <f>LEFT(creditcard[[#This Row],[YYYYMM]],4)</f>
        <v/>
      </c>
      <c r="C208" s="10">
        <f>RIGHT(creditcard[[#This Row],[YYYYMM]],2)</f>
        <v/>
      </c>
      <c r="D208" s="10">
        <f>IF(RIGHT(creditcard[[#This Row],[YYYYMM]],2)="--","--","Q"&amp;ROUNDUP(VALUE(RIGHT(creditcard[[#This Row],[YYYYMM]],2))/3,0))</f>
        <v/>
      </c>
      <c r="E208" s="10" t="n">
        <v>9</v>
      </c>
      <c r="F208" s="151" t="inlineStr">
        <is>
          <t>第一</t>
        </is>
      </c>
      <c r="G208" s="152" t="inlineStr">
        <is>
          <t>09 第一</t>
        </is>
      </c>
      <c r="H208" s="153" t="n">
        <v>1281572</v>
      </c>
      <c r="I208" s="153" t="n">
        <v>776255</v>
      </c>
      <c r="J208" s="153" t="n">
        <v>10431</v>
      </c>
      <c r="K208" s="153" t="n">
        <v>12145</v>
      </c>
      <c r="L208" s="153" t="n">
        <v>1470</v>
      </c>
      <c r="M208" s="11" t="n"/>
      <c r="N208" s="153" t="n">
        <v>4441</v>
      </c>
      <c r="O208" s="11" t="n"/>
      <c r="P208" s="11" t="n"/>
      <c r="Q208" s="12" t="n"/>
      <c r="R208" s="11" t="n"/>
      <c r="S208" s="11" t="n"/>
      <c r="T208" s="11" t="n"/>
      <c r="U208" s="11" t="n"/>
      <c r="V208" s="154" t="n"/>
      <c r="W208" s="11" t="n"/>
      <c r="X208" s="13" t="n"/>
      <c r="Y208" s="13" t="n"/>
      <c r="Z208" s="13" t="n"/>
      <c r="AA208" s="13" t="n"/>
      <c r="AB208" s="13" t="n"/>
      <c r="AC208" s="13" t="n"/>
      <c r="AD208" s="13" t="n"/>
      <c r="AE208" s="13" t="n"/>
      <c r="AF208" s="13" t="n"/>
      <c r="AG208" s="13" t="n"/>
      <c r="AH208" s="13" t="n"/>
      <c r="AI208" s="13" t="n"/>
    </row>
    <row r="209">
      <c r="A209" s="14" t="n">
        <v>202101</v>
      </c>
      <c r="B209" s="15">
        <f>LEFT(creditcard[[#This Row],[YYYYMM]],4)</f>
        <v/>
      </c>
      <c r="C209" s="15">
        <f>RIGHT(creditcard[[#This Row],[YYYYMM]],2)</f>
        <v/>
      </c>
      <c r="D209" s="15">
        <f>IF(RIGHT(creditcard[[#This Row],[YYYYMM]],2)="--","--","Q"&amp;ROUNDUP(VALUE(RIGHT(creditcard[[#This Row],[YYYYMM]],2))/3,0))</f>
        <v/>
      </c>
      <c r="E209" s="15" t="n">
        <v>10</v>
      </c>
      <c r="F209" s="155" t="inlineStr">
        <is>
          <t>遠東</t>
        </is>
      </c>
      <c r="G209" s="156" t="inlineStr">
        <is>
          <t>10 遠東</t>
        </is>
      </c>
      <c r="H209" s="157" t="n">
        <v>1629635</v>
      </c>
      <c r="I209" s="157" t="n">
        <v>1047200</v>
      </c>
      <c r="J209" s="157" t="n">
        <v>10498</v>
      </c>
      <c r="K209" s="157" t="n">
        <v>7670</v>
      </c>
      <c r="L209" s="157" t="n">
        <v>4101</v>
      </c>
      <c r="M209" s="16" t="n"/>
      <c r="N209" s="157" t="n">
        <v>4331</v>
      </c>
      <c r="O209" s="16" t="n"/>
      <c r="P209" s="16" t="n"/>
      <c r="Q209" s="17" t="n"/>
      <c r="R209" s="16" t="n"/>
      <c r="S209" s="16" t="n"/>
      <c r="T209" s="16" t="n"/>
      <c r="U209" s="16" t="n"/>
      <c r="V209" s="158" t="n"/>
      <c r="W209" s="16" t="n"/>
      <c r="X209" s="18" t="n"/>
      <c r="Y209" s="18" t="n"/>
      <c r="Z209" s="18" t="n"/>
      <c r="AA209" s="18" t="n"/>
      <c r="AB209" s="18" t="n"/>
      <c r="AC209" s="18" t="n"/>
      <c r="AD209" s="18" t="n"/>
      <c r="AE209" s="18" t="n"/>
      <c r="AF209" s="18" t="n"/>
      <c r="AG209" s="18" t="n"/>
      <c r="AH209" s="18" t="n"/>
      <c r="AI209" s="18" t="n"/>
    </row>
    <row r="210">
      <c r="A210" s="9" t="n">
        <v>202101</v>
      </c>
      <c r="B210" s="10">
        <f>LEFT(creditcard[[#This Row],[YYYYMM]],4)</f>
        <v/>
      </c>
      <c r="C210" s="10">
        <f>RIGHT(creditcard[[#This Row],[YYYYMM]],2)</f>
        <v/>
      </c>
      <c r="D210" s="10">
        <f>IF(RIGHT(creditcard[[#This Row],[YYYYMM]],2)="--","--","Q"&amp;ROUNDUP(VALUE(RIGHT(creditcard[[#This Row],[YYYYMM]],2))/3,0))</f>
        <v/>
      </c>
      <c r="E210" s="10" t="n">
        <v>11</v>
      </c>
      <c r="F210" s="151" t="inlineStr">
        <is>
          <t>市場總計</t>
        </is>
      </c>
      <c r="G210" s="152" t="inlineStr">
        <is>
          <t>11 市場總計</t>
        </is>
      </c>
      <c r="H210" s="153" t="n">
        <v>50330848</v>
      </c>
      <c r="I210" s="153" t="n">
        <v>33030665</v>
      </c>
      <c r="J210" s="153" t="n">
        <v>571989</v>
      </c>
      <c r="K210" s="153" t="n">
        <v>378992</v>
      </c>
      <c r="L210" s="153" t="n">
        <v>106264</v>
      </c>
      <c r="M210" s="11" t="n"/>
      <c r="N210" s="153" t="n">
        <v>253009</v>
      </c>
      <c r="O210" s="11" t="n"/>
      <c r="P210" s="11" t="n"/>
      <c r="Q210" s="12" t="n"/>
      <c r="R210" s="11" t="n"/>
      <c r="S210" s="11" t="n"/>
      <c r="T210" s="11" t="n"/>
      <c r="U210" s="11" t="n"/>
      <c r="V210" s="154" t="n">
        <v>4.3</v>
      </c>
      <c r="W210" s="11">
        <f>SUMIFS(H:H,A:A,creditcard[[#This Row],[YYYYMM]],G:G,creditcard[[#This Row],[Item]])</f>
        <v/>
      </c>
      <c r="X210" s="4">
        <f>IFERROR(SUMIFS(H:H,A:A,creditcard[[#This Row],[YYYYMM]],E:E,"&lt;=5")/creditcard[[#This Row],[市場總計]],"")</f>
        <v/>
      </c>
      <c r="Y210" s="4">
        <f>IFERROR(SUMIFS(H:H,A:A,creditcard[[#This Row],[YYYYMM]],E:E,"&lt;=10")/creditcard[[#This Row],[市場總計]],"")</f>
        <v/>
      </c>
      <c r="Z210" s="4">
        <f>IFERROR(SUMIFS(I:I,A:A,creditcard[[#This Row],[YYYYMM]],E:E,"&lt;=5")/creditcard[[#This Row],[有效卡數]],"")</f>
        <v/>
      </c>
      <c r="AA210" s="4">
        <f>IFERROR(SUMIFS(I:I,A:A,creditcard[[#This Row],[YYYYMM]],E:E,"&lt;=10")/creditcard[[#This Row],[有效卡數]],"")</f>
        <v/>
      </c>
      <c r="AB210" s="4">
        <f>IFERROR(SUMIFS(J:J,A:A,creditcard[[#This Row],[YYYYMM]],E:E,"&lt;=5")/creditcard[[#This Row],[當月發卡數]],"")</f>
        <v/>
      </c>
      <c r="AC210" s="4">
        <f>IFERROR(SUMIFS(J:J,A:A,creditcard[[#This Row],[YYYYMM]],E:E,"&lt;=10")/creditcard[[#This Row],[當月發卡數]],"")</f>
        <v/>
      </c>
      <c r="AD210" s="4">
        <f>IFERROR(SUMIFS(K:K,A:A,creditcard[[#This Row],[YYYYMM]],E:E,"&lt;=5")/creditcard[[#This Row],[當月停卡數]],"")</f>
        <v/>
      </c>
      <c r="AE210" s="4">
        <f>IFERROR(SUMIFS(K:K,A:A,creditcard[[#This Row],[YYYYMM]],E:E,"&lt;=10")/creditcard[[#This Row],[當月停卡數]],"")</f>
        <v/>
      </c>
      <c r="AF210" s="4">
        <f>IFERROR(SUMIFS(L:L,A:A,creditcard[[#This Row],[YYYYMM]],E:E,"&lt;=5")/creditcard[[#This Row],[循環信用餘額]],"")</f>
        <v/>
      </c>
      <c r="AG210" s="4">
        <f>IFERROR(SUMIFS(L:L,A:A,creditcard[[#This Row],[YYYYMM]],E:E,"&lt;=10")/creditcard[[#This Row],[循環信用餘額]],"")</f>
        <v/>
      </c>
      <c r="AH210" s="4">
        <f>IFERROR(SUMIFS(N:N,A:A,creditcard[[#This Row],[YYYYMM]],E:E,"&lt;=5")/creditcard[[#This Row],[當月簽帳金額]],"")</f>
        <v/>
      </c>
      <c r="AI210" s="4">
        <f>IFERROR(SUMIFS(N:N,A:A,creditcard[[#This Row],[YYYYMM]],E:E,"&lt;=10")/creditcard[[#This Row],[當月簽帳金額]],"")</f>
        <v/>
      </c>
    </row>
    <row r="211">
      <c r="A211" s="14" t="n">
        <v>202102</v>
      </c>
      <c r="B211" s="15">
        <f>LEFT(creditcard[[#This Row],[YYYYMM]],4)</f>
        <v/>
      </c>
      <c r="C211" s="15">
        <f>RIGHT(creditcard[[#This Row],[YYYYMM]],2)</f>
        <v/>
      </c>
      <c r="D211" s="15">
        <f>IF(RIGHT(creditcard[[#This Row],[YYYYMM]],2)="--","--","Q"&amp;ROUNDUP(VALUE(RIGHT(creditcard[[#This Row],[YYYYMM]],2))/3,0))</f>
        <v/>
      </c>
      <c r="E211" s="15" t="n">
        <v>1</v>
      </c>
      <c r="F211" s="155" t="inlineStr">
        <is>
          <t>中信</t>
        </is>
      </c>
      <c r="G211" s="156" t="inlineStr">
        <is>
          <t>01 中信</t>
        </is>
      </c>
      <c r="H211" s="157" t="n">
        <v>7387525</v>
      </c>
      <c r="I211" s="157" t="n">
        <v>4766437</v>
      </c>
      <c r="J211" s="157" t="n">
        <v>79562</v>
      </c>
      <c r="K211" s="157" t="n">
        <v>32688</v>
      </c>
      <c r="L211" s="157" t="n">
        <v>16223</v>
      </c>
      <c r="M211" s="16" t="n"/>
      <c r="N211" s="157" t="n">
        <v>34224</v>
      </c>
      <c r="O211" s="16" t="n"/>
      <c r="P211" s="16" t="n"/>
      <c r="Q211" s="17" t="n"/>
      <c r="R211" s="16" t="n"/>
      <c r="S211" s="16" t="n"/>
      <c r="T211" s="16" t="n"/>
      <c r="U211" s="16" t="n"/>
      <c r="V211" s="158" t="n"/>
      <c r="W211" s="16" t="n"/>
      <c r="X211" s="18" t="n"/>
      <c r="Y211" s="18" t="n"/>
      <c r="Z211" s="18" t="n"/>
      <c r="AA211" s="18" t="n"/>
      <c r="AB211" s="18" t="n"/>
      <c r="AC211" s="18" t="n"/>
      <c r="AD211" s="18" t="n"/>
      <c r="AE211" s="18" t="n"/>
      <c r="AF211" s="18" t="n"/>
      <c r="AG211" s="18" t="n"/>
      <c r="AH211" s="18" t="n"/>
      <c r="AI211" s="18" t="n"/>
    </row>
    <row r="212">
      <c r="A212" s="9" t="n">
        <v>202102</v>
      </c>
      <c r="B212" s="10">
        <f>LEFT(creditcard[[#This Row],[YYYYMM]],4)</f>
        <v/>
      </c>
      <c r="C212" s="10">
        <f>RIGHT(creditcard[[#This Row],[YYYYMM]],2)</f>
        <v/>
      </c>
      <c r="D212" s="10">
        <f>IF(RIGHT(creditcard[[#This Row],[YYYYMM]],2)="--","--","Q"&amp;ROUNDUP(VALUE(RIGHT(creditcard[[#This Row],[YYYYMM]],2))/3,0))</f>
        <v/>
      </c>
      <c r="E212" s="10" t="n">
        <v>2</v>
      </c>
      <c r="F212" s="151" t="inlineStr">
        <is>
          <t>富邦</t>
        </is>
      </c>
      <c r="G212" s="152" t="inlineStr">
        <is>
          <t>02 富邦</t>
        </is>
      </c>
      <c r="H212" s="153" t="n">
        <v>3901096</v>
      </c>
      <c r="I212" s="153" t="n">
        <v>2607314</v>
      </c>
      <c r="J212" s="153" t="n">
        <v>38236</v>
      </c>
      <c r="K212" s="153" t="n">
        <v>18670</v>
      </c>
      <c r="L212" s="153" t="n">
        <v>5649</v>
      </c>
      <c r="M212" s="11" t="n"/>
      <c r="N212" s="153" t="n">
        <v>19956</v>
      </c>
      <c r="O212" s="11" t="n"/>
      <c r="P212" s="11" t="n"/>
      <c r="Q212" s="12" t="n"/>
      <c r="R212" s="11" t="n"/>
      <c r="S212" s="11" t="n"/>
      <c r="T212" s="11" t="n"/>
      <c r="U212" s="11" t="n"/>
      <c r="V212" s="154" t="n"/>
      <c r="W212" s="11" t="n"/>
      <c r="X212" s="13" t="n"/>
      <c r="Y212" s="13" t="n"/>
      <c r="Z212" s="13" t="n"/>
      <c r="AA212" s="13" t="n"/>
      <c r="AB212" s="13" t="n"/>
      <c r="AC212" s="13" t="n"/>
      <c r="AD212" s="13" t="n"/>
      <c r="AE212" s="13" t="n"/>
      <c r="AF212" s="13" t="n"/>
      <c r="AG212" s="13" t="n"/>
      <c r="AH212" s="13" t="n"/>
      <c r="AI212" s="13" t="n"/>
    </row>
    <row r="213">
      <c r="A213" s="14" t="n">
        <v>202102</v>
      </c>
      <c r="B213" s="15">
        <f>LEFT(creditcard[[#This Row],[YYYYMM]],4)</f>
        <v/>
      </c>
      <c r="C213" s="15">
        <f>RIGHT(creditcard[[#This Row],[YYYYMM]],2)</f>
        <v/>
      </c>
      <c r="D213" s="15">
        <f>IF(RIGHT(creditcard[[#This Row],[YYYYMM]],2)="--","--","Q"&amp;ROUNDUP(VALUE(RIGHT(creditcard[[#This Row],[YYYYMM]],2))/3,0))</f>
        <v/>
      </c>
      <c r="E213" s="15" t="n">
        <v>3</v>
      </c>
      <c r="F213" s="155" t="inlineStr">
        <is>
          <t>國泰</t>
        </is>
      </c>
      <c r="G213" s="156" t="inlineStr">
        <is>
          <t>03 國泰</t>
        </is>
      </c>
      <c r="H213" s="157" t="n">
        <v>7162679</v>
      </c>
      <c r="I213" s="157" t="n">
        <v>5151296</v>
      </c>
      <c r="J213" s="157" t="n">
        <v>51296</v>
      </c>
      <c r="K213" s="157" t="n">
        <v>29208</v>
      </c>
      <c r="L213" s="157" t="n">
        <v>17306</v>
      </c>
      <c r="M213" s="16" t="n"/>
      <c r="N213" s="157" t="n">
        <v>37854</v>
      </c>
      <c r="O213" s="16" t="n"/>
      <c r="P213" s="16" t="n"/>
      <c r="Q213" s="17" t="n"/>
      <c r="R213" s="16" t="n"/>
      <c r="S213" s="16" t="n"/>
      <c r="T213" s="16" t="n"/>
      <c r="U213" s="16" t="n"/>
      <c r="V213" s="158" t="n"/>
      <c r="W213" s="16" t="n"/>
      <c r="X213" s="18" t="n"/>
      <c r="Y213" s="18" t="n"/>
      <c r="Z213" s="18" t="n"/>
      <c r="AA213" s="18" t="n"/>
      <c r="AB213" s="18" t="n"/>
      <c r="AC213" s="18" t="n"/>
      <c r="AD213" s="18" t="n"/>
      <c r="AE213" s="18" t="n"/>
      <c r="AF213" s="18" t="n"/>
      <c r="AG213" s="18" t="n"/>
      <c r="AH213" s="18" t="n"/>
      <c r="AI213" s="18" t="n"/>
    </row>
    <row r="214">
      <c r="A214" s="9" t="n">
        <v>202102</v>
      </c>
      <c r="B214" s="10">
        <f>LEFT(creditcard[[#This Row],[YYYYMM]],4)</f>
        <v/>
      </c>
      <c r="C214" s="10">
        <f>RIGHT(creditcard[[#This Row],[YYYYMM]],2)</f>
        <v/>
      </c>
      <c r="D214" s="10">
        <f>IF(RIGHT(creditcard[[#This Row],[YYYYMM]],2)="--","--","Q"&amp;ROUNDUP(VALUE(RIGHT(creditcard[[#This Row],[YYYYMM]],2))/3,0))</f>
        <v/>
      </c>
      <c r="E214" s="10" t="n">
        <v>4</v>
      </c>
      <c r="F214" s="151" t="inlineStr">
        <is>
          <t>玉山</t>
        </is>
      </c>
      <c r="G214" s="152" t="inlineStr">
        <is>
          <t>04 玉山</t>
        </is>
      </c>
      <c r="H214" s="153" t="n">
        <v>6392366</v>
      </c>
      <c r="I214" s="153" t="n">
        <v>4479073</v>
      </c>
      <c r="J214" s="153" t="n">
        <v>35866</v>
      </c>
      <c r="K214" s="153" t="n">
        <v>17280</v>
      </c>
      <c r="L214" s="153" t="n">
        <v>12626</v>
      </c>
      <c r="M214" s="11" t="n"/>
      <c r="N214" s="153" t="n">
        <v>34258</v>
      </c>
      <c r="O214" s="11" t="n"/>
      <c r="P214" s="11" t="n"/>
      <c r="Q214" s="12" t="n"/>
      <c r="R214" s="11" t="n"/>
      <c r="S214" s="11" t="n"/>
      <c r="T214" s="11" t="n"/>
      <c r="U214" s="11" t="n"/>
      <c r="V214" s="154" t="n"/>
      <c r="W214" s="11" t="n"/>
      <c r="X214" s="13" t="n"/>
      <c r="Y214" s="13" t="n"/>
      <c r="Z214" s="13" t="n"/>
      <c r="AA214" s="13" t="n"/>
      <c r="AB214" s="13" t="n"/>
      <c r="AC214" s="13" t="n"/>
      <c r="AD214" s="13" t="n"/>
      <c r="AE214" s="13" t="n"/>
      <c r="AF214" s="13" t="n"/>
      <c r="AG214" s="13" t="n"/>
      <c r="AH214" s="13" t="n"/>
      <c r="AI214" s="13" t="n"/>
    </row>
    <row r="215">
      <c r="A215" s="14" t="n">
        <v>202102</v>
      </c>
      <c r="B215" s="15">
        <f>LEFT(creditcard[[#This Row],[YYYYMM]],4)</f>
        <v/>
      </c>
      <c r="C215" s="15">
        <f>RIGHT(creditcard[[#This Row],[YYYYMM]],2)</f>
        <v/>
      </c>
      <c r="D215" s="15">
        <f>IF(RIGHT(creditcard[[#This Row],[YYYYMM]],2)="--","--","Q"&amp;ROUNDUP(VALUE(RIGHT(creditcard[[#This Row],[YYYYMM]],2))/3,0))</f>
        <v/>
      </c>
      <c r="E215" s="15" t="n">
        <v>5</v>
      </c>
      <c r="F215" s="155" t="inlineStr">
        <is>
          <t>台新</t>
        </is>
      </c>
      <c r="G215" s="156" t="inlineStr">
        <is>
          <t>05 台新</t>
        </is>
      </c>
      <c r="H215" s="157" t="n">
        <v>5790196</v>
      </c>
      <c r="I215" s="157" t="n">
        <v>4025096</v>
      </c>
      <c r="J215" s="157" t="n">
        <v>48945</v>
      </c>
      <c r="K215" s="157" t="n">
        <v>22440</v>
      </c>
      <c r="L215" s="157" t="n">
        <v>10464</v>
      </c>
      <c r="M215" s="16" t="n"/>
      <c r="N215" s="157" t="n">
        <v>26368</v>
      </c>
      <c r="O215" s="16" t="n"/>
      <c r="P215" s="16" t="n"/>
      <c r="Q215" s="17" t="n"/>
      <c r="R215" s="16" t="n"/>
      <c r="S215" s="16" t="n"/>
      <c r="T215" s="16" t="n"/>
      <c r="U215" s="16" t="n"/>
      <c r="V215" s="158" t="n"/>
      <c r="W215" s="16" t="n"/>
      <c r="X215" s="18" t="n"/>
      <c r="Y215" s="18" t="n"/>
      <c r="Z215" s="18" t="n"/>
      <c r="AA215" s="18" t="n"/>
      <c r="AB215" s="18" t="n"/>
      <c r="AC215" s="18" t="n"/>
      <c r="AD215" s="18" t="n"/>
      <c r="AE215" s="18" t="n"/>
      <c r="AF215" s="18" t="n"/>
      <c r="AG215" s="18" t="n"/>
      <c r="AH215" s="18" t="n"/>
      <c r="AI215" s="18" t="n"/>
    </row>
    <row r="216">
      <c r="A216" s="9" t="n">
        <v>202102</v>
      </c>
      <c r="B216" s="10">
        <f>LEFT(creditcard[[#This Row],[YYYYMM]],4)</f>
        <v/>
      </c>
      <c r="C216" s="10">
        <f>RIGHT(creditcard[[#This Row],[YYYYMM]],2)</f>
        <v/>
      </c>
      <c r="D216" s="10">
        <f>IF(RIGHT(creditcard[[#This Row],[YYYYMM]],2)="--","--","Q"&amp;ROUNDUP(VALUE(RIGHT(creditcard[[#This Row],[YYYYMM]],2))/3,0))</f>
        <v/>
      </c>
      <c r="E216" s="10" t="n">
        <v>6</v>
      </c>
      <c r="F216" s="151" t="inlineStr">
        <is>
          <t>星展</t>
        </is>
      </c>
      <c r="G216" s="152" t="inlineStr">
        <is>
          <t>06 星展</t>
        </is>
      </c>
      <c r="H216" s="153" t="n">
        <v>609813</v>
      </c>
      <c r="I216" s="153" t="n">
        <v>324047</v>
      </c>
      <c r="J216" s="153" t="n">
        <v>1640</v>
      </c>
      <c r="K216" s="153" t="n">
        <v>4876</v>
      </c>
      <c r="L216" s="153" t="n">
        <v>1391</v>
      </c>
      <c r="M216" s="11" t="n"/>
      <c r="N216" s="153" t="n">
        <v>2629</v>
      </c>
      <c r="O216" s="11" t="n"/>
      <c r="P216" s="11" t="n"/>
      <c r="Q216" s="12" t="n"/>
      <c r="R216" s="11" t="n"/>
      <c r="S216" s="11" t="n"/>
      <c r="T216" s="11" t="n"/>
      <c r="U216" s="11" t="n"/>
      <c r="V216" s="154" t="n"/>
      <c r="W216" s="11" t="n"/>
      <c r="X216" s="13" t="n"/>
      <c r="Y216" s="13" t="n"/>
      <c r="Z216" s="13" t="n"/>
      <c r="AA216" s="13" t="n"/>
      <c r="AB216" s="13" t="n"/>
      <c r="AC216" s="13" t="n"/>
      <c r="AD216" s="13" t="n"/>
      <c r="AE216" s="13" t="n"/>
      <c r="AF216" s="13" t="n"/>
      <c r="AG216" s="13" t="n"/>
      <c r="AH216" s="13" t="n"/>
      <c r="AI216" s="13" t="n"/>
    </row>
    <row r="217">
      <c r="A217" s="14" t="n">
        <v>202102</v>
      </c>
      <c r="B217" s="15">
        <f>LEFT(creditcard[[#This Row],[YYYYMM]],4)</f>
        <v/>
      </c>
      <c r="C217" s="15">
        <f>RIGHT(creditcard[[#This Row],[YYYYMM]],2)</f>
        <v/>
      </c>
      <c r="D217" s="15">
        <f>IF(RIGHT(creditcard[[#This Row],[YYYYMM]],2)="--","--","Q"&amp;ROUNDUP(VALUE(RIGHT(creditcard[[#This Row],[YYYYMM]],2))/3,0))</f>
        <v/>
      </c>
      <c r="E217" s="15" t="n">
        <v>7</v>
      </c>
      <c r="F217" s="155" t="inlineStr">
        <is>
          <t>聯邦</t>
        </is>
      </c>
      <c r="G217" s="156" t="inlineStr">
        <is>
          <t>07 聯邦</t>
        </is>
      </c>
      <c r="H217" s="157" t="n">
        <v>2258384</v>
      </c>
      <c r="I217" s="157" t="n">
        <v>1324412</v>
      </c>
      <c r="J217" s="157" t="n">
        <v>17747</v>
      </c>
      <c r="K217" s="157" t="n">
        <v>10624</v>
      </c>
      <c r="L217" s="157" t="n">
        <v>5610</v>
      </c>
      <c r="M217" s="16" t="n"/>
      <c r="N217" s="157" t="n">
        <v>7919</v>
      </c>
      <c r="O217" s="16" t="n"/>
      <c r="P217" s="16" t="n"/>
      <c r="Q217" s="17" t="n"/>
      <c r="R217" s="16" t="n"/>
      <c r="S217" s="16" t="n"/>
      <c r="T217" s="16" t="n"/>
      <c r="U217" s="16" t="n"/>
      <c r="V217" s="158" t="n"/>
      <c r="W217" s="16" t="n"/>
      <c r="X217" s="18" t="n"/>
      <c r="Y217" s="18" t="n"/>
      <c r="Z217" s="18" t="n"/>
      <c r="AA217" s="18" t="n"/>
      <c r="AB217" s="18" t="n"/>
      <c r="AC217" s="18" t="n"/>
      <c r="AD217" s="18" t="n"/>
      <c r="AE217" s="18" t="n"/>
      <c r="AF217" s="18" t="n"/>
      <c r="AG217" s="18" t="n"/>
      <c r="AH217" s="18" t="n"/>
      <c r="AI217" s="18" t="n"/>
    </row>
    <row r="218">
      <c r="A218" s="9" t="n">
        <v>202102</v>
      </c>
      <c r="B218" s="10">
        <f>LEFT(creditcard[[#This Row],[YYYYMM]],4)</f>
        <v/>
      </c>
      <c r="C218" s="10">
        <f>RIGHT(creditcard[[#This Row],[YYYYMM]],2)</f>
        <v/>
      </c>
      <c r="D218" s="10">
        <f>IF(RIGHT(creditcard[[#This Row],[YYYYMM]],2)="--","--","Q"&amp;ROUNDUP(VALUE(RIGHT(creditcard[[#This Row],[YYYYMM]],2))/3,0))</f>
        <v/>
      </c>
      <c r="E218" s="10" t="n">
        <v>8</v>
      </c>
      <c r="F218" s="151" t="inlineStr">
        <is>
          <t>永豐</t>
        </is>
      </c>
      <c r="G218" s="152" t="inlineStr">
        <is>
          <t>08 永豐</t>
        </is>
      </c>
      <c r="H218" s="153" t="n">
        <v>2078893</v>
      </c>
      <c r="I218" s="153" t="n">
        <v>1114214</v>
      </c>
      <c r="J218" s="153" t="n">
        <v>19845</v>
      </c>
      <c r="K218" s="153" t="n">
        <v>8788</v>
      </c>
      <c r="L218" s="153" t="n">
        <v>4108</v>
      </c>
      <c r="M218" s="11" t="n"/>
      <c r="N218" s="153" t="n">
        <v>8755</v>
      </c>
      <c r="O218" s="11" t="n"/>
      <c r="P218" s="11" t="n"/>
      <c r="Q218" s="12" t="n"/>
      <c r="R218" s="11" t="n"/>
      <c r="S218" s="11" t="n"/>
      <c r="T218" s="11" t="n"/>
      <c r="U218" s="11" t="n"/>
      <c r="V218" s="154" t="n"/>
      <c r="W218" s="11" t="n"/>
      <c r="X218" s="13" t="n"/>
      <c r="Y218" s="13" t="n"/>
      <c r="Z218" s="13" t="n"/>
      <c r="AA218" s="13" t="n"/>
      <c r="AB218" s="13" t="n"/>
      <c r="AC218" s="13" t="n"/>
      <c r="AD218" s="13" t="n"/>
      <c r="AE218" s="13" t="n"/>
      <c r="AF218" s="13" t="n"/>
      <c r="AG218" s="13" t="n"/>
      <c r="AH218" s="13" t="n"/>
      <c r="AI218" s="13" t="n"/>
    </row>
    <row r="219">
      <c r="A219" s="14" t="n">
        <v>202102</v>
      </c>
      <c r="B219" s="15">
        <f>LEFT(creditcard[[#This Row],[YYYYMM]],4)</f>
        <v/>
      </c>
      <c r="C219" s="15">
        <f>RIGHT(creditcard[[#This Row],[YYYYMM]],2)</f>
        <v/>
      </c>
      <c r="D219" s="15">
        <f>IF(RIGHT(creditcard[[#This Row],[YYYYMM]],2)="--","--","Q"&amp;ROUNDUP(VALUE(RIGHT(creditcard[[#This Row],[YYYYMM]],2))/3,0))</f>
        <v/>
      </c>
      <c r="E219" s="15" t="n">
        <v>9</v>
      </c>
      <c r="F219" s="155" t="inlineStr">
        <is>
          <t>第一</t>
        </is>
      </c>
      <c r="G219" s="156" t="inlineStr">
        <is>
          <t>09 第一</t>
        </is>
      </c>
      <c r="H219" s="157" t="n">
        <v>1284233</v>
      </c>
      <c r="I219" s="157" t="n">
        <v>772079</v>
      </c>
      <c r="J219" s="157" t="n">
        <v>10386</v>
      </c>
      <c r="K219" s="157" t="n">
        <v>9990</v>
      </c>
      <c r="L219" s="157" t="n">
        <v>1466</v>
      </c>
      <c r="M219" s="16" t="n"/>
      <c r="N219" s="157" t="n">
        <v>4058</v>
      </c>
      <c r="O219" s="16" t="n"/>
      <c r="P219" s="16" t="n"/>
      <c r="Q219" s="17" t="n"/>
      <c r="R219" s="16" t="n"/>
      <c r="S219" s="16" t="n"/>
      <c r="T219" s="16" t="n"/>
      <c r="U219" s="16" t="n"/>
      <c r="V219" s="158" t="n"/>
      <c r="W219" s="16" t="n"/>
      <c r="X219" s="18" t="n"/>
      <c r="Y219" s="18" t="n"/>
      <c r="Z219" s="18" t="n"/>
      <c r="AA219" s="18" t="n"/>
      <c r="AB219" s="18" t="n"/>
      <c r="AC219" s="18" t="n"/>
      <c r="AD219" s="18" t="n"/>
      <c r="AE219" s="18" t="n"/>
      <c r="AF219" s="18" t="n"/>
      <c r="AG219" s="18" t="n"/>
      <c r="AH219" s="18" t="n"/>
      <c r="AI219" s="18" t="n"/>
    </row>
    <row r="220">
      <c r="A220" s="9" t="n">
        <v>202102</v>
      </c>
      <c r="B220" s="10">
        <f>LEFT(creditcard[[#This Row],[YYYYMM]],4)</f>
        <v/>
      </c>
      <c r="C220" s="10">
        <f>RIGHT(creditcard[[#This Row],[YYYYMM]],2)</f>
        <v/>
      </c>
      <c r="D220" s="10">
        <f>IF(RIGHT(creditcard[[#This Row],[YYYYMM]],2)="--","--","Q"&amp;ROUNDUP(VALUE(RIGHT(creditcard[[#This Row],[YYYYMM]],2))/3,0))</f>
        <v/>
      </c>
      <c r="E220" s="10" t="n">
        <v>10</v>
      </c>
      <c r="F220" s="151" t="inlineStr">
        <is>
          <t>遠東</t>
        </is>
      </c>
      <c r="G220" s="152" t="inlineStr">
        <is>
          <t>10 遠東</t>
        </is>
      </c>
      <c r="H220" s="153" t="n">
        <v>1633236</v>
      </c>
      <c r="I220" s="153" t="n">
        <v>1045513</v>
      </c>
      <c r="J220" s="153" t="n">
        <v>9318</v>
      </c>
      <c r="K220" s="153" t="n">
        <v>5881</v>
      </c>
      <c r="L220" s="153" t="n">
        <v>4036</v>
      </c>
      <c r="M220" s="11" t="n"/>
      <c r="N220" s="153" t="n">
        <v>3996</v>
      </c>
      <c r="O220" s="11" t="n"/>
      <c r="P220" s="11" t="n"/>
      <c r="Q220" s="12" t="n"/>
      <c r="R220" s="11" t="n"/>
      <c r="S220" s="11" t="n"/>
      <c r="T220" s="11" t="n"/>
      <c r="U220" s="11" t="n"/>
      <c r="V220" s="154" t="n"/>
      <c r="W220" s="11" t="n"/>
      <c r="X220" s="13" t="n"/>
      <c r="Y220" s="13" t="n"/>
      <c r="Z220" s="13" t="n"/>
      <c r="AA220" s="13" t="n"/>
      <c r="AB220" s="13" t="n"/>
      <c r="AC220" s="13" t="n"/>
      <c r="AD220" s="13" t="n"/>
      <c r="AE220" s="13" t="n"/>
      <c r="AF220" s="13" t="n"/>
      <c r="AG220" s="13" t="n"/>
      <c r="AH220" s="13" t="n"/>
      <c r="AI220" s="13" t="n"/>
    </row>
    <row r="221">
      <c r="A221" s="14" t="n">
        <v>202102</v>
      </c>
      <c r="B221" s="15">
        <f>LEFT(creditcard[[#This Row],[YYYYMM]],4)</f>
        <v/>
      </c>
      <c r="C221" s="15">
        <f>RIGHT(creditcard[[#This Row],[YYYYMM]],2)</f>
        <v/>
      </c>
      <c r="D221" s="15">
        <f>IF(RIGHT(creditcard[[#This Row],[YYYYMM]],2)="--","--","Q"&amp;ROUNDUP(VALUE(RIGHT(creditcard[[#This Row],[YYYYMM]],2))/3,0))</f>
        <v/>
      </c>
      <c r="E221" s="15" t="n">
        <v>11</v>
      </c>
      <c r="F221" s="155" t="inlineStr">
        <is>
          <t>市場總計</t>
        </is>
      </c>
      <c r="G221" s="156" t="inlineStr">
        <is>
          <t>11 市場總計</t>
        </is>
      </c>
      <c r="H221" s="157" t="n">
        <v>50517901</v>
      </c>
      <c r="I221" s="157" t="n">
        <v>33049410</v>
      </c>
      <c r="J221" s="157" t="n">
        <v>405342</v>
      </c>
      <c r="K221" s="157" t="n">
        <v>237554</v>
      </c>
      <c r="L221" s="157" t="n">
        <v>104154</v>
      </c>
      <c r="M221" s="16" t="n"/>
      <c r="N221" s="157" t="n">
        <v>229907</v>
      </c>
      <c r="O221" s="16" t="n"/>
      <c r="P221" s="16" t="n"/>
      <c r="Q221" s="17" t="n"/>
      <c r="R221" s="16" t="n"/>
      <c r="S221" s="16" t="n"/>
      <c r="T221" s="16" t="n"/>
      <c r="U221" s="16" t="n"/>
      <c r="V221" s="158" t="n">
        <v>4.31</v>
      </c>
      <c r="W221" s="16">
        <f>SUMIFS(H:H,A:A,creditcard[[#This Row],[YYYYMM]],G:G,creditcard[[#This Row],[Item]])</f>
        <v/>
      </c>
      <c r="X221" s="4">
        <f>IFERROR(SUMIFS(H:H,A:A,creditcard[[#This Row],[YYYYMM]],E:E,"&lt;=5")/creditcard[[#This Row],[市場總計]],"")</f>
        <v/>
      </c>
      <c r="Y221" s="4">
        <f>IFERROR(SUMIFS(H:H,A:A,creditcard[[#This Row],[YYYYMM]],E:E,"&lt;=10")/creditcard[[#This Row],[市場總計]],"")</f>
        <v/>
      </c>
      <c r="Z221" s="4">
        <f>IFERROR(SUMIFS(I:I,A:A,creditcard[[#This Row],[YYYYMM]],E:E,"&lt;=5")/creditcard[[#This Row],[有效卡數]],"")</f>
        <v/>
      </c>
      <c r="AA221" s="4">
        <f>IFERROR(SUMIFS(I:I,A:A,creditcard[[#This Row],[YYYYMM]],E:E,"&lt;=10")/creditcard[[#This Row],[有效卡數]],"")</f>
        <v/>
      </c>
      <c r="AB221" s="4">
        <f>IFERROR(SUMIFS(J:J,A:A,creditcard[[#This Row],[YYYYMM]],E:E,"&lt;=5")/creditcard[[#This Row],[當月發卡數]],"")</f>
        <v/>
      </c>
      <c r="AC221" s="4">
        <f>IFERROR(SUMIFS(J:J,A:A,creditcard[[#This Row],[YYYYMM]],E:E,"&lt;=10")/creditcard[[#This Row],[當月發卡數]],"")</f>
        <v/>
      </c>
      <c r="AD221" s="4">
        <f>IFERROR(SUMIFS(K:K,A:A,creditcard[[#This Row],[YYYYMM]],E:E,"&lt;=5")/creditcard[[#This Row],[當月停卡數]],"")</f>
        <v/>
      </c>
      <c r="AE221" s="4">
        <f>IFERROR(SUMIFS(K:K,A:A,creditcard[[#This Row],[YYYYMM]],E:E,"&lt;=10")/creditcard[[#This Row],[當月停卡數]],"")</f>
        <v/>
      </c>
      <c r="AF221" s="4">
        <f>IFERROR(SUMIFS(L:L,A:A,creditcard[[#This Row],[YYYYMM]],E:E,"&lt;=5")/creditcard[[#This Row],[循環信用餘額]],"")</f>
        <v/>
      </c>
      <c r="AG221" s="4">
        <f>IFERROR(SUMIFS(L:L,A:A,creditcard[[#This Row],[YYYYMM]],E:E,"&lt;=10")/creditcard[[#This Row],[循環信用餘額]],"")</f>
        <v/>
      </c>
      <c r="AH221" s="4">
        <f>IFERROR(SUMIFS(N:N,A:A,creditcard[[#This Row],[YYYYMM]],E:E,"&lt;=5")/creditcard[[#This Row],[當月簽帳金額]],"")</f>
        <v/>
      </c>
      <c r="AI221" s="4">
        <f>IFERROR(SUMIFS(N:N,A:A,creditcard[[#This Row],[YYYYMM]],E:E,"&lt;=10")/creditcard[[#This Row],[當月簽帳金額]],"")</f>
        <v/>
      </c>
    </row>
    <row r="222">
      <c r="A222" s="9" t="n">
        <v>202103</v>
      </c>
      <c r="B222" s="10">
        <f>LEFT(creditcard[[#This Row],[YYYYMM]],4)</f>
        <v/>
      </c>
      <c r="C222" s="10">
        <f>RIGHT(creditcard[[#This Row],[YYYYMM]],2)</f>
        <v/>
      </c>
      <c r="D222" s="10">
        <f>IF(RIGHT(creditcard[[#This Row],[YYYYMM]],2)="--","--","Q"&amp;ROUNDUP(VALUE(RIGHT(creditcard[[#This Row],[YYYYMM]],2))/3,0))</f>
        <v/>
      </c>
      <c r="E222" s="10" t="n">
        <v>1</v>
      </c>
      <c r="F222" s="151" t="inlineStr">
        <is>
          <t>中信</t>
        </is>
      </c>
      <c r="G222" s="152" t="inlineStr">
        <is>
          <t>01 中信</t>
        </is>
      </c>
      <c r="H222" s="153" t="n">
        <v>7443985</v>
      </c>
      <c r="I222" s="153" t="n">
        <v>4808351</v>
      </c>
      <c r="J222" s="153" t="n">
        <v>96517</v>
      </c>
      <c r="K222" s="153" t="n">
        <v>40057</v>
      </c>
      <c r="L222" s="153" t="n">
        <v>16056</v>
      </c>
      <c r="M222" s="11" t="n"/>
      <c r="N222" s="153" t="n">
        <v>37416</v>
      </c>
      <c r="O222" s="11" t="n"/>
      <c r="P222" s="11" t="n"/>
      <c r="Q222" s="12" t="n"/>
      <c r="R222" s="11" t="n"/>
      <c r="S222" s="11" t="n"/>
      <c r="T222" s="11" t="n"/>
      <c r="U222" s="11" t="n"/>
      <c r="V222" s="154" t="n"/>
      <c r="W222" s="11" t="n"/>
      <c r="X222" s="13" t="n"/>
      <c r="Y222" s="13" t="n"/>
      <c r="Z222" s="13" t="n"/>
      <c r="AA222" s="13" t="n"/>
      <c r="AB222" s="13" t="n"/>
      <c r="AC222" s="13" t="n"/>
      <c r="AD222" s="13" t="n"/>
      <c r="AE222" s="13" t="n"/>
      <c r="AF222" s="13" t="n"/>
      <c r="AG222" s="13" t="n"/>
      <c r="AH222" s="13" t="n"/>
      <c r="AI222" s="13" t="n"/>
    </row>
    <row r="223">
      <c r="A223" s="14" t="n">
        <v>202103</v>
      </c>
      <c r="B223" s="15">
        <f>LEFT(creditcard[[#This Row],[YYYYMM]],4)</f>
        <v/>
      </c>
      <c r="C223" s="15">
        <f>RIGHT(creditcard[[#This Row],[YYYYMM]],2)</f>
        <v/>
      </c>
      <c r="D223" s="15">
        <f>IF(RIGHT(creditcard[[#This Row],[YYYYMM]],2)="--","--","Q"&amp;ROUNDUP(VALUE(RIGHT(creditcard[[#This Row],[YYYYMM]],2))/3,0))</f>
        <v/>
      </c>
      <c r="E223" s="15" t="n">
        <v>2</v>
      </c>
      <c r="F223" s="155" t="inlineStr">
        <is>
          <t>富邦</t>
        </is>
      </c>
      <c r="G223" s="156" t="inlineStr">
        <is>
          <t>02 富邦</t>
        </is>
      </c>
      <c r="H223" s="157" t="n">
        <v>3936780</v>
      </c>
      <c r="I223" s="157" t="n">
        <v>2643505</v>
      </c>
      <c r="J223" s="157" t="n">
        <v>56091</v>
      </c>
      <c r="K223" s="157" t="n">
        <v>20407</v>
      </c>
      <c r="L223" s="157" t="n">
        <v>5497</v>
      </c>
      <c r="M223" s="16" t="n"/>
      <c r="N223" s="157" t="n">
        <v>28347</v>
      </c>
      <c r="O223" s="16" t="n"/>
      <c r="P223" s="16" t="n"/>
      <c r="Q223" s="17" t="n"/>
      <c r="R223" s="16" t="n"/>
      <c r="S223" s="16" t="n"/>
      <c r="T223" s="16" t="n"/>
      <c r="U223" s="16" t="n"/>
      <c r="V223" s="158" t="n"/>
      <c r="W223" s="16" t="n"/>
      <c r="X223" s="18" t="n"/>
      <c r="Y223" s="18" t="n"/>
      <c r="Z223" s="18" t="n"/>
      <c r="AA223" s="18" t="n"/>
      <c r="AB223" s="18" t="n"/>
      <c r="AC223" s="18" t="n"/>
      <c r="AD223" s="18" t="n"/>
      <c r="AE223" s="18" t="n"/>
      <c r="AF223" s="18" t="n"/>
      <c r="AG223" s="18" t="n"/>
      <c r="AH223" s="18" t="n"/>
      <c r="AI223" s="18" t="n"/>
    </row>
    <row r="224">
      <c r="A224" s="9" t="n">
        <v>202103</v>
      </c>
      <c r="B224" s="10">
        <f>LEFT(creditcard[[#This Row],[YYYYMM]],4)</f>
        <v/>
      </c>
      <c r="C224" s="10">
        <f>RIGHT(creditcard[[#This Row],[YYYYMM]],2)</f>
        <v/>
      </c>
      <c r="D224" s="10">
        <f>IF(RIGHT(creditcard[[#This Row],[YYYYMM]],2)="--","--","Q"&amp;ROUNDUP(VALUE(RIGHT(creditcard[[#This Row],[YYYYMM]],2))/3,0))</f>
        <v/>
      </c>
      <c r="E224" s="10" t="n">
        <v>3</v>
      </c>
      <c r="F224" s="151" t="inlineStr">
        <is>
          <t>國泰</t>
        </is>
      </c>
      <c r="G224" s="152" t="inlineStr">
        <is>
          <t>03 國泰</t>
        </is>
      </c>
      <c r="H224" s="153" t="n">
        <v>7191808</v>
      </c>
      <c r="I224" s="153" t="n">
        <v>5156073</v>
      </c>
      <c r="J224" s="153" t="n">
        <v>62274</v>
      </c>
      <c r="K224" s="153" t="n">
        <v>33145</v>
      </c>
      <c r="L224" s="153" t="n">
        <v>17416</v>
      </c>
      <c r="M224" s="11" t="n"/>
      <c r="N224" s="153" t="n">
        <v>45616</v>
      </c>
      <c r="O224" s="11" t="n"/>
      <c r="P224" s="11" t="n"/>
      <c r="Q224" s="12" t="n"/>
      <c r="R224" s="11" t="n"/>
      <c r="S224" s="11" t="n"/>
      <c r="T224" s="11" t="n"/>
      <c r="U224" s="11" t="n"/>
      <c r="V224" s="154" t="n"/>
      <c r="W224" s="11" t="n"/>
      <c r="X224" s="13" t="n"/>
      <c r="Y224" s="13" t="n"/>
      <c r="Z224" s="13" t="n"/>
      <c r="AA224" s="13" t="n"/>
      <c r="AB224" s="13" t="n"/>
      <c r="AC224" s="13" t="n"/>
      <c r="AD224" s="13" t="n"/>
      <c r="AE224" s="13" t="n"/>
      <c r="AF224" s="13" t="n"/>
      <c r="AG224" s="13" t="n"/>
      <c r="AH224" s="13" t="n"/>
      <c r="AI224" s="13" t="n"/>
    </row>
    <row r="225">
      <c r="A225" s="14" t="n">
        <v>202103</v>
      </c>
      <c r="B225" s="15">
        <f>LEFT(creditcard[[#This Row],[YYYYMM]],4)</f>
        <v/>
      </c>
      <c r="C225" s="15">
        <f>RIGHT(creditcard[[#This Row],[YYYYMM]],2)</f>
        <v/>
      </c>
      <c r="D225" s="15">
        <f>IF(RIGHT(creditcard[[#This Row],[YYYYMM]],2)="--","--","Q"&amp;ROUNDUP(VALUE(RIGHT(creditcard[[#This Row],[YYYYMM]],2))/3,0))</f>
        <v/>
      </c>
      <c r="E225" s="15" t="n">
        <v>4</v>
      </c>
      <c r="F225" s="155" t="inlineStr">
        <is>
          <t>玉山</t>
        </is>
      </c>
      <c r="G225" s="156" t="inlineStr">
        <is>
          <t>04 玉山</t>
        </is>
      </c>
      <c r="H225" s="157" t="n">
        <v>6423268</v>
      </c>
      <c r="I225" s="157" t="n">
        <v>4480211</v>
      </c>
      <c r="J225" s="157" t="n">
        <v>53639</v>
      </c>
      <c r="K225" s="157" t="n">
        <v>22737</v>
      </c>
      <c r="L225" s="157" t="n">
        <v>12398</v>
      </c>
      <c r="M225" s="16" t="n"/>
      <c r="N225" s="157" t="n">
        <v>36482</v>
      </c>
      <c r="O225" s="16" t="n"/>
      <c r="P225" s="16" t="n"/>
      <c r="Q225" s="17" t="n"/>
      <c r="R225" s="16" t="n"/>
      <c r="S225" s="16" t="n"/>
      <c r="T225" s="16" t="n"/>
      <c r="U225" s="16" t="n"/>
      <c r="V225" s="158" t="n"/>
      <c r="W225" s="16" t="n"/>
      <c r="X225" s="18" t="n"/>
      <c r="Y225" s="18" t="n"/>
      <c r="Z225" s="18" t="n"/>
      <c r="AA225" s="18" t="n"/>
      <c r="AB225" s="18" t="n"/>
      <c r="AC225" s="18" t="n"/>
      <c r="AD225" s="18" t="n"/>
      <c r="AE225" s="18" t="n"/>
      <c r="AF225" s="18" t="n"/>
      <c r="AG225" s="18" t="n"/>
      <c r="AH225" s="18" t="n"/>
      <c r="AI225" s="18" t="n"/>
    </row>
    <row r="226">
      <c r="A226" s="9" t="n">
        <v>202103</v>
      </c>
      <c r="B226" s="10">
        <f>LEFT(creditcard[[#This Row],[YYYYMM]],4)</f>
        <v/>
      </c>
      <c r="C226" s="10">
        <f>RIGHT(creditcard[[#This Row],[YYYYMM]],2)</f>
        <v/>
      </c>
      <c r="D226" s="10">
        <f>IF(RIGHT(creditcard[[#This Row],[YYYYMM]],2)="--","--","Q"&amp;ROUNDUP(VALUE(RIGHT(creditcard[[#This Row],[YYYYMM]],2))/3,0))</f>
        <v/>
      </c>
      <c r="E226" s="10" t="n">
        <v>5</v>
      </c>
      <c r="F226" s="151" t="inlineStr">
        <is>
          <t>台新</t>
        </is>
      </c>
      <c r="G226" s="152" t="inlineStr">
        <is>
          <t>05 台新</t>
        </is>
      </c>
      <c r="H226" s="153" t="n">
        <v>5813795</v>
      </c>
      <c r="I226" s="153" t="n">
        <v>4054515</v>
      </c>
      <c r="J226" s="153" t="n">
        <v>60006</v>
      </c>
      <c r="K226" s="153" t="n">
        <v>36407</v>
      </c>
      <c r="L226" s="153" t="n">
        <v>10209</v>
      </c>
      <c r="M226" s="11" t="n"/>
      <c r="N226" s="153" t="n">
        <v>28814</v>
      </c>
      <c r="O226" s="11" t="n"/>
      <c r="P226" s="11" t="n"/>
      <c r="Q226" s="12" t="n"/>
      <c r="R226" s="11" t="n"/>
      <c r="S226" s="11" t="n"/>
      <c r="T226" s="11" t="n"/>
      <c r="U226" s="11" t="n"/>
      <c r="V226" s="154" t="n"/>
      <c r="W226" s="11" t="n"/>
      <c r="X226" s="13" t="n"/>
      <c r="Y226" s="13" t="n"/>
      <c r="Z226" s="13" t="n"/>
      <c r="AA226" s="13" t="n"/>
      <c r="AB226" s="13" t="n"/>
      <c r="AC226" s="13" t="n"/>
      <c r="AD226" s="13" t="n"/>
      <c r="AE226" s="13" t="n"/>
      <c r="AF226" s="13" t="n"/>
      <c r="AG226" s="13" t="n"/>
      <c r="AH226" s="13" t="n"/>
      <c r="AI226" s="13" t="n"/>
    </row>
    <row r="227">
      <c r="A227" s="14" t="n">
        <v>202103</v>
      </c>
      <c r="B227" s="15">
        <f>LEFT(creditcard[[#This Row],[YYYYMM]],4)</f>
        <v/>
      </c>
      <c r="C227" s="15">
        <f>RIGHT(creditcard[[#This Row],[YYYYMM]],2)</f>
        <v/>
      </c>
      <c r="D227" s="15">
        <f>IF(RIGHT(creditcard[[#This Row],[YYYYMM]],2)="--","--","Q"&amp;ROUNDUP(VALUE(RIGHT(creditcard[[#This Row],[YYYYMM]],2))/3,0))</f>
        <v/>
      </c>
      <c r="E227" s="15" t="n">
        <v>6</v>
      </c>
      <c r="F227" s="155" t="inlineStr">
        <is>
          <t>星展</t>
        </is>
      </c>
      <c r="G227" s="156" t="inlineStr">
        <is>
          <t>06 星展</t>
        </is>
      </c>
      <c r="H227" s="157" t="n">
        <v>607969</v>
      </c>
      <c r="I227" s="157" t="n">
        <v>318603</v>
      </c>
      <c r="J227" s="157" t="n">
        <v>3355</v>
      </c>
      <c r="K227" s="157" t="n">
        <v>5335</v>
      </c>
      <c r="L227" s="157" t="n">
        <v>1360</v>
      </c>
      <c r="M227" s="16" t="n"/>
      <c r="N227" s="157" t="n">
        <v>2997</v>
      </c>
      <c r="O227" s="16" t="n"/>
      <c r="P227" s="16" t="n"/>
      <c r="Q227" s="17" t="n"/>
      <c r="R227" s="16" t="n"/>
      <c r="S227" s="16" t="n"/>
      <c r="T227" s="16" t="n"/>
      <c r="U227" s="16" t="n"/>
      <c r="V227" s="158" t="n"/>
      <c r="W227" s="16" t="n"/>
      <c r="X227" s="18" t="n"/>
      <c r="Y227" s="18" t="n"/>
      <c r="Z227" s="18" t="n"/>
      <c r="AA227" s="18" t="n"/>
      <c r="AB227" s="18" t="n"/>
      <c r="AC227" s="18" t="n"/>
      <c r="AD227" s="18" t="n"/>
      <c r="AE227" s="18" t="n"/>
      <c r="AF227" s="18" t="n"/>
      <c r="AG227" s="18" t="n"/>
      <c r="AH227" s="18" t="n"/>
      <c r="AI227" s="18" t="n"/>
    </row>
    <row r="228">
      <c r="A228" s="9" t="n">
        <v>202103</v>
      </c>
      <c r="B228" s="10">
        <f>LEFT(creditcard[[#This Row],[YYYYMM]],4)</f>
        <v/>
      </c>
      <c r="C228" s="10">
        <f>RIGHT(creditcard[[#This Row],[YYYYMM]],2)</f>
        <v/>
      </c>
      <c r="D228" s="10">
        <f>IF(RIGHT(creditcard[[#This Row],[YYYYMM]],2)="--","--","Q"&amp;ROUNDUP(VALUE(RIGHT(creditcard[[#This Row],[YYYYMM]],2))/3,0))</f>
        <v/>
      </c>
      <c r="E228" s="10" t="n">
        <v>7</v>
      </c>
      <c r="F228" s="151" t="inlineStr">
        <is>
          <t>聯邦</t>
        </is>
      </c>
      <c r="G228" s="152" t="inlineStr">
        <is>
          <t>07 聯邦</t>
        </is>
      </c>
      <c r="H228" s="153" t="n">
        <v>2268966</v>
      </c>
      <c r="I228" s="153" t="n">
        <v>1320990</v>
      </c>
      <c r="J228" s="153" t="n">
        <v>22689</v>
      </c>
      <c r="K228" s="153" t="n">
        <v>12107</v>
      </c>
      <c r="L228" s="153" t="n">
        <v>5550</v>
      </c>
      <c r="M228" s="11" t="n"/>
      <c r="N228" s="153" t="n">
        <v>8449</v>
      </c>
      <c r="O228" s="11" t="n"/>
      <c r="P228" s="11" t="n"/>
      <c r="Q228" s="12" t="n"/>
      <c r="R228" s="11" t="n"/>
      <c r="S228" s="11" t="n"/>
      <c r="T228" s="11" t="n"/>
      <c r="U228" s="11" t="n"/>
      <c r="V228" s="154" t="n"/>
      <c r="W228" s="11" t="n"/>
      <c r="X228" s="13" t="n"/>
      <c r="Y228" s="13" t="n"/>
      <c r="Z228" s="13" t="n"/>
      <c r="AA228" s="13" t="n"/>
      <c r="AB228" s="13" t="n"/>
      <c r="AC228" s="13" t="n"/>
      <c r="AD228" s="13" t="n"/>
      <c r="AE228" s="13" t="n"/>
      <c r="AF228" s="13" t="n"/>
      <c r="AG228" s="13" t="n"/>
      <c r="AH228" s="13" t="n"/>
      <c r="AI228" s="13" t="n"/>
    </row>
    <row r="229">
      <c r="A229" s="14" t="n">
        <v>202103</v>
      </c>
      <c r="B229" s="15">
        <f>LEFT(creditcard[[#This Row],[YYYYMM]],4)</f>
        <v/>
      </c>
      <c r="C229" s="15">
        <f>RIGHT(creditcard[[#This Row],[YYYYMM]],2)</f>
        <v/>
      </c>
      <c r="D229" s="15">
        <f>IF(RIGHT(creditcard[[#This Row],[YYYYMM]],2)="--","--","Q"&amp;ROUNDUP(VALUE(RIGHT(creditcard[[#This Row],[YYYYMM]],2))/3,0))</f>
        <v/>
      </c>
      <c r="E229" s="15" t="n">
        <v>8</v>
      </c>
      <c r="F229" s="155" t="inlineStr">
        <is>
          <t>永豐</t>
        </is>
      </c>
      <c r="G229" s="156" t="inlineStr">
        <is>
          <t>08 永豐</t>
        </is>
      </c>
      <c r="H229" s="157" t="n">
        <v>2094336</v>
      </c>
      <c r="I229" s="157" t="n">
        <v>1128544</v>
      </c>
      <c r="J229" s="157" t="n">
        <v>26997</v>
      </c>
      <c r="K229" s="157" t="n">
        <v>11604</v>
      </c>
      <c r="L229" s="157" t="n">
        <v>4077</v>
      </c>
      <c r="M229" s="16" t="n"/>
      <c r="N229" s="157" t="n">
        <v>10055</v>
      </c>
      <c r="O229" s="16" t="n"/>
      <c r="P229" s="16" t="n"/>
      <c r="Q229" s="17" t="n"/>
      <c r="R229" s="16" t="n"/>
      <c r="S229" s="16" t="n"/>
      <c r="T229" s="16" t="n"/>
      <c r="U229" s="16" t="n"/>
      <c r="V229" s="158" t="n"/>
      <c r="W229" s="16" t="n"/>
      <c r="X229" s="18" t="n"/>
      <c r="Y229" s="18" t="n"/>
      <c r="Z229" s="18" t="n"/>
      <c r="AA229" s="18" t="n"/>
      <c r="AB229" s="18" t="n"/>
      <c r="AC229" s="18" t="n"/>
      <c r="AD229" s="18" t="n"/>
      <c r="AE229" s="18" t="n"/>
      <c r="AF229" s="18" t="n"/>
      <c r="AG229" s="18" t="n"/>
      <c r="AH229" s="18" t="n"/>
      <c r="AI229" s="18" t="n"/>
    </row>
    <row r="230">
      <c r="A230" s="9" t="n">
        <v>202103</v>
      </c>
      <c r="B230" s="10">
        <f>LEFT(creditcard[[#This Row],[YYYYMM]],4)</f>
        <v/>
      </c>
      <c r="C230" s="10">
        <f>RIGHT(creditcard[[#This Row],[YYYYMM]],2)</f>
        <v/>
      </c>
      <c r="D230" s="10">
        <f>IF(RIGHT(creditcard[[#This Row],[YYYYMM]],2)="--","--","Q"&amp;ROUNDUP(VALUE(RIGHT(creditcard[[#This Row],[YYYYMM]],2))/3,0))</f>
        <v/>
      </c>
      <c r="E230" s="10" t="n">
        <v>9</v>
      </c>
      <c r="F230" s="151" t="inlineStr">
        <is>
          <t>第一</t>
        </is>
      </c>
      <c r="G230" s="152" t="inlineStr">
        <is>
          <t>09 第一</t>
        </is>
      </c>
      <c r="H230" s="153" t="n">
        <v>1317601</v>
      </c>
      <c r="I230" s="153" t="n">
        <v>789215</v>
      </c>
      <c r="J230" s="153" t="n">
        <v>43234</v>
      </c>
      <c r="K230" s="153" t="n">
        <v>12796</v>
      </c>
      <c r="L230" s="153" t="n">
        <v>1453</v>
      </c>
      <c r="M230" s="11" t="n"/>
      <c r="N230" s="153" t="n">
        <v>4802</v>
      </c>
      <c r="O230" s="11" t="n"/>
      <c r="P230" s="11" t="n"/>
      <c r="Q230" s="12" t="n"/>
      <c r="R230" s="11" t="n"/>
      <c r="S230" s="11" t="n"/>
      <c r="T230" s="11" t="n"/>
      <c r="U230" s="11" t="n"/>
      <c r="V230" s="154" t="n"/>
      <c r="W230" s="11" t="n"/>
      <c r="X230" s="13" t="n"/>
      <c r="Y230" s="13" t="n"/>
      <c r="Z230" s="13" t="n"/>
      <c r="AA230" s="13" t="n"/>
      <c r="AB230" s="13" t="n"/>
      <c r="AC230" s="13" t="n"/>
      <c r="AD230" s="13" t="n"/>
      <c r="AE230" s="13" t="n"/>
      <c r="AF230" s="13" t="n"/>
      <c r="AG230" s="13" t="n"/>
      <c r="AH230" s="13" t="n"/>
      <c r="AI230" s="13" t="n"/>
    </row>
    <row r="231">
      <c r="A231" s="14" t="n">
        <v>202103</v>
      </c>
      <c r="B231" s="15">
        <f>LEFT(creditcard[[#This Row],[YYYYMM]],4)</f>
        <v/>
      </c>
      <c r="C231" s="15">
        <f>RIGHT(creditcard[[#This Row],[YYYYMM]],2)</f>
        <v/>
      </c>
      <c r="D231" s="15">
        <f>IF(RIGHT(creditcard[[#This Row],[YYYYMM]],2)="--","--","Q"&amp;ROUNDUP(VALUE(RIGHT(creditcard[[#This Row],[YYYYMM]],2))/3,0))</f>
        <v/>
      </c>
      <c r="E231" s="15" t="n">
        <v>10</v>
      </c>
      <c r="F231" s="155" t="inlineStr">
        <is>
          <t>遠東</t>
        </is>
      </c>
      <c r="G231" s="156" t="inlineStr">
        <is>
          <t>10 遠東</t>
        </is>
      </c>
      <c r="H231" s="157" t="n">
        <v>1636080</v>
      </c>
      <c r="I231" s="157" t="n">
        <v>1047303</v>
      </c>
      <c r="J231" s="157" t="n">
        <v>9753</v>
      </c>
      <c r="K231" s="157" t="n">
        <v>7054</v>
      </c>
      <c r="L231" s="157" t="n">
        <v>3929</v>
      </c>
      <c r="M231" s="16" t="n"/>
      <c r="N231" s="157" t="n">
        <v>4402</v>
      </c>
      <c r="O231" s="16" t="n"/>
      <c r="P231" s="16" t="n"/>
      <c r="Q231" s="17" t="n"/>
      <c r="R231" s="16" t="n"/>
      <c r="S231" s="16" t="n"/>
      <c r="T231" s="16" t="n"/>
      <c r="U231" s="16" t="n"/>
      <c r="V231" s="158" t="n"/>
      <c r="W231" s="16" t="n"/>
      <c r="X231" s="18" t="n"/>
      <c r="Y231" s="18" t="n"/>
      <c r="Z231" s="18" t="n"/>
      <c r="AA231" s="18" t="n"/>
      <c r="AB231" s="18" t="n"/>
      <c r="AC231" s="18" t="n"/>
      <c r="AD231" s="18" t="n"/>
      <c r="AE231" s="18" t="n"/>
      <c r="AF231" s="18" t="n"/>
      <c r="AG231" s="18" t="n"/>
      <c r="AH231" s="18" t="n"/>
      <c r="AI231" s="18" t="n"/>
    </row>
    <row r="232">
      <c r="A232" s="9" t="n">
        <v>202103</v>
      </c>
      <c r="B232" s="10">
        <f>LEFT(creditcard[[#This Row],[YYYYMM]],4)</f>
        <v/>
      </c>
      <c r="C232" s="10">
        <f>RIGHT(creditcard[[#This Row],[YYYYMM]],2)</f>
        <v/>
      </c>
      <c r="D232" s="10">
        <f>IF(RIGHT(creditcard[[#This Row],[YYYYMM]],2)="--","--","Q"&amp;ROUNDUP(VALUE(RIGHT(creditcard[[#This Row],[YYYYMM]],2))/3,0))</f>
        <v/>
      </c>
      <c r="E232" s="10" t="n">
        <v>11</v>
      </c>
      <c r="F232" s="151" t="inlineStr">
        <is>
          <t>市場總計</t>
        </is>
      </c>
      <c r="G232" s="152" t="inlineStr">
        <is>
          <t>11 市場總計</t>
        </is>
      </c>
      <c r="H232" s="153" t="n">
        <v>50800825</v>
      </c>
      <c r="I232" s="153" t="n">
        <v>33201274</v>
      </c>
      <c r="J232" s="153" t="n">
        <v>596684</v>
      </c>
      <c r="K232" s="153" t="n">
        <v>331777</v>
      </c>
      <c r="L232" s="153" t="n">
        <v>102676</v>
      </c>
      <c r="M232" s="11" t="n"/>
      <c r="N232" s="153" t="n">
        <v>263204</v>
      </c>
      <c r="O232" s="11" t="n"/>
      <c r="P232" s="11" t="n"/>
      <c r="Q232" s="12" t="n"/>
      <c r="R232" s="11" t="n"/>
      <c r="S232" s="11" t="n"/>
      <c r="T232" s="11" t="n"/>
      <c r="U232" s="11" t="n"/>
      <c r="V232" s="154" t="n">
        <v>4.32</v>
      </c>
      <c r="W232" s="11">
        <f>SUMIFS(H:H,A:A,creditcard[[#This Row],[YYYYMM]],G:G,creditcard[[#This Row],[Item]])</f>
        <v/>
      </c>
      <c r="X232" s="4">
        <f>IFERROR(SUMIFS(H:H,A:A,creditcard[[#This Row],[YYYYMM]],E:E,"&lt;=5")/creditcard[[#This Row],[市場總計]],"")</f>
        <v/>
      </c>
      <c r="Y232" s="4">
        <f>IFERROR(SUMIFS(H:H,A:A,creditcard[[#This Row],[YYYYMM]],E:E,"&lt;=10")/creditcard[[#This Row],[市場總計]],"")</f>
        <v/>
      </c>
      <c r="Z232" s="4">
        <f>IFERROR(SUMIFS(I:I,A:A,creditcard[[#This Row],[YYYYMM]],E:E,"&lt;=5")/creditcard[[#This Row],[有效卡數]],"")</f>
        <v/>
      </c>
      <c r="AA232" s="4">
        <f>IFERROR(SUMIFS(I:I,A:A,creditcard[[#This Row],[YYYYMM]],E:E,"&lt;=10")/creditcard[[#This Row],[有效卡數]],"")</f>
        <v/>
      </c>
      <c r="AB232" s="4">
        <f>IFERROR(SUMIFS(J:J,A:A,creditcard[[#This Row],[YYYYMM]],E:E,"&lt;=5")/creditcard[[#This Row],[當月發卡數]],"")</f>
        <v/>
      </c>
      <c r="AC232" s="4">
        <f>IFERROR(SUMIFS(J:J,A:A,creditcard[[#This Row],[YYYYMM]],E:E,"&lt;=10")/creditcard[[#This Row],[當月發卡數]],"")</f>
        <v/>
      </c>
      <c r="AD232" s="4">
        <f>IFERROR(SUMIFS(K:K,A:A,creditcard[[#This Row],[YYYYMM]],E:E,"&lt;=5")/creditcard[[#This Row],[當月停卡數]],"")</f>
        <v/>
      </c>
      <c r="AE232" s="4">
        <f>IFERROR(SUMIFS(K:K,A:A,creditcard[[#This Row],[YYYYMM]],E:E,"&lt;=10")/creditcard[[#This Row],[當月停卡數]],"")</f>
        <v/>
      </c>
      <c r="AF232" s="4">
        <f>IFERROR(SUMIFS(L:L,A:A,creditcard[[#This Row],[YYYYMM]],E:E,"&lt;=5")/creditcard[[#This Row],[循環信用餘額]],"")</f>
        <v/>
      </c>
      <c r="AG232" s="4">
        <f>IFERROR(SUMIFS(L:L,A:A,creditcard[[#This Row],[YYYYMM]],E:E,"&lt;=10")/creditcard[[#This Row],[循環信用餘額]],"")</f>
        <v/>
      </c>
      <c r="AH232" s="4">
        <f>IFERROR(SUMIFS(N:N,A:A,creditcard[[#This Row],[YYYYMM]],E:E,"&lt;=5")/creditcard[[#This Row],[當月簽帳金額]],"")</f>
        <v/>
      </c>
      <c r="AI232" s="4">
        <f>IFERROR(SUMIFS(N:N,A:A,creditcard[[#This Row],[YYYYMM]],E:E,"&lt;=10")/creditcard[[#This Row],[當月簽帳金額]],"")</f>
        <v/>
      </c>
    </row>
    <row r="233">
      <c r="A233" s="14" t="n">
        <v>202104</v>
      </c>
      <c r="B233" s="15">
        <f>LEFT(creditcard[[#This Row],[YYYYMM]],4)</f>
        <v/>
      </c>
      <c r="C233" s="15">
        <f>RIGHT(creditcard[[#This Row],[YYYYMM]],2)</f>
        <v/>
      </c>
      <c r="D233" s="15">
        <f>IF(RIGHT(creditcard[[#This Row],[YYYYMM]],2)="--","--","Q"&amp;ROUNDUP(VALUE(RIGHT(creditcard[[#This Row],[YYYYMM]],2))/3,0))</f>
        <v/>
      </c>
      <c r="E233" s="15" t="n">
        <v>1</v>
      </c>
      <c r="F233" s="155" t="inlineStr">
        <is>
          <t>中信</t>
        </is>
      </c>
      <c r="G233" s="156" t="inlineStr">
        <is>
          <t>01 中信</t>
        </is>
      </c>
      <c r="H233" s="157" t="n">
        <v>7496719</v>
      </c>
      <c r="I233" s="157" t="n">
        <v>4833621</v>
      </c>
      <c r="J233" s="157" t="n">
        <v>83013</v>
      </c>
      <c r="K233" s="157" t="n">
        <v>30279</v>
      </c>
      <c r="L233" s="157" t="n">
        <v>15903</v>
      </c>
      <c r="M233" s="16" t="n"/>
      <c r="N233" s="157" t="n">
        <v>34288</v>
      </c>
      <c r="O233" s="16" t="n"/>
      <c r="P233" s="16" t="n"/>
      <c r="Q233" s="17" t="n"/>
      <c r="R233" s="16" t="n"/>
      <c r="S233" s="16" t="n"/>
      <c r="T233" s="16" t="n"/>
      <c r="U233" s="16" t="n"/>
      <c r="V233" s="158" t="n"/>
      <c r="W233" s="16" t="n"/>
      <c r="X233" s="18" t="n"/>
      <c r="Y233" s="18" t="n"/>
      <c r="Z233" s="18" t="n"/>
      <c r="AA233" s="18" t="n"/>
      <c r="AB233" s="18" t="n"/>
      <c r="AC233" s="18" t="n"/>
      <c r="AD233" s="18" t="n"/>
      <c r="AE233" s="18" t="n"/>
      <c r="AF233" s="18" t="n"/>
      <c r="AG233" s="18" t="n"/>
      <c r="AH233" s="18" t="n"/>
      <c r="AI233" s="18" t="n"/>
    </row>
    <row r="234">
      <c r="A234" s="9" t="n">
        <v>202104</v>
      </c>
      <c r="B234" s="10">
        <f>LEFT(creditcard[[#This Row],[YYYYMM]],4)</f>
        <v/>
      </c>
      <c r="C234" s="10">
        <f>RIGHT(creditcard[[#This Row],[YYYYMM]],2)</f>
        <v/>
      </c>
      <c r="D234" s="10">
        <f>IF(RIGHT(creditcard[[#This Row],[YYYYMM]],2)="--","--","Q"&amp;ROUNDUP(VALUE(RIGHT(creditcard[[#This Row],[YYYYMM]],2))/3,0))</f>
        <v/>
      </c>
      <c r="E234" s="10" t="n">
        <v>2</v>
      </c>
      <c r="F234" s="151" t="inlineStr">
        <is>
          <t>富邦</t>
        </is>
      </c>
      <c r="G234" s="152" t="inlineStr">
        <is>
          <t>02 富邦</t>
        </is>
      </c>
      <c r="H234" s="153" t="n">
        <v>3974495</v>
      </c>
      <c r="I234" s="153" t="n">
        <v>2666332</v>
      </c>
      <c r="J234" s="153" t="n">
        <v>52760</v>
      </c>
      <c r="K234" s="153" t="n">
        <v>15045</v>
      </c>
      <c r="L234" s="153" t="n">
        <v>5591</v>
      </c>
      <c r="M234" s="11" t="n"/>
      <c r="N234" s="153" t="n">
        <v>25194</v>
      </c>
      <c r="O234" s="11" t="n"/>
      <c r="P234" s="11" t="n"/>
      <c r="Q234" s="12" t="n"/>
      <c r="R234" s="11" t="n"/>
      <c r="S234" s="11" t="n"/>
      <c r="T234" s="11" t="n"/>
      <c r="U234" s="11" t="n"/>
      <c r="V234" s="154" t="n"/>
      <c r="W234" s="11" t="n"/>
      <c r="X234" s="13" t="n"/>
      <c r="Y234" s="13" t="n"/>
      <c r="Z234" s="13" t="n"/>
      <c r="AA234" s="13" t="n"/>
      <c r="AB234" s="13" t="n"/>
      <c r="AC234" s="13" t="n"/>
      <c r="AD234" s="13" t="n"/>
      <c r="AE234" s="13" t="n"/>
      <c r="AF234" s="13" t="n"/>
      <c r="AG234" s="13" t="n"/>
      <c r="AH234" s="13" t="n"/>
      <c r="AI234" s="13" t="n"/>
    </row>
    <row r="235">
      <c r="A235" s="14" t="n">
        <v>202104</v>
      </c>
      <c r="B235" s="15">
        <f>LEFT(creditcard[[#This Row],[YYYYMM]],4)</f>
        <v/>
      </c>
      <c r="C235" s="15">
        <f>RIGHT(creditcard[[#This Row],[YYYYMM]],2)</f>
        <v/>
      </c>
      <c r="D235" s="15">
        <f>IF(RIGHT(creditcard[[#This Row],[YYYYMM]],2)="--","--","Q"&amp;ROUNDUP(VALUE(RIGHT(creditcard[[#This Row],[YYYYMM]],2))/3,0))</f>
        <v/>
      </c>
      <c r="E235" s="15" t="n">
        <v>3</v>
      </c>
      <c r="F235" s="155" t="inlineStr">
        <is>
          <t>國泰</t>
        </is>
      </c>
      <c r="G235" s="156" t="inlineStr">
        <is>
          <t>03 國泰</t>
        </is>
      </c>
      <c r="H235" s="157" t="n">
        <v>7225828</v>
      </c>
      <c r="I235" s="157" t="n">
        <v>5176869</v>
      </c>
      <c r="J235" s="157" t="n">
        <v>60384</v>
      </c>
      <c r="K235" s="157" t="n">
        <v>26364</v>
      </c>
      <c r="L235" s="157" t="n">
        <v>17755</v>
      </c>
      <c r="M235" s="16" t="n"/>
      <c r="N235" s="157" t="n">
        <v>35888</v>
      </c>
      <c r="O235" s="16" t="n"/>
      <c r="P235" s="16" t="n"/>
      <c r="Q235" s="17" t="n"/>
      <c r="R235" s="16" t="n"/>
      <c r="S235" s="16" t="n"/>
      <c r="T235" s="16" t="n"/>
      <c r="U235" s="16" t="n"/>
      <c r="V235" s="158" t="n"/>
      <c r="W235" s="16" t="n"/>
      <c r="X235" s="18" t="n"/>
      <c r="Y235" s="18" t="n"/>
      <c r="Z235" s="18" t="n"/>
      <c r="AA235" s="18" t="n"/>
      <c r="AB235" s="18" t="n"/>
      <c r="AC235" s="18" t="n"/>
      <c r="AD235" s="18" t="n"/>
      <c r="AE235" s="18" t="n"/>
      <c r="AF235" s="18" t="n"/>
      <c r="AG235" s="18" t="n"/>
      <c r="AH235" s="18" t="n"/>
      <c r="AI235" s="18" t="n"/>
    </row>
    <row r="236">
      <c r="A236" s="9" t="n">
        <v>202104</v>
      </c>
      <c r="B236" s="10">
        <f>LEFT(creditcard[[#This Row],[YYYYMM]],4)</f>
        <v/>
      </c>
      <c r="C236" s="10">
        <f>RIGHT(creditcard[[#This Row],[YYYYMM]],2)</f>
        <v/>
      </c>
      <c r="D236" s="10">
        <f>IF(RIGHT(creditcard[[#This Row],[YYYYMM]],2)="--","--","Q"&amp;ROUNDUP(VALUE(RIGHT(creditcard[[#This Row],[YYYYMM]],2))/3,0))</f>
        <v/>
      </c>
      <c r="E236" s="10" t="n">
        <v>4</v>
      </c>
      <c r="F236" s="151" t="inlineStr">
        <is>
          <t>玉山</t>
        </is>
      </c>
      <c r="G236" s="152" t="inlineStr">
        <is>
          <t>04 玉山</t>
        </is>
      </c>
      <c r="H236" s="153" t="n">
        <v>6454847</v>
      </c>
      <c r="I236" s="153" t="n">
        <v>4486016</v>
      </c>
      <c r="J236" s="153" t="n">
        <v>52489</v>
      </c>
      <c r="K236" s="153" t="n">
        <v>20910</v>
      </c>
      <c r="L236" s="153" t="n">
        <v>12426</v>
      </c>
      <c r="M236" s="11" t="n"/>
      <c r="N236" s="153" t="n">
        <v>33643</v>
      </c>
      <c r="O236" s="11" t="n"/>
      <c r="P236" s="11" t="n"/>
      <c r="Q236" s="12" t="n"/>
      <c r="R236" s="11" t="n"/>
      <c r="S236" s="11" t="n"/>
      <c r="T236" s="11" t="n"/>
      <c r="U236" s="11" t="n"/>
      <c r="V236" s="154" t="n"/>
      <c r="W236" s="11" t="n"/>
      <c r="X236" s="13" t="n"/>
      <c r="Y236" s="13" t="n"/>
      <c r="Z236" s="13" t="n"/>
      <c r="AA236" s="13" t="n"/>
      <c r="AB236" s="13" t="n"/>
      <c r="AC236" s="13" t="n"/>
      <c r="AD236" s="13" t="n"/>
      <c r="AE236" s="13" t="n"/>
      <c r="AF236" s="13" t="n"/>
      <c r="AG236" s="13" t="n"/>
      <c r="AH236" s="13" t="n"/>
      <c r="AI236" s="13" t="n"/>
    </row>
    <row r="237">
      <c r="A237" s="14" t="n">
        <v>202104</v>
      </c>
      <c r="B237" s="15">
        <f>LEFT(creditcard[[#This Row],[YYYYMM]],4)</f>
        <v/>
      </c>
      <c r="C237" s="15">
        <f>RIGHT(creditcard[[#This Row],[YYYYMM]],2)</f>
        <v/>
      </c>
      <c r="D237" s="15">
        <f>IF(RIGHT(creditcard[[#This Row],[YYYYMM]],2)="--","--","Q"&amp;ROUNDUP(VALUE(RIGHT(creditcard[[#This Row],[YYYYMM]],2))/3,0))</f>
        <v/>
      </c>
      <c r="E237" s="15" t="n">
        <v>5</v>
      </c>
      <c r="F237" s="155" t="inlineStr">
        <is>
          <t>台新</t>
        </is>
      </c>
      <c r="G237" s="156" t="inlineStr">
        <is>
          <t>05 台新</t>
        </is>
      </c>
      <c r="H237" s="157" t="n">
        <v>5832494</v>
      </c>
      <c r="I237" s="157" t="n">
        <v>4071519</v>
      </c>
      <c r="J237" s="157" t="n">
        <v>52424</v>
      </c>
      <c r="K237" s="157" t="n">
        <v>33725</v>
      </c>
      <c r="L237" s="157" t="n">
        <v>10200</v>
      </c>
      <c r="M237" s="16" t="n"/>
      <c r="N237" s="157" t="n">
        <v>26166</v>
      </c>
      <c r="O237" s="16" t="n"/>
      <c r="P237" s="16" t="n"/>
      <c r="Q237" s="17" t="n"/>
      <c r="R237" s="16" t="n"/>
      <c r="S237" s="16" t="n"/>
      <c r="T237" s="16" t="n"/>
      <c r="U237" s="16" t="n"/>
      <c r="V237" s="158" t="n"/>
      <c r="W237" s="16" t="n"/>
      <c r="X237" s="18" t="n"/>
      <c r="Y237" s="18" t="n"/>
      <c r="Z237" s="18" t="n"/>
      <c r="AA237" s="18" t="n"/>
      <c r="AB237" s="18" t="n"/>
      <c r="AC237" s="18" t="n"/>
      <c r="AD237" s="18" t="n"/>
      <c r="AE237" s="18" t="n"/>
      <c r="AF237" s="18" t="n"/>
      <c r="AG237" s="18" t="n"/>
      <c r="AH237" s="18" t="n"/>
      <c r="AI237" s="18" t="n"/>
    </row>
    <row r="238">
      <c r="A238" s="9" t="n">
        <v>202104</v>
      </c>
      <c r="B238" s="10">
        <f>LEFT(creditcard[[#This Row],[YYYYMM]],4)</f>
        <v/>
      </c>
      <c r="C238" s="10">
        <f>RIGHT(creditcard[[#This Row],[YYYYMM]],2)</f>
        <v/>
      </c>
      <c r="D238" s="10">
        <f>IF(RIGHT(creditcard[[#This Row],[YYYYMM]],2)="--","--","Q"&amp;ROUNDUP(VALUE(RIGHT(creditcard[[#This Row],[YYYYMM]],2))/3,0))</f>
        <v/>
      </c>
      <c r="E238" s="10" t="n">
        <v>6</v>
      </c>
      <c r="F238" s="151" t="inlineStr">
        <is>
          <t>星展</t>
        </is>
      </c>
      <c r="G238" s="152" t="inlineStr">
        <is>
          <t>06 星展</t>
        </is>
      </c>
      <c r="H238" s="153" t="n">
        <v>608256</v>
      </c>
      <c r="I238" s="153" t="n">
        <v>317198</v>
      </c>
      <c r="J238" s="153" t="n">
        <v>3444</v>
      </c>
      <c r="K238" s="153" t="n">
        <v>4582</v>
      </c>
      <c r="L238" s="153" t="n">
        <v>1358</v>
      </c>
      <c r="M238" s="11" t="n"/>
      <c r="N238" s="153" t="n">
        <v>2727</v>
      </c>
      <c r="O238" s="11" t="n"/>
      <c r="P238" s="11" t="n"/>
      <c r="Q238" s="12" t="n"/>
      <c r="R238" s="11" t="n"/>
      <c r="S238" s="11" t="n"/>
      <c r="T238" s="11" t="n"/>
      <c r="U238" s="11" t="n"/>
      <c r="V238" s="154" t="n"/>
      <c r="W238" s="11" t="n"/>
      <c r="X238" s="13" t="n"/>
      <c r="Y238" s="13" t="n"/>
      <c r="Z238" s="13" t="n"/>
      <c r="AA238" s="13" t="n"/>
      <c r="AB238" s="13" t="n"/>
      <c r="AC238" s="13" t="n"/>
      <c r="AD238" s="13" t="n"/>
      <c r="AE238" s="13" t="n"/>
      <c r="AF238" s="13" t="n"/>
      <c r="AG238" s="13" t="n"/>
      <c r="AH238" s="13" t="n"/>
      <c r="AI238" s="13" t="n"/>
    </row>
    <row r="239">
      <c r="A239" s="14" t="n">
        <v>202104</v>
      </c>
      <c r="B239" s="15">
        <f>LEFT(creditcard[[#This Row],[YYYYMM]],4)</f>
        <v/>
      </c>
      <c r="C239" s="15">
        <f>RIGHT(creditcard[[#This Row],[YYYYMM]],2)</f>
        <v/>
      </c>
      <c r="D239" s="15">
        <f>IF(RIGHT(creditcard[[#This Row],[YYYYMM]],2)="--","--","Q"&amp;ROUNDUP(VALUE(RIGHT(creditcard[[#This Row],[YYYYMM]],2))/3,0))</f>
        <v/>
      </c>
      <c r="E239" s="15" t="n">
        <v>7</v>
      </c>
      <c r="F239" s="155" t="inlineStr">
        <is>
          <t>聯邦</t>
        </is>
      </c>
      <c r="G239" s="156" t="inlineStr">
        <is>
          <t>07 聯邦</t>
        </is>
      </c>
      <c r="H239" s="157" t="n">
        <v>2278950</v>
      </c>
      <c r="I239" s="157" t="n">
        <v>1324602</v>
      </c>
      <c r="J239" s="157" t="n">
        <v>20885</v>
      </c>
      <c r="K239" s="157" t="n">
        <v>10901</v>
      </c>
      <c r="L239" s="157" t="n">
        <v>5508</v>
      </c>
      <c r="M239" s="16" t="n"/>
      <c r="N239" s="157" t="n">
        <v>8130</v>
      </c>
      <c r="O239" s="16" t="n"/>
      <c r="P239" s="16" t="n"/>
      <c r="Q239" s="17" t="n"/>
      <c r="R239" s="16" t="n"/>
      <c r="S239" s="16" t="n"/>
      <c r="T239" s="16" t="n"/>
      <c r="U239" s="16" t="n"/>
      <c r="V239" s="158" t="n"/>
      <c r="W239" s="16" t="n"/>
      <c r="X239" s="18" t="n"/>
      <c r="Y239" s="18" t="n"/>
      <c r="Z239" s="18" t="n"/>
      <c r="AA239" s="18" t="n"/>
      <c r="AB239" s="18" t="n"/>
      <c r="AC239" s="18" t="n"/>
      <c r="AD239" s="18" t="n"/>
      <c r="AE239" s="18" t="n"/>
      <c r="AF239" s="18" t="n"/>
      <c r="AG239" s="18" t="n"/>
      <c r="AH239" s="18" t="n"/>
      <c r="AI239" s="18" t="n"/>
    </row>
    <row r="240">
      <c r="A240" s="9" t="n">
        <v>202104</v>
      </c>
      <c r="B240" s="10">
        <f>LEFT(creditcard[[#This Row],[YYYYMM]],4)</f>
        <v/>
      </c>
      <c r="C240" s="10">
        <f>RIGHT(creditcard[[#This Row],[YYYYMM]],2)</f>
        <v/>
      </c>
      <c r="D240" s="10">
        <f>IF(RIGHT(creditcard[[#This Row],[YYYYMM]],2)="--","--","Q"&amp;ROUNDUP(VALUE(RIGHT(creditcard[[#This Row],[YYYYMM]],2))/3,0))</f>
        <v/>
      </c>
      <c r="E240" s="10" t="n">
        <v>8</v>
      </c>
      <c r="F240" s="151" t="inlineStr">
        <is>
          <t>永豐</t>
        </is>
      </c>
      <c r="G240" s="152" t="inlineStr">
        <is>
          <t>08 永豐</t>
        </is>
      </c>
      <c r="H240" s="153" t="n">
        <v>2108374</v>
      </c>
      <c r="I240" s="153" t="n">
        <v>1138686</v>
      </c>
      <c r="J240" s="153" t="n">
        <v>21546</v>
      </c>
      <c r="K240" s="153" t="n">
        <v>7718</v>
      </c>
      <c r="L240" s="153" t="n">
        <v>4026</v>
      </c>
      <c r="M240" s="11" t="n"/>
      <c r="N240" s="153" t="n">
        <v>8900</v>
      </c>
      <c r="O240" s="11" t="n"/>
      <c r="P240" s="11" t="n"/>
      <c r="Q240" s="12" t="n"/>
      <c r="R240" s="11" t="n"/>
      <c r="S240" s="11" t="n"/>
      <c r="T240" s="11" t="n"/>
      <c r="U240" s="11" t="n"/>
      <c r="V240" s="154" t="n"/>
      <c r="W240" s="11" t="n"/>
      <c r="X240" s="13" t="n"/>
      <c r="Y240" s="13" t="n"/>
      <c r="Z240" s="13" t="n"/>
      <c r="AA240" s="13" t="n"/>
      <c r="AB240" s="13" t="n"/>
      <c r="AC240" s="13" t="n"/>
      <c r="AD240" s="13" t="n"/>
      <c r="AE240" s="13" t="n"/>
      <c r="AF240" s="13" t="n"/>
      <c r="AG240" s="13" t="n"/>
      <c r="AH240" s="13" t="n"/>
      <c r="AI240" s="13" t="n"/>
    </row>
    <row r="241">
      <c r="A241" s="14" t="n">
        <v>202104</v>
      </c>
      <c r="B241" s="15">
        <f>LEFT(creditcard[[#This Row],[YYYYMM]],4)</f>
        <v/>
      </c>
      <c r="C241" s="15">
        <f>RIGHT(creditcard[[#This Row],[YYYYMM]],2)</f>
        <v/>
      </c>
      <c r="D241" s="15">
        <f>IF(RIGHT(creditcard[[#This Row],[YYYYMM]],2)="--","--","Q"&amp;ROUNDUP(VALUE(RIGHT(creditcard[[#This Row],[YYYYMM]],2))/3,0))</f>
        <v/>
      </c>
      <c r="E241" s="15" t="n">
        <v>9</v>
      </c>
      <c r="F241" s="155" t="inlineStr">
        <is>
          <t>第一</t>
        </is>
      </c>
      <c r="G241" s="156" t="inlineStr">
        <is>
          <t>09 第一</t>
        </is>
      </c>
      <c r="H241" s="157" t="n">
        <v>1347687</v>
      </c>
      <c r="I241" s="157" t="n">
        <v>809656</v>
      </c>
      <c r="J241" s="157" t="n">
        <v>39324</v>
      </c>
      <c r="K241" s="157" t="n">
        <v>11725</v>
      </c>
      <c r="L241" s="157" t="n">
        <v>1454</v>
      </c>
      <c r="M241" s="16" t="n"/>
      <c r="N241" s="157" t="n">
        <v>4353</v>
      </c>
      <c r="O241" s="16" t="n"/>
      <c r="P241" s="16" t="n"/>
      <c r="Q241" s="17" t="n"/>
      <c r="R241" s="16" t="n"/>
      <c r="S241" s="16" t="n"/>
      <c r="T241" s="16" t="n"/>
      <c r="U241" s="16" t="n"/>
      <c r="V241" s="158" t="n"/>
      <c r="W241" s="16" t="n"/>
      <c r="X241" s="18" t="n"/>
      <c r="Y241" s="18" t="n"/>
      <c r="Z241" s="18" t="n"/>
      <c r="AA241" s="18" t="n"/>
      <c r="AB241" s="18" t="n"/>
      <c r="AC241" s="18" t="n"/>
      <c r="AD241" s="18" t="n"/>
      <c r="AE241" s="18" t="n"/>
      <c r="AF241" s="18" t="n"/>
      <c r="AG241" s="18" t="n"/>
      <c r="AH241" s="18" t="n"/>
      <c r="AI241" s="18" t="n"/>
    </row>
    <row r="242">
      <c r="A242" s="9" t="n">
        <v>202104</v>
      </c>
      <c r="B242" s="10">
        <f>LEFT(creditcard[[#This Row],[YYYYMM]],4)</f>
        <v/>
      </c>
      <c r="C242" s="10">
        <f>RIGHT(creditcard[[#This Row],[YYYYMM]],2)</f>
        <v/>
      </c>
      <c r="D242" s="10">
        <f>IF(RIGHT(creditcard[[#This Row],[YYYYMM]],2)="--","--","Q"&amp;ROUNDUP(VALUE(RIGHT(creditcard[[#This Row],[YYYYMM]],2))/3,0))</f>
        <v/>
      </c>
      <c r="E242" s="10" t="n">
        <v>10</v>
      </c>
      <c r="F242" s="151" t="inlineStr">
        <is>
          <t>遠東</t>
        </is>
      </c>
      <c r="G242" s="152" t="inlineStr">
        <is>
          <t>10 遠東</t>
        </is>
      </c>
      <c r="H242" s="153" t="n">
        <v>1640412</v>
      </c>
      <c r="I242" s="153" t="n">
        <v>1043161</v>
      </c>
      <c r="J242" s="153" t="n">
        <v>10479</v>
      </c>
      <c r="K242" s="153" t="n">
        <v>6297</v>
      </c>
      <c r="L242" s="153" t="n">
        <v>4000</v>
      </c>
      <c r="M242" s="11" t="n"/>
      <c r="N242" s="153" t="n">
        <v>3940</v>
      </c>
      <c r="O242" s="11" t="n"/>
      <c r="P242" s="11" t="n"/>
      <c r="Q242" s="12" t="n"/>
      <c r="R242" s="11" t="n"/>
      <c r="S242" s="11" t="n"/>
      <c r="T242" s="11" t="n"/>
      <c r="U242" s="11" t="n"/>
      <c r="V242" s="154" t="n"/>
      <c r="W242" s="11" t="n"/>
      <c r="X242" s="13" t="n"/>
      <c r="Y242" s="13" t="n"/>
      <c r="Z242" s="13" t="n"/>
      <c r="AA242" s="13" t="n"/>
      <c r="AB242" s="13" t="n"/>
      <c r="AC242" s="13" t="n"/>
      <c r="AD242" s="13" t="n"/>
      <c r="AE242" s="13" t="n"/>
      <c r="AF242" s="13" t="n"/>
      <c r="AG242" s="13" t="n"/>
      <c r="AH242" s="13" t="n"/>
      <c r="AI242" s="13" t="n"/>
    </row>
    <row r="243">
      <c r="A243" s="14" t="n">
        <v>202104</v>
      </c>
      <c r="B243" s="15">
        <f>LEFT(creditcard[[#This Row],[YYYYMM]],4)</f>
        <v/>
      </c>
      <c r="C243" s="15">
        <f>RIGHT(creditcard[[#This Row],[YYYYMM]],2)</f>
        <v/>
      </c>
      <c r="D243" s="15">
        <f>IF(RIGHT(creditcard[[#This Row],[YYYYMM]],2)="--","--","Q"&amp;ROUNDUP(VALUE(RIGHT(creditcard[[#This Row],[YYYYMM]],2))/3,0))</f>
        <v/>
      </c>
      <c r="E243" s="15" t="n">
        <v>11</v>
      </c>
      <c r="F243" s="155" t="inlineStr">
        <is>
          <t>市場總計</t>
        </is>
      </c>
      <c r="G243" s="156" t="inlineStr">
        <is>
          <t>11 市場總計</t>
        </is>
      </c>
      <c r="H243" s="157" t="n">
        <v>51087142</v>
      </c>
      <c r="I243" s="157" t="n">
        <v>33342552</v>
      </c>
      <c r="J243" s="157" t="n">
        <v>519526</v>
      </c>
      <c r="K243" s="157" t="n">
        <v>251996</v>
      </c>
      <c r="L243" s="157" t="n">
        <v>103025</v>
      </c>
      <c r="M243" s="16" t="n"/>
      <c r="N243" s="157" t="n">
        <v>234944</v>
      </c>
      <c r="O243" s="16" t="n"/>
      <c r="P243" s="16" t="n"/>
      <c r="Q243" s="17" t="n"/>
      <c r="R243" s="16" t="n"/>
      <c r="S243" s="16" t="n"/>
      <c r="T243" s="16" t="n"/>
      <c r="U243" s="16" t="n"/>
      <c r="V243" s="158" t="n">
        <v>4.33</v>
      </c>
      <c r="W243" s="16">
        <f>SUMIFS(H:H,A:A,creditcard[[#This Row],[YYYYMM]],G:G,creditcard[[#This Row],[Item]])</f>
        <v/>
      </c>
      <c r="X243" s="4">
        <f>IFERROR(SUMIFS(H:H,A:A,creditcard[[#This Row],[YYYYMM]],E:E,"&lt;=5")/creditcard[[#This Row],[市場總計]],"")</f>
        <v/>
      </c>
      <c r="Y243" s="4">
        <f>IFERROR(SUMIFS(H:H,A:A,creditcard[[#This Row],[YYYYMM]],E:E,"&lt;=10")/creditcard[[#This Row],[市場總計]],"")</f>
        <v/>
      </c>
      <c r="Z243" s="4">
        <f>IFERROR(SUMIFS(I:I,A:A,creditcard[[#This Row],[YYYYMM]],E:E,"&lt;=5")/creditcard[[#This Row],[有效卡數]],"")</f>
        <v/>
      </c>
      <c r="AA243" s="4">
        <f>IFERROR(SUMIFS(I:I,A:A,creditcard[[#This Row],[YYYYMM]],E:E,"&lt;=10")/creditcard[[#This Row],[有效卡數]],"")</f>
        <v/>
      </c>
      <c r="AB243" s="4">
        <f>IFERROR(SUMIFS(J:J,A:A,creditcard[[#This Row],[YYYYMM]],E:E,"&lt;=5")/creditcard[[#This Row],[當月發卡數]],"")</f>
        <v/>
      </c>
      <c r="AC243" s="4">
        <f>IFERROR(SUMIFS(J:J,A:A,creditcard[[#This Row],[YYYYMM]],E:E,"&lt;=10")/creditcard[[#This Row],[當月發卡數]],"")</f>
        <v/>
      </c>
      <c r="AD243" s="4">
        <f>IFERROR(SUMIFS(K:K,A:A,creditcard[[#This Row],[YYYYMM]],E:E,"&lt;=5")/creditcard[[#This Row],[當月停卡數]],"")</f>
        <v/>
      </c>
      <c r="AE243" s="4">
        <f>IFERROR(SUMIFS(K:K,A:A,creditcard[[#This Row],[YYYYMM]],E:E,"&lt;=10")/creditcard[[#This Row],[當月停卡數]],"")</f>
        <v/>
      </c>
      <c r="AF243" s="4">
        <f>IFERROR(SUMIFS(L:L,A:A,creditcard[[#This Row],[YYYYMM]],E:E,"&lt;=5")/creditcard[[#This Row],[循環信用餘額]],"")</f>
        <v/>
      </c>
      <c r="AG243" s="4">
        <f>IFERROR(SUMIFS(L:L,A:A,creditcard[[#This Row],[YYYYMM]],E:E,"&lt;=10")/creditcard[[#This Row],[循環信用餘額]],"")</f>
        <v/>
      </c>
      <c r="AH243" s="4">
        <f>IFERROR(SUMIFS(N:N,A:A,creditcard[[#This Row],[YYYYMM]],E:E,"&lt;=5")/creditcard[[#This Row],[當月簽帳金額]],"")</f>
        <v/>
      </c>
      <c r="AI243" s="4">
        <f>IFERROR(SUMIFS(N:N,A:A,creditcard[[#This Row],[YYYYMM]],E:E,"&lt;=10")/creditcard[[#This Row],[當月簽帳金額]],"")</f>
        <v/>
      </c>
    </row>
    <row r="244">
      <c r="A244" s="9" t="n">
        <v>202105</v>
      </c>
      <c r="B244" s="10">
        <f>LEFT(creditcard[[#This Row],[YYYYMM]],4)</f>
        <v/>
      </c>
      <c r="C244" s="10">
        <f>RIGHT(creditcard[[#This Row],[YYYYMM]],2)</f>
        <v/>
      </c>
      <c r="D244" s="10">
        <f>IF(RIGHT(creditcard[[#This Row],[YYYYMM]],2)="--","--","Q"&amp;ROUNDUP(VALUE(RIGHT(creditcard[[#This Row],[YYYYMM]],2))/3,0))</f>
        <v/>
      </c>
      <c r="E244" s="10" t="n">
        <v>1</v>
      </c>
      <c r="F244" s="151" t="inlineStr">
        <is>
          <t>中信</t>
        </is>
      </c>
      <c r="G244" s="152" t="inlineStr">
        <is>
          <t>01 中信</t>
        </is>
      </c>
      <c r="H244" s="153" t="n">
        <v>7535732</v>
      </c>
      <c r="I244" s="153" t="n">
        <v>4852071</v>
      </c>
      <c r="J244" s="153" t="n">
        <v>71291</v>
      </c>
      <c r="K244" s="153" t="n">
        <v>32278</v>
      </c>
      <c r="L244" s="153" t="n">
        <v>15839</v>
      </c>
      <c r="M244" s="11" t="n"/>
      <c r="N244" s="153" t="n">
        <v>34955</v>
      </c>
      <c r="O244" s="11" t="n"/>
      <c r="P244" s="11" t="n"/>
      <c r="Q244" s="12" t="n"/>
      <c r="R244" s="11" t="n"/>
      <c r="S244" s="11" t="n"/>
      <c r="T244" s="11" t="n"/>
      <c r="U244" s="11" t="n"/>
      <c r="V244" s="154" t="n"/>
      <c r="W244" s="11" t="n"/>
      <c r="X244" s="13" t="n"/>
      <c r="Y244" s="13" t="n"/>
      <c r="Z244" s="13" t="n"/>
      <c r="AA244" s="13" t="n"/>
      <c r="AB244" s="13" t="n"/>
      <c r="AC244" s="13" t="n"/>
      <c r="AD244" s="13" t="n"/>
      <c r="AE244" s="13" t="n"/>
      <c r="AF244" s="13" t="n"/>
      <c r="AG244" s="13" t="n"/>
      <c r="AH244" s="13" t="n"/>
      <c r="AI244" s="13" t="n"/>
    </row>
    <row r="245">
      <c r="A245" s="14" t="n">
        <v>202105</v>
      </c>
      <c r="B245" s="15">
        <f>LEFT(creditcard[[#This Row],[YYYYMM]],4)</f>
        <v/>
      </c>
      <c r="C245" s="15">
        <f>RIGHT(creditcard[[#This Row],[YYYYMM]],2)</f>
        <v/>
      </c>
      <c r="D245" s="15">
        <f>IF(RIGHT(creditcard[[#This Row],[YYYYMM]],2)="--","--","Q"&amp;ROUNDUP(VALUE(RIGHT(creditcard[[#This Row],[YYYYMM]],2))/3,0))</f>
        <v/>
      </c>
      <c r="E245" s="15" t="n">
        <v>2</v>
      </c>
      <c r="F245" s="155" t="inlineStr">
        <is>
          <t>富邦</t>
        </is>
      </c>
      <c r="G245" s="156" t="inlineStr">
        <is>
          <t>02 富邦</t>
        </is>
      </c>
      <c r="H245" s="157" t="n">
        <v>4024569</v>
      </c>
      <c r="I245" s="157" t="n">
        <v>2687538</v>
      </c>
      <c r="J245" s="157" t="n">
        <v>65279</v>
      </c>
      <c r="K245" s="157" t="n">
        <v>15205</v>
      </c>
      <c r="L245" s="157" t="n">
        <v>5679</v>
      </c>
      <c r="M245" s="16" t="n"/>
      <c r="N245" s="157" t="n">
        <v>24612</v>
      </c>
      <c r="O245" s="16" t="n"/>
      <c r="P245" s="16" t="n"/>
      <c r="Q245" s="17" t="n"/>
      <c r="R245" s="16" t="n"/>
      <c r="S245" s="16" t="n"/>
      <c r="T245" s="16" t="n"/>
      <c r="U245" s="16" t="n"/>
      <c r="V245" s="158" t="n"/>
      <c r="W245" s="16" t="n"/>
      <c r="X245" s="18" t="n"/>
      <c r="Y245" s="18" t="n"/>
      <c r="Z245" s="18" t="n"/>
      <c r="AA245" s="18" t="n"/>
      <c r="AB245" s="18" t="n"/>
      <c r="AC245" s="18" t="n"/>
      <c r="AD245" s="18" t="n"/>
      <c r="AE245" s="18" t="n"/>
      <c r="AF245" s="18" t="n"/>
      <c r="AG245" s="18" t="n"/>
      <c r="AH245" s="18" t="n"/>
      <c r="AI245" s="18" t="n"/>
    </row>
    <row r="246">
      <c r="A246" s="9" t="n">
        <v>202105</v>
      </c>
      <c r="B246" s="10">
        <f>LEFT(creditcard[[#This Row],[YYYYMM]],4)</f>
        <v/>
      </c>
      <c r="C246" s="10">
        <f>RIGHT(creditcard[[#This Row],[YYYYMM]],2)</f>
        <v/>
      </c>
      <c r="D246" s="10">
        <f>IF(RIGHT(creditcard[[#This Row],[YYYYMM]],2)="--","--","Q"&amp;ROUNDUP(VALUE(RIGHT(creditcard[[#This Row],[YYYYMM]],2))/3,0))</f>
        <v/>
      </c>
      <c r="E246" s="10" t="n">
        <v>3</v>
      </c>
      <c r="F246" s="151" t="inlineStr">
        <is>
          <t>國泰</t>
        </is>
      </c>
      <c r="G246" s="152" t="inlineStr">
        <is>
          <t>03 國泰</t>
        </is>
      </c>
      <c r="H246" s="153" t="n">
        <v>7243809</v>
      </c>
      <c r="I246" s="153" t="n">
        <v>5179858</v>
      </c>
      <c r="J246" s="153" t="n">
        <v>45409</v>
      </c>
      <c r="K246" s="153" t="n">
        <v>27428</v>
      </c>
      <c r="L246" s="153" t="n">
        <v>17862</v>
      </c>
      <c r="M246" s="11" t="n"/>
      <c r="N246" s="153" t="n">
        <v>40963</v>
      </c>
      <c r="O246" s="11" t="n"/>
      <c r="P246" s="11" t="n"/>
      <c r="Q246" s="12" t="n"/>
      <c r="R246" s="11" t="n"/>
      <c r="S246" s="11" t="n"/>
      <c r="T246" s="11" t="n"/>
      <c r="U246" s="11" t="n"/>
      <c r="V246" s="154" t="n"/>
      <c r="W246" s="11" t="n"/>
      <c r="X246" s="13" t="n"/>
      <c r="Y246" s="13" t="n"/>
      <c r="Z246" s="13" t="n"/>
      <c r="AA246" s="13" t="n"/>
      <c r="AB246" s="13" t="n"/>
      <c r="AC246" s="13" t="n"/>
      <c r="AD246" s="13" t="n"/>
      <c r="AE246" s="13" t="n"/>
      <c r="AF246" s="13" t="n"/>
      <c r="AG246" s="13" t="n"/>
      <c r="AH246" s="13" t="n"/>
      <c r="AI246" s="13" t="n"/>
    </row>
    <row r="247">
      <c r="A247" s="14" t="n">
        <v>202105</v>
      </c>
      <c r="B247" s="15">
        <f>LEFT(creditcard[[#This Row],[YYYYMM]],4)</f>
        <v/>
      </c>
      <c r="C247" s="15">
        <f>RIGHT(creditcard[[#This Row],[YYYYMM]],2)</f>
        <v/>
      </c>
      <c r="D247" s="15">
        <f>IF(RIGHT(creditcard[[#This Row],[YYYYMM]],2)="--","--","Q"&amp;ROUNDUP(VALUE(RIGHT(creditcard[[#This Row],[YYYYMM]],2))/3,0))</f>
        <v/>
      </c>
      <c r="E247" s="15" t="n">
        <v>4</v>
      </c>
      <c r="F247" s="155" t="inlineStr">
        <is>
          <t>玉山</t>
        </is>
      </c>
      <c r="G247" s="156" t="inlineStr">
        <is>
          <t>04 玉山</t>
        </is>
      </c>
      <c r="H247" s="157" t="n">
        <v>6475418</v>
      </c>
      <c r="I247" s="157" t="n">
        <v>4494700</v>
      </c>
      <c r="J247" s="157" t="n">
        <v>39298</v>
      </c>
      <c r="K247" s="157" t="n">
        <v>18727</v>
      </c>
      <c r="L247" s="157" t="n">
        <v>12479</v>
      </c>
      <c r="M247" s="16" t="n"/>
      <c r="N247" s="157" t="n">
        <v>35223</v>
      </c>
      <c r="O247" s="16" t="n"/>
      <c r="P247" s="16" t="n"/>
      <c r="Q247" s="17" t="n"/>
      <c r="R247" s="16" t="n"/>
      <c r="S247" s="16" t="n"/>
      <c r="T247" s="16" t="n"/>
      <c r="U247" s="16" t="n"/>
      <c r="V247" s="158" t="n"/>
      <c r="W247" s="16" t="n"/>
      <c r="X247" s="18" t="n"/>
      <c r="Y247" s="18" t="n"/>
      <c r="Z247" s="18" t="n"/>
      <c r="AA247" s="18" t="n"/>
      <c r="AB247" s="18" t="n"/>
      <c r="AC247" s="18" t="n"/>
      <c r="AD247" s="18" t="n"/>
      <c r="AE247" s="18" t="n"/>
      <c r="AF247" s="18" t="n"/>
      <c r="AG247" s="18" t="n"/>
      <c r="AH247" s="18" t="n"/>
      <c r="AI247" s="18" t="n"/>
    </row>
    <row r="248">
      <c r="A248" s="9" t="n">
        <v>202105</v>
      </c>
      <c r="B248" s="10">
        <f>LEFT(creditcard[[#This Row],[YYYYMM]],4)</f>
        <v/>
      </c>
      <c r="C248" s="10">
        <f>RIGHT(creditcard[[#This Row],[YYYYMM]],2)</f>
        <v/>
      </c>
      <c r="D248" s="10">
        <f>IF(RIGHT(creditcard[[#This Row],[YYYYMM]],2)="--","--","Q"&amp;ROUNDUP(VALUE(RIGHT(creditcard[[#This Row],[YYYYMM]],2))/3,0))</f>
        <v/>
      </c>
      <c r="E248" s="10" t="n">
        <v>5</v>
      </c>
      <c r="F248" s="151" t="inlineStr">
        <is>
          <t>台新</t>
        </is>
      </c>
      <c r="G248" s="152" t="inlineStr">
        <is>
          <t>05 台新</t>
        </is>
      </c>
      <c r="H248" s="153" t="n">
        <v>5854447</v>
      </c>
      <c r="I248" s="153" t="n">
        <v>4072757</v>
      </c>
      <c r="J248" s="153" t="n">
        <v>47851</v>
      </c>
      <c r="K248" s="153" t="n">
        <v>25898</v>
      </c>
      <c r="L248" s="153" t="n">
        <v>10267</v>
      </c>
      <c r="M248" s="11" t="n"/>
      <c r="N248" s="153" t="n">
        <v>26088</v>
      </c>
      <c r="O248" s="11" t="n"/>
      <c r="P248" s="11" t="n"/>
      <c r="Q248" s="12" t="n"/>
      <c r="R248" s="11" t="n"/>
      <c r="S248" s="11" t="n"/>
      <c r="T248" s="11" t="n"/>
      <c r="U248" s="11" t="n"/>
      <c r="V248" s="154" t="n"/>
      <c r="W248" s="11" t="n"/>
      <c r="X248" s="13" t="n"/>
      <c r="Y248" s="13" t="n"/>
      <c r="Z248" s="13" t="n"/>
      <c r="AA248" s="13" t="n"/>
      <c r="AB248" s="13" t="n"/>
      <c r="AC248" s="13" t="n"/>
      <c r="AD248" s="13" t="n"/>
      <c r="AE248" s="13" t="n"/>
      <c r="AF248" s="13" t="n"/>
      <c r="AG248" s="13" t="n"/>
      <c r="AH248" s="13" t="n"/>
      <c r="AI248" s="13" t="n"/>
    </row>
    <row r="249">
      <c r="A249" s="14" t="n">
        <v>202105</v>
      </c>
      <c r="B249" s="15">
        <f>LEFT(creditcard[[#This Row],[YYYYMM]],4)</f>
        <v/>
      </c>
      <c r="C249" s="15">
        <f>RIGHT(creditcard[[#This Row],[YYYYMM]],2)</f>
        <v/>
      </c>
      <c r="D249" s="15">
        <f>IF(RIGHT(creditcard[[#This Row],[YYYYMM]],2)="--","--","Q"&amp;ROUNDUP(VALUE(RIGHT(creditcard[[#This Row],[YYYYMM]],2))/3,0))</f>
        <v/>
      </c>
      <c r="E249" s="15" t="n">
        <v>6</v>
      </c>
      <c r="F249" s="155" t="inlineStr">
        <is>
          <t>星展</t>
        </is>
      </c>
      <c r="G249" s="156" t="inlineStr">
        <is>
          <t>06 星展</t>
        </is>
      </c>
      <c r="H249" s="157" t="n">
        <v>608911</v>
      </c>
      <c r="I249" s="157" t="n">
        <v>315593</v>
      </c>
      <c r="J249" s="157" t="n">
        <v>3482</v>
      </c>
      <c r="K249" s="157" t="n">
        <v>5080</v>
      </c>
      <c r="L249" s="157" t="n">
        <v>1345</v>
      </c>
      <c r="M249" s="16" t="n"/>
      <c r="N249" s="157" t="n">
        <v>2626</v>
      </c>
      <c r="O249" s="16" t="n"/>
      <c r="P249" s="16" t="n"/>
      <c r="Q249" s="17" t="n"/>
      <c r="R249" s="16" t="n"/>
      <c r="S249" s="16" t="n"/>
      <c r="T249" s="16" t="n"/>
      <c r="U249" s="16" t="n"/>
      <c r="V249" s="158" t="n"/>
      <c r="W249" s="16" t="n"/>
      <c r="X249" s="18" t="n"/>
      <c r="Y249" s="18" t="n"/>
      <c r="Z249" s="18" t="n"/>
      <c r="AA249" s="18" t="n"/>
      <c r="AB249" s="18" t="n"/>
      <c r="AC249" s="18" t="n"/>
      <c r="AD249" s="18" t="n"/>
      <c r="AE249" s="18" t="n"/>
      <c r="AF249" s="18" t="n"/>
      <c r="AG249" s="18" t="n"/>
      <c r="AH249" s="18" t="n"/>
      <c r="AI249" s="18" t="n"/>
    </row>
    <row r="250">
      <c r="A250" s="9" t="n">
        <v>202105</v>
      </c>
      <c r="B250" s="10">
        <f>LEFT(creditcard[[#This Row],[YYYYMM]],4)</f>
        <v/>
      </c>
      <c r="C250" s="10">
        <f>RIGHT(creditcard[[#This Row],[YYYYMM]],2)</f>
        <v/>
      </c>
      <c r="D250" s="10">
        <f>IF(RIGHT(creditcard[[#This Row],[YYYYMM]],2)="--","--","Q"&amp;ROUNDUP(VALUE(RIGHT(creditcard[[#This Row],[YYYYMM]],2))/3,0))</f>
        <v/>
      </c>
      <c r="E250" s="10" t="n">
        <v>7</v>
      </c>
      <c r="F250" s="151" t="inlineStr">
        <is>
          <t>聯邦</t>
        </is>
      </c>
      <c r="G250" s="152" t="inlineStr">
        <is>
          <t>07 聯邦</t>
        </is>
      </c>
      <c r="H250" s="153" t="n">
        <v>2287248</v>
      </c>
      <c r="I250" s="153" t="n">
        <v>1329565</v>
      </c>
      <c r="J250" s="153" t="n">
        <v>18418</v>
      </c>
      <c r="K250" s="153" t="n">
        <v>10120</v>
      </c>
      <c r="L250" s="153" t="n">
        <v>5542</v>
      </c>
      <c r="M250" s="11" t="n"/>
      <c r="N250" s="153" t="n">
        <v>8039</v>
      </c>
      <c r="O250" s="11" t="n"/>
      <c r="P250" s="11" t="n"/>
      <c r="Q250" s="12" t="n"/>
      <c r="R250" s="11" t="n"/>
      <c r="S250" s="11" t="n"/>
      <c r="T250" s="11" t="n"/>
      <c r="U250" s="11" t="n"/>
      <c r="V250" s="154" t="n"/>
      <c r="W250" s="11" t="n"/>
      <c r="X250" s="13" t="n"/>
      <c r="Y250" s="13" t="n"/>
      <c r="Z250" s="13" t="n"/>
      <c r="AA250" s="13" t="n"/>
      <c r="AB250" s="13" t="n"/>
      <c r="AC250" s="13" t="n"/>
      <c r="AD250" s="13" t="n"/>
      <c r="AE250" s="13" t="n"/>
      <c r="AF250" s="13" t="n"/>
      <c r="AG250" s="13" t="n"/>
      <c r="AH250" s="13" t="n"/>
      <c r="AI250" s="13" t="n"/>
    </row>
    <row r="251">
      <c r="A251" s="14" t="n">
        <v>202105</v>
      </c>
      <c r="B251" s="15">
        <f>LEFT(creditcard[[#This Row],[YYYYMM]],4)</f>
        <v/>
      </c>
      <c r="C251" s="15">
        <f>RIGHT(creditcard[[#This Row],[YYYYMM]],2)</f>
        <v/>
      </c>
      <c r="D251" s="15">
        <f>IF(RIGHT(creditcard[[#This Row],[YYYYMM]],2)="--","--","Q"&amp;ROUNDUP(VALUE(RIGHT(creditcard[[#This Row],[YYYYMM]],2))/3,0))</f>
        <v/>
      </c>
      <c r="E251" s="15" t="n">
        <v>8</v>
      </c>
      <c r="F251" s="155" t="inlineStr">
        <is>
          <t>永豐</t>
        </is>
      </c>
      <c r="G251" s="156" t="inlineStr">
        <is>
          <t>08 永豐</t>
        </is>
      </c>
      <c r="H251" s="157" t="n">
        <v>2117362</v>
      </c>
      <c r="I251" s="157" t="n">
        <v>1143720</v>
      </c>
      <c r="J251" s="157" t="n">
        <v>15365</v>
      </c>
      <c r="K251" s="157" t="n">
        <v>6488</v>
      </c>
      <c r="L251" s="157" t="n">
        <v>4052</v>
      </c>
      <c r="M251" s="16" t="n"/>
      <c r="N251" s="157" t="n">
        <v>9066</v>
      </c>
      <c r="O251" s="16" t="n"/>
      <c r="P251" s="16" t="n"/>
      <c r="Q251" s="17" t="n"/>
      <c r="R251" s="16" t="n"/>
      <c r="S251" s="16" t="n"/>
      <c r="T251" s="16" t="n"/>
      <c r="U251" s="16" t="n"/>
      <c r="V251" s="158" t="n"/>
      <c r="W251" s="16" t="n"/>
      <c r="X251" s="18" t="n"/>
      <c r="Y251" s="18" t="n"/>
      <c r="Z251" s="18" t="n"/>
      <c r="AA251" s="18" t="n"/>
      <c r="AB251" s="18" t="n"/>
      <c r="AC251" s="18" t="n"/>
      <c r="AD251" s="18" t="n"/>
      <c r="AE251" s="18" t="n"/>
      <c r="AF251" s="18" t="n"/>
      <c r="AG251" s="18" t="n"/>
      <c r="AH251" s="18" t="n"/>
      <c r="AI251" s="18" t="n"/>
    </row>
    <row r="252">
      <c r="A252" s="9" t="n">
        <v>202105</v>
      </c>
      <c r="B252" s="10">
        <f>LEFT(creditcard[[#This Row],[YYYYMM]],4)</f>
        <v/>
      </c>
      <c r="C252" s="10">
        <f>RIGHT(creditcard[[#This Row],[YYYYMM]],2)</f>
        <v/>
      </c>
      <c r="D252" s="10">
        <f>IF(RIGHT(creditcard[[#This Row],[YYYYMM]],2)="--","--","Q"&amp;ROUNDUP(VALUE(RIGHT(creditcard[[#This Row],[YYYYMM]],2))/3,0))</f>
        <v/>
      </c>
      <c r="E252" s="10" t="n">
        <v>9</v>
      </c>
      <c r="F252" s="151" t="inlineStr">
        <is>
          <t>第一</t>
        </is>
      </c>
      <c r="G252" s="152" t="inlineStr">
        <is>
          <t>09 第一</t>
        </is>
      </c>
      <c r="H252" s="153" t="n">
        <v>1364554</v>
      </c>
      <c r="I252" s="153" t="n">
        <v>822821</v>
      </c>
      <c r="J252" s="153" t="n">
        <v>24890</v>
      </c>
      <c r="K252" s="153" t="n">
        <v>10515</v>
      </c>
      <c r="L252" s="153" t="n">
        <v>1465</v>
      </c>
      <c r="M252" s="11" t="n"/>
      <c r="N252" s="153" t="n">
        <v>4507</v>
      </c>
      <c r="O252" s="11" t="n"/>
      <c r="P252" s="11" t="n"/>
      <c r="Q252" s="12" t="n"/>
      <c r="R252" s="11" t="n"/>
      <c r="S252" s="11" t="n"/>
      <c r="T252" s="11" t="n"/>
      <c r="U252" s="11" t="n"/>
      <c r="V252" s="154" t="n"/>
      <c r="W252" s="11" t="n"/>
      <c r="X252" s="13" t="n"/>
      <c r="Y252" s="13" t="n"/>
      <c r="Z252" s="13" t="n"/>
      <c r="AA252" s="13" t="n"/>
      <c r="AB252" s="13" t="n"/>
      <c r="AC252" s="13" t="n"/>
      <c r="AD252" s="13" t="n"/>
      <c r="AE252" s="13" t="n"/>
      <c r="AF252" s="13" t="n"/>
      <c r="AG252" s="13" t="n"/>
      <c r="AH252" s="13" t="n"/>
      <c r="AI252" s="13" t="n"/>
    </row>
    <row r="253">
      <c r="A253" s="14" t="n">
        <v>202105</v>
      </c>
      <c r="B253" s="15">
        <f>LEFT(creditcard[[#This Row],[YYYYMM]],4)</f>
        <v/>
      </c>
      <c r="C253" s="15">
        <f>RIGHT(creditcard[[#This Row],[YYYYMM]],2)</f>
        <v/>
      </c>
      <c r="D253" s="15">
        <f>IF(RIGHT(creditcard[[#This Row],[YYYYMM]],2)="--","--","Q"&amp;ROUNDUP(VALUE(RIGHT(creditcard[[#This Row],[YYYYMM]],2))/3,0))</f>
        <v/>
      </c>
      <c r="E253" s="15" t="n">
        <v>10</v>
      </c>
      <c r="F253" s="155" t="inlineStr">
        <is>
          <t>遠東</t>
        </is>
      </c>
      <c r="G253" s="156" t="inlineStr">
        <is>
          <t>10 遠東</t>
        </is>
      </c>
      <c r="H253" s="157" t="n">
        <v>1641408</v>
      </c>
      <c r="I253" s="157" t="n">
        <v>1039108</v>
      </c>
      <c r="J253" s="157" t="n">
        <v>7490</v>
      </c>
      <c r="K253" s="157" t="n">
        <v>6632</v>
      </c>
      <c r="L253" s="157" t="n">
        <v>3968</v>
      </c>
      <c r="M253" s="16" t="n"/>
      <c r="N253" s="157" t="n">
        <v>3755</v>
      </c>
      <c r="O253" s="16" t="n"/>
      <c r="P253" s="16" t="n"/>
      <c r="Q253" s="17" t="n"/>
      <c r="R253" s="16" t="n"/>
      <c r="S253" s="16" t="n"/>
      <c r="T253" s="16" t="n"/>
      <c r="U253" s="16" t="n"/>
      <c r="V253" s="158" t="n"/>
      <c r="W253" s="16" t="n"/>
      <c r="X253" s="18" t="n"/>
      <c r="Y253" s="18" t="n"/>
      <c r="Z253" s="18" t="n"/>
      <c r="AA253" s="18" t="n"/>
      <c r="AB253" s="18" t="n"/>
      <c r="AC253" s="18" t="n"/>
      <c r="AD253" s="18" t="n"/>
      <c r="AE253" s="18" t="n"/>
      <c r="AF253" s="18" t="n"/>
      <c r="AG253" s="18" t="n"/>
      <c r="AH253" s="18" t="n"/>
      <c r="AI253" s="18" t="n"/>
    </row>
    <row r="254">
      <c r="A254" s="9" t="n">
        <v>202105</v>
      </c>
      <c r="B254" s="10">
        <f>LEFT(creditcard[[#This Row],[YYYYMM]],4)</f>
        <v/>
      </c>
      <c r="C254" s="10">
        <f>RIGHT(creditcard[[#This Row],[YYYYMM]],2)</f>
        <v/>
      </c>
      <c r="D254" s="10">
        <f>IF(RIGHT(creditcard[[#This Row],[YYYYMM]],2)="--","--","Q"&amp;ROUNDUP(VALUE(RIGHT(creditcard[[#This Row],[YYYYMM]],2))/3,0))</f>
        <v/>
      </c>
      <c r="E254" s="10" t="n">
        <v>11</v>
      </c>
      <c r="F254" s="151" t="inlineStr">
        <is>
          <t>市場總計</t>
        </is>
      </c>
      <c r="G254" s="152" t="inlineStr">
        <is>
          <t>11 市場總計</t>
        </is>
      </c>
      <c r="H254" s="153" t="n">
        <v>51291080</v>
      </c>
      <c r="I254" s="153" t="n">
        <v>33396000</v>
      </c>
      <c r="J254" s="153" t="n">
        <v>438097</v>
      </c>
      <c r="K254" s="153" t="n">
        <v>249960</v>
      </c>
      <c r="L254" s="153" t="n">
        <v>102785</v>
      </c>
      <c r="M254" s="11" t="n"/>
      <c r="N254" s="153" t="n">
        <v>239603</v>
      </c>
      <c r="O254" s="11" t="n"/>
      <c r="P254" s="11" t="n"/>
      <c r="Q254" s="12" t="n"/>
      <c r="R254" s="11" t="n"/>
      <c r="S254" s="11" t="n"/>
      <c r="T254" s="11" t="n"/>
      <c r="U254" s="11" t="n"/>
      <c r="V254" s="154" t="n">
        <v>4.34</v>
      </c>
      <c r="W254" s="11">
        <f>SUMIFS(H:H,A:A,creditcard[[#This Row],[YYYYMM]],G:G,creditcard[[#This Row],[Item]])</f>
        <v/>
      </c>
      <c r="X254" s="4">
        <f>IFERROR(SUMIFS(H:H,A:A,creditcard[[#This Row],[YYYYMM]],E:E,"&lt;=5")/creditcard[[#This Row],[市場總計]],"")</f>
        <v/>
      </c>
      <c r="Y254" s="4">
        <f>IFERROR(SUMIFS(H:H,A:A,creditcard[[#This Row],[YYYYMM]],E:E,"&lt;=10")/creditcard[[#This Row],[市場總計]],"")</f>
        <v/>
      </c>
      <c r="Z254" s="4">
        <f>IFERROR(SUMIFS(I:I,A:A,creditcard[[#This Row],[YYYYMM]],E:E,"&lt;=5")/creditcard[[#This Row],[有效卡數]],"")</f>
        <v/>
      </c>
      <c r="AA254" s="4">
        <f>IFERROR(SUMIFS(I:I,A:A,creditcard[[#This Row],[YYYYMM]],E:E,"&lt;=10")/creditcard[[#This Row],[有效卡數]],"")</f>
        <v/>
      </c>
      <c r="AB254" s="4">
        <f>IFERROR(SUMIFS(J:J,A:A,creditcard[[#This Row],[YYYYMM]],E:E,"&lt;=5")/creditcard[[#This Row],[當月發卡數]],"")</f>
        <v/>
      </c>
      <c r="AC254" s="4">
        <f>IFERROR(SUMIFS(J:J,A:A,creditcard[[#This Row],[YYYYMM]],E:E,"&lt;=10")/creditcard[[#This Row],[當月發卡數]],"")</f>
        <v/>
      </c>
      <c r="AD254" s="4">
        <f>IFERROR(SUMIFS(K:K,A:A,creditcard[[#This Row],[YYYYMM]],E:E,"&lt;=5")/creditcard[[#This Row],[當月停卡數]],"")</f>
        <v/>
      </c>
      <c r="AE254" s="4">
        <f>IFERROR(SUMIFS(K:K,A:A,creditcard[[#This Row],[YYYYMM]],E:E,"&lt;=10")/creditcard[[#This Row],[當月停卡數]],"")</f>
        <v/>
      </c>
      <c r="AF254" s="4">
        <f>IFERROR(SUMIFS(L:L,A:A,creditcard[[#This Row],[YYYYMM]],E:E,"&lt;=5")/creditcard[[#This Row],[循環信用餘額]],"")</f>
        <v/>
      </c>
      <c r="AG254" s="4">
        <f>IFERROR(SUMIFS(L:L,A:A,creditcard[[#This Row],[YYYYMM]],E:E,"&lt;=10")/creditcard[[#This Row],[循環信用餘額]],"")</f>
        <v/>
      </c>
      <c r="AH254" s="4">
        <f>IFERROR(SUMIFS(N:N,A:A,creditcard[[#This Row],[YYYYMM]],E:E,"&lt;=5")/creditcard[[#This Row],[當月簽帳金額]],"")</f>
        <v/>
      </c>
      <c r="AI254" s="4">
        <f>IFERROR(SUMIFS(N:N,A:A,creditcard[[#This Row],[YYYYMM]],E:E,"&lt;=10")/creditcard[[#This Row],[當月簽帳金額]],"")</f>
        <v/>
      </c>
    </row>
    <row r="255">
      <c r="A255" s="14" t="n">
        <v>202106</v>
      </c>
      <c r="B255" s="15">
        <f>LEFT(creditcard[[#This Row],[YYYYMM]],4)</f>
        <v/>
      </c>
      <c r="C255" s="15">
        <f>RIGHT(creditcard[[#This Row],[YYYYMM]],2)</f>
        <v/>
      </c>
      <c r="D255" s="15">
        <f>IF(RIGHT(creditcard[[#This Row],[YYYYMM]],2)="--","--","Q"&amp;ROUNDUP(VALUE(RIGHT(creditcard[[#This Row],[YYYYMM]],2))/3,0))</f>
        <v/>
      </c>
      <c r="E255" s="15" t="n">
        <v>1</v>
      </c>
      <c r="F255" s="155" t="inlineStr">
        <is>
          <t>中信</t>
        </is>
      </c>
      <c r="G255" s="156" t="inlineStr">
        <is>
          <t>01 中信</t>
        </is>
      </c>
      <c r="H255" s="157" t="n">
        <v>7547978</v>
      </c>
      <c r="I255" s="157" t="n">
        <v>4822670</v>
      </c>
      <c r="J255" s="157" t="n">
        <v>45825</v>
      </c>
      <c r="K255" s="157" t="n">
        <v>33579</v>
      </c>
      <c r="L255" s="157" t="n">
        <v>16062</v>
      </c>
      <c r="M255" s="16" t="n"/>
      <c r="N255" s="157" t="n">
        <v>31163</v>
      </c>
      <c r="O255" s="16" t="n"/>
      <c r="P255" s="16" t="n"/>
      <c r="Q255" s="17" t="n"/>
      <c r="R255" s="16" t="n"/>
      <c r="S255" s="16" t="n"/>
      <c r="T255" s="16" t="n"/>
      <c r="U255" s="16" t="n"/>
      <c r="V255" s="158" t="n"/>
      <c r="W255" s="16" t="n"/>
      <c r="X255" s="18" t="n"/>
      <c r="Y255" s="18" t="n"/>
      <c r="Z255" s="18" t="n"/>
      <c r="AA255" s="18" t="n"/>
      <c r="AB255" s="18" t="n"/>
      <c r="AC255" s="18" t="n"/>
      <c r="AD255" s="18" t="n"/>
      <c r="AE255" s="18" t="n"/>
      <c r="AF255" s="18" t="n"/>
      <c r="AG255" s="18" t="n"/>
      <c r="AH255" s="18" t="n"/>
      <c r="AI255" s="18" t="n"/>
    </row>
    <row r="256">
      <c r="A256" s="9" t="n">
        <v>202106</v>
      </c>
      <c r="B256" s="10">
        <f>LEFT(creditcard[[#This Row],[YYYYMM]],4)</f>
        <v/>
      </c>
      <c r="C256" s="10">
        <f>RIGHT(creditcard[[#This Row],[YYYYMM]],2)</f>
        <v/>
      </c>
      <c r="D256" s="10">
        <f>IF(RIGHT(creditcard[[#This Row],[YYYYMM]],2)="--","--","Q"&amp;ROUNDUP(VALUE(RIGHT(creditcard[[#This Row],[YYYYMM]],2))/3,0))</f>
        <v/>
      </c>
      <c r="E256" s="10" t="n">
        <v>2</v>
      </c>
      <c r="F256" s="151" t="inlineStr">
        <is>
          <t>富邦</t>
        </is>
      </c>
      <c r="G256" s="152" t="inlineStr">
        <is>
          <t>02 富邦</t>
        </is>
      </c>
      <c r="H256" s="153" t="n">
        <v>4047681</v>
      </c>
      <c r="I256" s="153" t="n">
        <v>2693540</v>
      </c>
      <c r="J256" s="153" t="n">
        <v>42514</v>
      </c>
      <c r="K256" s="153" t="n">
        <v>19402</v>
      </c>
      <c r="L256" s="153" t="n">
        <v>5606</v>
      </c>
      <c r="M256" s="11" t="n"/>
      <c r="N256" s="153" t="n">
        <v>24476</v>
      </c>
      <c r="O256" s="11" t="n"/>
      <c r="P256" s="11" t="n"/>
      <c r="Q256" s="12" t="n"/>
      <c r="R256" s="11" t="n"/>
      <c r="S256" s="11" t="n"/>
      <c r="T256" s="11" t="n"/>
      <c r="U256" s="11" t="n"/>
      <c r="V256" s="154" t="n"/>
      <c r="W256" s="11" t="n"/>
      <c r="X256" s="13" t="n"/>
      <c r="Y256" s="13" t="n"/>
      <c r="Z256" s="13" t="n"/>
      <c r="AA256" s="13" t="n"/>
      <c r="AB256" s="13" t="n"/>
      <c r="AC256" s="13" t="n"/>
      <c r="AD256" s="13" t="n"/>
      <c r="AE256" s="13" t="n"/>
      <c r="AF256" s="13" t="n"/>
      <c r="AG256" s="13" t="n"/>
      <c r="AH256" s="13" t="n"/>
      <c r="AI256" s="13" t="n"/>
    </row>
    <row r="257">
      <c r="A257" s="14" t="n">
        <v>202106</v>
      </c>
      <c r="B257" s="15">
        <f>LEFT(creditcard[[#This Row],[YYYYMM]],4)</f>
        <v/>
      </c>
      <c r="C257" s="15">
        <f>RIGHT(creditcard[[#This Row],[YYYYMM]],2)</f>
        <v/>
      </c>
      <c r="D257" s="15">
        <f>IF(RIGHT(creditcard[[#This Row],[YYYYMM]],2)="--","--","Q"&amp;ROUNDUP(VALUE(RIGHT(creditcard[[#This Row],[YYYYMM]],2))/3,0))</f>
        <v/>
      </c>
      <c r="E257" s="15" t="n">
        <v>3</v>
      </c>
      <c r="F257" s="155" t="inlineStr">
        <is>
          <t>國泰</t>
        </is>
      </c>
      <c r="G257" s="156" t="inlineStr">
        <is>
          <t>03 國泰</t>
        </is>
      </c>
      <c r="H257" s="157" t="n">
        <v>7244092</v>
      </c>
      <c r="I257" s="157" t="n">
        <v>5147707</v>
      </c>
      <c r="J257" s="157" t="n">
        <v>24258</v>
      </c>
      <c r="K257" s="157" t="n">
        <v>23975</v>
      </c>
      <c r="L257" s="157" t="n">
        <v>17358</v>
      </c>
      <c r="M257" s="16" t="n"/>
      <c r="N257" s="157" t="n">
        <v>37006</v>
      </c>
      <c r="O257" s="16" t="n"/>
      <c r="P257" s="16" t="n"/>
      <c r="Q257" s="17" t="n"/>
      <c r="R257" s="16" t="n"/>
      <c r="S257" s="16" t="n"/>
      <c r="T257" s="16" t="n"/>
      <c r="U257" s="16" t="n"/>
      <c r="V257" s="158" t="n"/>
      <c r="W257" s="16" t="n"/>
      <c r="X257" s="18" t="n"/>
      <c r="Y257" s="18" t="n"/>
      <c r="Z257" s="18" t="n"/>
      <c r="AA257" s="18" t="n"/>
      <c r="AB257" s="18" t="n"/>
      <c r="AC257" s="18" t="n"/>
      <c r="AD257" s="18" t="n"/>
      <c r="AE257" s="18" t="n"/>
      <c r="AF257" s="18" t="n"/>
      <c r="AG257" s="18" t="n"/>
      <c r="AH257" s="18" t="n"/>
      <c r="AI257" s="18" t="n"/>
    </row>
    <row r="258">
      <c r="A258" s="9" t="n">
        <v>202106</v>
      </c>
      <c r="B258" s="10">
        <f>LEFT(creditcard[[#This Row],[YYYYMM]],4)</f>
        <v/>
      </c>
      <c r="C258" s="10">
        <f>RIGHT(creditcard[[#This Row],[YYYYMM]],2)</f>
        <v/>
      </c>
      <c r="D258" s="10">
        <f>IF(RIGHT(creditcard[[#This Row],[YYYYMM]],2)="--","--","Q"&amp;ROUNDUP(VALUE(RIGHT(creditcard[[#This Row],[YYYYMM]],2))/3,0))</f>
        <v/>
      </c>
      <c r="E258" s="10" t="n">
        <v>4</v>
      </c>
      <c r="F258" s="151" t="inlineStr">
        <is>
          <t>玉山</t>
        </is>
      </c>
      <c r="G258" s="152" t="inlineStr">
        <is>
          <t>04 玉山</t>
        </is>
      </c>
      <c r="H258" s="153" t="n">
        <v>6489112</v>
      </c>
      <c r="I258" s="153" t="n">
        <v>4473471</v>
      </c>
      <c r="J258" s="153" t="n">
        <v>32731</v>
      </c>
      <c r="K258" s="153" t="n">
        <v>19037</v>
      </c>
      <c r="L258" s="153" t="n">
        <v>12446</v>
      </c>
      <c r="M258" s="11" t="n"/>
      <c r="N258" s="153" t="n">
        <v>31615</v>
      </c>
      <c r="O258" s="11" t="n"/>
      <c r="P258" s="11" t="n"/>
      <c r="Q258" s="12" t="n"/>
      <c r="R258" s="11" t="n"/>
      <c r="S258" s="11" t="n"/>
      <c r="T258" s="11" t="n"/>
      <c r="U258" s="11" t="n"/>
      <c r="V258" s="154" t="n"/>
      <c r="W258" s="11" t="n"/>
      <c r="X258" s="13" t="n"/>
      <c r="Y258" s="13" t="n"/>
      <c r="Z258" s="13" t="n"/>
      <c r="AA258" s="13" t="n"/>
      <c r="AB258" s="13" t="n"/>
      <c r="AC258" s="13" t="n"/>
      <c r="AD258" s="13" t="n"/>
      <c r="AE258" s="13" t="n"/>
      <c r="AF258" s="13" t="n"/>
      <c r="AG258" s="13" t="n"/>
      <c r="AH258" s="13" t="n"/>
      <c r="AI258" s="13" t="n"/>
    </row>
    <row r="259">
      <c r="A259" s="14" t="n">
        <v>202106</v>
      </c>
      <c r="B259" s="15">
        <f>LEFT(creditcard[[#This Row],[YYYYMM]],4)</f>
        <v/>
      </c>
      <c r="C259" s="15">
        <f>RIGHT(creditcard[[#This Row],[YYYYMM]],2)</f>
        <v/>
      </c>
      <c r="D259" s="15">
        <f>IF(RIGHT(creditcard[[#This Row],[YYYYMM]],2)="--","--","Q"&amp;ROUNDUP(VALUE(RIGHT(creditcard[[#This Row],[YYYYMM]],2))/3,0))</f>
        <v/>
      </c>
      <c r="E259" s="15" t="n">
        <v>5</v>
      </c>
      <c r="F259" s="155" t="inlineStr">
        <is>
          <t>台新</t>
        </is>
      </c>
      <c r="G259" s="156" t="inlineStr">
        <is>
          <t>05 台新</t>
        </is>
      </c>
      <c r="H259" s="157" t="n">
        <v>5867723</v>
      </c>
      <c r="I259" s="157" t="n">
        <v>4048538</v>
      </c>
      <c r="J259" s="157" t="n">
        <v>40384</v>
      </c>
      <c r="K259" s="157" t="n">
        <v>27108</v>
      </c>
      <c r="L259" s="157" t="n">
        <v>10307</v>
      </c>
      <c r="M259" s="16" t="n"/>
      <c r="N259" s="157" t="n">
        <v>23092</v>
      </c>
      <c r="O259" s="16" t="n"/>
      <c r="P259" s="16" t="n"/>
      <c r="Q259" s="17" t="n"/>
      <c r="R259" s="16" t="n"/>
      <c r="S259" s="16" t="n"/>
      <c r="T259" s="16" t="n"/>
      <c r="U259" s="16" t="n"/>
      <c r="V259" s="158" t="n"/>
      <c r="W259" s="16" t="n"/>
      <c r="X259" s="18" t="n"/>
      <c r="Y259" s="18" t="n"/>
      <c r="Z259" s="18" t="n"/>
      <c r="AA259" s="18" t="n"/>
      <c r="AB259" s="18" t="n"/>
      <c r="AC259" s="18" t="n"/>
      <c r="AD259" s="18" t="n"/>
      <c r="AE259" s="18" t="n"/>
      <c r="AF259" s="18" t="n"/>
      <c r="AG259" s="18" t="n"/>
      <c r="AH259" s="18" t="n"/>
      <c r="AI259" s="18" t="n"/>
    </row>
    <row r="260">
      <c r="A260" s="9" t="n">
        <v>202106</v>
      </c>
      <c r="B260" s="10">
        <f>LEFT(creditcard[[#This Row],[YYYYMM]],4)</f>
        <v/>
      </c>
      <c r="C260" s="10">
        <f>RIGHT(creditcard[[#This Row],[YYYYMM]],2)</f>
        <v/>
      </c>
      <c r="D260" s="10">
        <f>IF(RIGHT(creditcard[[#This Row],[YYYYMM]],2)="--","--","Q"&amp;ROUNDUP(VALUE(RIGHT(creditcard[[#This Row],[YYYYMM]],2))/3,0))</f>
        <v/>
      </c>
      <c r="E260" s="10" t="n">
        <v>6</v>
      </c>
      <c r="F260" s="151" t="inlineStr">
        <is>
          <t>星展</t>
        </is>
      </c>
      <c r="G260" s="152" t="inlineStr">
        <is>
          <t>06 星展</t>
        </is>
      </c>
      <c r="H260" s="153" t="n">
        <v>609463</v>
      </c>
      <c r="I260" s="153" t="n">
        <v>313021</v>
      </c>
      <c r="J260" s="153" t="n">
        <v>1614</v>
      </c>
      <c r="K260" s="153" t="n">
        <v>4782</v>
      </c>
      <c r="L260" s="153" t="n">
        <v>1356</v>
      </c>
      <c r="M260" s="11" t="n"/>
      <c r="N260" s="153" t="n">
        <v>2289</v>
      </c>
      <c r="O260" s="11" t="n"/>
      <c r="P260" s="11" t="n"/>
      <c r="Q260" s="12" t="n"/>
      <c r="R260" s="11" t="n"/>
      <c r="S260" s="11" t="n"/>
      <c r="T260" s="11" t="n"/>
      <c r="U260" s="11" t="n"/>
      <c r="V260" s="154" t="n"/>
      <c r="W260" s="11" t="n"/>
      <c r="X260" s="13" t="n"/>
      <c r="Y260" s="13" t="n"/>
      <c r="Z260" s="13" t="n"/>
      <c r="AA260" s="13" t="n"/>
      <c r="AB260" s="13" t="n"/>
      <c r="AC260" s="13" t="n"/>
      <c r="AD260" s="13" t="n"/>
      <c r="AE260" s="13" t="n"/>
      <c r="AF260" s="13" t="n"/>
      <c r="AG260" s="13" t="n"/>
      <c r="AH260" s="13" t="n"/>
      <c r="AI260" s="13" t="n"/>
    </row>
    <row r="261">
      <c r="A261" s="14" t="n">
        <v>202106</v>
      </c>
      <c r="B261" s="15">
        <f>LEFT(creditcard[[#This Row],[YYYYMM]],4)</f>
        <v/>
      </c>
      <c r="C261" s="15">
        <f>RIGHT(creditcard[[#This Row],[YYYYMM]],2)</f>
        <v/>
      </c>
      <c r="D261" s="15">
        <f>IF(RIGHT(creditcard[[#This Row],[YYYYMM]],2)="--","--","Q"&amp;ROUNDUP(VALUE(RIGHT(creditcard[[#This Row],[YYYYMM]],2))/3,0))</f>
        <v/>
      </c>
      <c r="E261" s="15" t="n">
        <v>7</v>
      </c>
      <c r="F261" s="155" t="inlineStr">
        <is>
          <t>聯邦</t>
        </is>
      </c>
      <c r="G261" s="156" t="inlineStr">
        <is>
          <t>07 聯邦</t>
        </is>
      </c>
      <c r="H261" s="157" t="n">
        <v>2192196</v>
      </c>
      <c r="I261" s="157" t="n">
        <v>1323492</v>
      </c>
      <c r="J261" s="157" t="n">
        <v>9125</v>
      </c>
      <c r="K261" s="157" t="n">
        <v>104177</v>
      </c>
      <c r="L261" s="157" t="n">
        <v>5326</v>
      </c>
      <c r="M261" s="16" t="n"/>
      <c r="N261" s="157" t="n">
        <v>6896</v>
      </c>
      <c r="O261" s="16" t="n"/>
      <c r="P261" s="16" t="n"/>
      <c r="Q261" s="17" t="n"/>
      <c r="R261" s="16" t="n"/>
      <c r="S261" s="16" t="n"/>
      <c r="T261" s="16" t="n"/>
      <c r="U261" s="16" t="n"/>
      <c r="V261" s="158" t="n"/>
      <c r="W261" s="16" t="n"/>
      <c r="X261" s="18" t="n"/>
      <c r="Y261" s="18" t="n"/>
      <c r="Z261" s="18" t="n"/>
      <c r="AA261" s="18" t="n"/>
      <c r="AB261" s="18" t="n"/>
      <c r="AC261" s="18" t="n"/>
      <c r="AD261" s="18" t="n"/>
      <c r="AE261" s="18" t="n"/>
      <c r="AF261" s="18" t="n"/>
      <c r="AG261" s="18" t="n"/>
      <c r="AH261" s="18" t="n"/>
      <c r="AI261" s="18" t="n"/>
    </row>
    <row r="262">
      <c r="A262" s="9" t="n">
        <v>202106</v>
      </c>
      <c r="B262" s="10">
        <f>LEFT(creditcard[[#This Row],[YYYYMM]],4)</f>
        <v/>
      </c>
      <c r="C262" s="10">
        <f>RIGHT(creditcard[[#This Row],[YYYYMM]],2)</f>
        <v/>
      </c>
      <c r="D262" s="10">
        <f>IF(RIGHT(creditcard[[#This Row],[YYYYMM]],2)="--","--","Q"&amp;ROUNDUP(VALUE(RIGHT(creditcard[[#This Row],[YYYYMM]],2))/3,0))</f>
        <v/>
      </c>
      <c r="E262" s="10" t="n">
        <v>8</v>
      </c>
      <c r="F262" s="151" t="inlineStr">
        <is>
          <t>永豐</t>
        </is>
      </c>
      <c r="G262" s="152" t="inlineStr">
        <is>
          <t>08 永豐</t>
        </is>
      </c>
      <c r="H262" s="153" t="n">
        <v>2122821</v>
      </c>
      <c r="I262" s="153" t="n">
        <v>1139492</v>
      </c>
      <c r="J262" s="153" t="n">
        <v>10983</v>
      </c>
      <c r="K262" s="153" t="n">
        <v>5700</v>
      </c>
      <c r="L262" s="153" t="n">
        <v>4060</v>
      </c>
      <c r="M262" s="11" t="n"/>
      <c r="N262" s="153" t="n">
        <v>8410</v>
      </c>
      <c r="O262" s="11" t="n"/>
      <c r="P262" s="11" t="n"/>
      <c r="Q262" s="12" t="n"/>
      <c r="R262" s="11" t="n"/>
      <c r="S262" s="11" t="n"/>
      <c r="T262" s="11" t="n"/>
      <c r="U262" s="11" t="n"/>
      <c r="V262" s="154" t="n"/>
      <c r="W262" s="11" t="n"/>
      <c r="X262" s="13" t="n"/>
      <c r="Y262" s="13" t="n"/>
      <c r="Z262" s="13" t="n"/>
      <c r="AA262" s="13" t="n"/>
      <c r="AB262" s="13" t="n"/>
      <c r="AC262" s="13" t="n"/>
      <c r="AD262" s="13" t="n"/>
      <c r="AE262" s="13" t="n"/>
      <c r="AF262" s="13" t="n"/>
      <c r="AG262" s="13" t="n"/>
      <c r="AH262" s="13" t="n"/>
      <c r="AI262" s="13" t="n"/>
    </row>
    <row r="263">
      <c r="A263" s="14" t="n">
        <v>202106</v>
      </c>
      <c r="B263" s="15">
        <f>LEFT(creditcard[[#This Row],[YYYYMM]],4)</f>
        <v/>
      </c>
      <c r="C263" s="15">
        <f>RIGHT(creditcard[[#This Row],[YYYYMM]],2)</f>
        <v/>
      </c>
      <c r="D263" s="15">
        <f>IF(RIGHT(creditcard[[#This Row],[YYYYMM]],2)="--","--","Q"&amp;ROUNDUP(VALUE(RIGHT(creditcard[[#This Row],[YYYYMM]],2))/3,0))</f>
        <v/>
      </c>
      <c r="E263" s="15" t="n">
        <v>9</v>
      </c>
      <c r="F263" s="155" t="inlineStr">
        <is>
          <t>第一</t>
        </is>
      </c>
      <c r="G263" s="156" t="inlineStr">
        <is>
          <t>09 第一</t>
        </is>
      </c>
      <c r="H263" s="157" t="n">
        <v>1367687</v>
      </c>
      <c r="I263" s="157" t="n">
        <v>823236</v>
      </c>
      <c r="J263" s="157" t="n">
        <v>11482</v>
      </c>
      <c r="K263" s="157" t="n">
        <v>10276</v>
      </c>
      <c r="L263" s="157" t="n">
        <v>1454</v>
      </c>
      <c r="M263" s="16" t="n"/>
      <c r="N263" s="157" t="n">
        <v>3961</v>
      </c>
      <c r="O263" s="16" t="n"/>
      <c r="P263" s="16" t="n"/>
      <c r="Q263" s="17" t="n"/>
      <c r="R263" s="16" t="n"/>
      <c r="S263" s="16" t="n"/>
      <c r="T263" s="16" t="n"/>
      <c r="U263" s="16" t="n"/>
      <c r="V263" s="158" t="n"/>
      <c r="W263" s="16" t="n"/>
      <c r="X263" s="18" t="n"/>
      <c r="Y263" s="18" t="n"/>
      <c r="Z263" s="18" t="n"/>
      <c r="AA263" s="18" t="n"/>
      <c r="AB263" s="18" t="n"/>
      <c r="AC263" s="18" t="n"/>
      <c r="AD263" s="18" t="n"/>
      <c r="AE263" s="18" t="n"/>
      <c r="AF263" s="18" t="n"/>
      <c r="AG263" s="18" t="n"/>
      <c r="AH263" s="18" t="n"/>
      <c r="AI263" s="18" t="n"/>
    </row>
    <row r="264">
      <c r="A264" s="9" t="n">
        <v>202106</v>
      </c>
      <c r="B264" s="10">
        <f>LEFT(creditcard[[#This Row],[YYYYMM]],4)</f>
        <v/>
      </c>
      <c r="C264" s="10">
        <f>RIGHT(creditcard[[#This Row],[YYYYMM]],2)</f>
        <v/>
      </c>
      <c r="D264" s="10">
        <f>IF(RIGHT(creditcard[[#This Row],[YYYYMM]],2)="--","--","Q"&amp;ROUNDUP(VALUE(RIGHT(creditcard[[#This Row],[YYYYMM]],2))/3,0))</f>
        <v/>
      </c>
      <c r="E264" s="10" t="n">
        <v>10</v>
      </c>
      <c r="F264" s="151" t="inlineStr">
        <is>
          <t>遠東</t>
        </is>
      </c>
      <c r="G264" s="152" t="inlineStr">
        <is>
          <t>10 遠東</t>
        </is>
      </c>
      <c r="H264" s="153" t="n">
        <v>1571331</v>
      </c>
      <c r="I264" s="153" t="n">
        <v>1016554</v>
      </c>
      <c r="J264" s="153" t="n">
        <v>2670</v>
      </c>
      <c r="K264" s="153" t="n">
        <v>72899</v>
      </c>
      <c r="L264" s="153" t="n">
        <v>3883</v>
      </c>
      <c r="M264" s="11" t="n"/>
      <c r="N264" s="153" t="n">
        <v>2919</v>
      </c>
      <c r="O264" s="11" t="n"/>
      <c r="P264" s="11" t="n"/>
      <c r="Q264" s="12" t="n"/>
      <c r="R264" s="11" t="n"/>
      <c r="S264" s="11" t="n"/>
      <c r="T264" s="11" t="n"/>
      <c r="U264" s="11" t="n"/>
      <c r="V264" s="154" t="n"/>
      <c r="W264" s="11" t="n"/>
      <c r="X264" s="13" t="n"/>
      <c r="Y264" s="13" t="n"/>
      <c r="Z264" s="13" t="n"/>
      <c r="AA264" s="13" t="n"/>
      <c r="AB264" s="13" t="n"/>
      <c r="AC264" s="13" t="n"/>
      <c r="AD264" s="13" t="n"/>
      <c r="AE264" s="13" t="n"/>
      <c r="AF264" s="13" t="n"/>
      <c r="AG264" s="13" t="n"/>
      <c r="AH264" s="13" t="n"/>
      <c r="AI264" s="13" t="n"/>
    </row>
    <row r="265">
      <c r="A265" s="14" t="n">
        <v>202106</v>
      </c>
      <c r="B265" s="15">
        <f>LEFT(creditcard[[#This Row],[YYYYMM]],4)</f>
        <v/>
      </c>
      <c r="C265" s="15">
        <f>RIGHT(creditcard[[#This Row],[YYYYMM]],2)</f>
        <v/>
      </c>
      <c r="D265" s="15">
        <f>IF(RIGHT(creditcard[[#This Row],[YYYYMM]],2)="--","--","Q"&amp;ROUNDUP(VALUE(RIGHT(creditcard[[#This Row],[YYYYMM]],2))/3,0))</f>
        <v/>
      </c>
      <c r="E265" s="15" t="n">
        <v>11</v>
      </c>
      <c r="F265" s="155" t="inlineStr">
        <is>
          <t>市場總計</t>
        </is>
      </c>
      <c r="G265" s="156" t="inlineStr">
        <is>
          <t>11 市場總計</t>
        </is>
      </c>
      <c r="H265" s="157" t="n">
        <v>51200815</v>
      </c>
      <c r="I265" s="157" t="n">
        <v>33183168</v>
      </c>
      <c r="J265" s="157" t="n">
        <v>294140</v>
      </c>
      <c r="K265" s="157" t="n">
        <v>397006</v>
      </c>
      <c r="L265" s="157" t="n">
        <v>102214</v>
      </c>
      <c r="M265" s="16" t="n"/>
      <c r="N265" s="157" t="n">
        <v>215304</v>
      </c>
      <c r="O265" s="16" t="n"/>
      <c r="P265" s="16" t="n"/>
      <c r="Q265" s="17" t="n"/>
      <c r="R265" s="16" t="n"/>
      <c r="S265" s="16" t="n"/>
      <c r="T265" s="16" t="n"/>
      <c r="U265" s="16" t="n"/>
      <c r="V265" s="158" t="n">
        <v>4.33</v>
      </c>
      <c r="W265" s="16">
        <f>SUMIFS(H:H,A:A,creditcard[[#This Row],[YYYYMM]],G:G,creditcard[[#This Row],[Item]])</f>
        <v/>
      </c>
      <c r="X265" s="4">
        <f>IFERROR(SUMIFS(H:H,A:A,creditcard[[#This Row],[YYYYMM]],E:E,"&lt;=5")/creditcard[[#This Row],[市場總計]],"")</f>
        <v/>
      </c>
      <c r="Y265" s="4">
        <f>IFERROR(SUMIFS(H:H,A:A,creditcard[[#This Row],[YYYYMM]],E:E,"&lt;=10")/creditcard[[#This Row],[市場總計]],"")</f>
        <v/>
      </c>
      <c r="Z265" s="4">
        <f>IFERROR(SUMIFS(I:I,A:A,creditcard[[#This Row],[YYYYMM]],E:E,"&lt;=5")/creditcard[[#This Row],[有效卡數]],"")</f>
        <v/>
      </c>
      <c r="AA265" s="4">
        <f>IFERROR(SUMIFS(I:I,A:A,creditcard[[#This Row],[YYYYMM]],E:E,"&lt;=10")/creditcard[[#This Row],[有效卡數]],"")</f>
        <v/>
      </c>
      <c r="AB265" s="4">
        <f>IFERROR(SUMIFS(J:J,A:A,creditcard[[#This Row],[YYYYMM]],E:E,"&lt;=5")/creditcard[[#This Row],[當月發卡數]],"")</f>
        <v/>
      </c>
      <c r="AC265" s="4">
        <f>IFERROR(SUMIFS(J:J,A:A,creditcard[[#This Row],[YYYYMM]],E:E,"&lt;=10")/creditcard[[#This Row],[當月發卡數]],"")</f>
        <v/>
      </c>
      <c r="AD265" s="4">
        <f>IFERROR(SUMIFS(K:K,A:A,creditcard[[#This Row],[YYYYMM]],E:E,"&lt;=5")/creditcard[[#This Row],[當月停卡數]],"")</f>
        <v/>
      </c>
      <c r="AE265" s="4">
        <f>IFERROR(SUMIFS(K:K,A:A,creditcard[[#This Row],[YYYYMM]],E:E,"&lt;=10")/creditcard[[#This Row],[當月停卡數]],"")</f>
        <v/>
      </c>
      <c r="AF265" s="4">
        <f>IFERROR(SUMIFS(L:L,A:A,creditcard[[#This Row],[YYYYMM]],E:E,"&lt;=5")/creditcard[[#This Row],[循環信用餘額]],"")</f>
        <v/>
      </c>
      <c r="AG265" s="4">
        <f>IFERROR(SUMIFS(L:L,A:A,creditcard[[#This Row],[YYYYMM]],E:E,"&lt;=10")/creditcard[[#This Row],[循環信用餘額]],"")</f>
        <v/>
      </c>
      <c r="AH265" s="4">
        <f>IFERROR(SUMIFS(N:N,A:A,creditcard[[#This Row],[YYYYMM]],E:E,"&lt;=5")/creditcard[[#This Row],[當月簽帳金額]],"")</f>
        <v/>
      </c>
      <c r="AI265" s="4">
        <f>IFERROR(SUMIFS(N:N,A:A,creditcard[[#This Row],[YYYYMM]],E:E,"&lt;=10")/creditcard[[#This Row],[當月簽帳金額]],"")</f>
        <v/>
      </c>
    </row>
    <row r="266">
      <c r="A266" s="9" t="n">
        <v>202107</v>
      </c>
      <c r="B266" s="10">
        <f>LEFT(creditcard[[#This Row],[YYYYMM]],4)</f>
        <v/>
      </c>
      <c r="C266" s="10">
        <f>RIGHT(creditcard[[#This Row],[YYYYMM]],2)</f>
        <v/>
      </c>
      <c r="D266" s="10">
        <f>IF(RIGHT(creditcard[[#This Row],[YYYYMM]],2)="--","--","Q"&amp;ROUNDUP(VALUE(RIGHT(creditcard[[#This Row],[YYYYMM]],2))/3,0))</f>
        <v/>
      </c>
      <c r="E266" s="10" t="n">
        <v>1</v>
      </c>
      <c r="F266" s="151" t="inlineStr">
        <is>
          <t>中信</t>
        </is>
      </c>
      <c r="G266" s="152" t="inlineStr">
        <is>
          <t>01 中信</t>
        </is>
      </c>
      <c r="H266" s="153" t="n">
        <v>7580563</v>
      </c>
      <c r="I266" s="153" t="n">
        <v>4815512</v>
      </c>
      <c r="J266" s="153" t="n">
        <v>63302</v>
      </c>
      <c r="K266" s="153" t="n">
        <v>30717</v>
      </c>
      <c r="L266" s="153" t="n">
        <v>15297.416</v>
      </c>
      <c r="M266" s="11" t="n"/>
      <c r="N266" s="153" t="n">
        <v>69981.303</v>
      </c>
      <c r="O266" s="11" t="n"/>
      <c r="P266" s="11" t="n"/>
      <c r="Q266" s="12" t="n"/>
      <c r="R266" s="11" t="n"/>
      <c r="S266" s="11" t="n"/>
      <c r="T266" s="11" t="n"/>
      <c r="U266" s="11" t="n"/>
      <c r="V266" s="154" t="n"/>
      <c r="W266" s="11" t="n"/>
      <c r="X266" s="13" t="n"/>
      <c r="Y266" s="13" t="n"/>
      <c r="Z266" s="13" t="n"/>
      <c r="AA266" s="13" t="n"/>
      <c r="AB266" s="13" t="n"/>
      <c r="AC266" s="13" t="n"/>
      <c r="AD266" s="13" t="n"/>
      <c r="AE266" s="13" t="n"/>
      <c r="AF266" s="13" t="n"/>
      <c r="AG266" s="13" t="n"/>
      <c r="AH266" s="13" t="n"/>
      <c r="AI266" s="13" t="n"/>
    </row>
    <row r="267">
      <c r="A267" s="14" t="n">
        <v>202107</v>
      </c>
      <c r="B267" s="15">
        <f>LEFT(creditcard[[#This Row],[YYYYMM]],4)</f>
        <v/>
      </c>
      <c r="C267" s="15">
        <f>RIGHT(creditcard[[#This Row],[YYYYMM]],2)</f>
        <v/>
      </c>
      <c r="D267" s="15">
        <f>IF(RIGHT(creditcard[[#This Row],[YYYYMM]],2)="--","--","Q"&amp;ROUNDUP(VALUE(RIGHT(creditcard[[#This Row],[YYYYMM]],2))/3,0))</f>
        <v/>
      </c>
      <c r="E267" s="15" t="n">
        <v>2</v>
      </c>
      <c r="F267" s="155" t="inlineStr">
        <is>
          <t>富邦</t>
        </is>
      </c>
      <c r="G267" s="156" t="inlineStr">
        <is>
          <t>02 富邦</t>
        </is>
      </c>
      <c r="H267" s="157" t="n">
        <v>4053299</v>
      </c>
      <c r="I267" s="157" t="n">
        <v>2705117</v>
      </c>
      <c r="J267" s="157" t="n">
        <v>43368</v>
      </c>
      <c r="K267" s="157" t="n">
        <v>37750</v>
      </c>
      <c r="L267" s="157" t="n">
        <v>5493.445</v>
      </c>
      <c r="M267" s="16" t="n"/>
      <c r="N267" s="157" t="n">
        <v>27628.118</v>
      </c>
      <c r="O267" s="16" t="n"/>
      <c r="P267" s="16" t="n"/>
      <c r="Q267" s="17" t="n"/>
      <c r="R267" s="16" t="n"/>
      <c r="S267" s="16" t="n"/>
      <c r="T267" s="16" t="n"/>
      <c r="U267" s="16" t="n"/>
      <c r="V267" s="158" t="n"/>
      <c r="W267" s="16" t="n"/>
      <c r="X267" s="18" t="n"/>
      <c r="Y267" s="18" t="n"/>
      <c r="Z267" s="18" t="n"/>
      <c r="AA267" s="18" t="n"/>
      <c r="AB267" s="18" t="n"/>
      <c r="AC267" s="18" t="n"/>
      <c r="AD267" s="18" t="n"/>
      <c r="AE267" s="18" t="n"/>
      <c r="AF267" s="18" t="n"/>
      <c r="AG267" s="18" t="n"/>
      <c r="AH267" s="18" t="n"/>
      <c r="AI267" s="18" t="n"/>
    </row>
    <row r="268">
      <c r="A268" s="9" t="n">
        <v>202107</v>
      </c>
      <c r="B268" s="10">
        <f>LEFT(creditcard[[#This Row],[YYYYMM]],4)</f>
        <v/>
      </c>
      <c r="C268" s="10">
        <f>RIGHT(creditcard[[#This Row],[YYYYMM]],2)</f>
        <v/>
      </c>
      <c r="D268" s="10">
        <f>IF(RIGHT(creditcard[[#This Row],[YYYYMM]],2)="--","--","Q"&amp;ROUNDUP(VALUE(RIGHT(creditcard[[#This Row],[YYYYMM]],2))/3,0))</f>
        <v/>
      </c>
      <c r="E268" s="10" t="n">
        <v>3</v>
      </c>
      <c r="F268" s="151" t="inlineStr">
        <is>
          <t>國泰</t>
        </is>
      </c>
      <c r="G268" s="152" t="inlineStr">
        <is>
          <t>03 國泰</t>
        </is>
      </c>
      <c r="H268" s="153" t="n">
        <v>7254999</v>
      </c>
      <c r="I268" s="153" t="n">
        <v>5139785</v>
      </c>
      <c r="J268" s="153" t="n">
        <v>37021</v>
      </c>
      <c r="K268" s="153" t="n">
        <v>26114</v>
      </c>
      <c r="L268" s="153" t="n">
        <v>16987.349</v>
      </c>
      <c r="M268" s="11" t="n"/>
      <c r="N268" s="153" t="n">
        <v>47101.854</v>
      </c>
      <c r="O268" s="11" t="n"/>
      <c r="P268" s="11" t="n"/>
      <c r="Q268" s="12" t="n"/>
      <c r="R268" s="11" t="n"/>
      <c r="S268" s="11" t="n"/>
      <c r="T268" s="11" t="n"/>
      <c r="U268" s="11" t="n"/>
      <c r="V268" s="154" t="n"/>
      <c r="W268" s="11" t="n"/>
      <c r="X268" s="13" t="n"/>
      <c r="Y268" s="13" t="n"/>
      <c r="Z268" s="13" t="n"/>
      <c r="AA268" s="13" t="n"/>
      <c r="AB268" s="13" t="n"/>
      <c r="AC268" s="13" t="n"/>
      <c r="AD268" s="13" t="n"/>
      <c r="AE268" s="13" t="n"/>
      <c r="AF268" s="13" t="n"/>
      <c r="AG268" s="13" t="n"/>
      <c r="AH268" s="13" t="n"/>
      <c r="AI268" s="13" t="n"/>
    </row>
    <row r="269">
      <c r="A269" s="14" t="n">
        <v>202107</v>
      </c>
      <c r="B269" s="15">
        <f>LEFT(creditcard[[#This Row],[YYYYMM]],4)</f>
        <v/>
      </c>
      <c r="C269" s="15">
        <f>RIGHT(creditcard[[#This Row],[YYYYMM]],2)</f>
        <v/>
      </c>
      <c r="D269" s="15">
        <f>IF(RIGHT(creditcard[[#This Row],[YYYYMM]],2)="--","--","Q"&amp;ROUNDUP(VALUE(RIGHT(creditcard[[#This Row],[YYYYMM]],2))/3,0))</f>
        <v/>
      </c>
      <c r="E269" s="15" t="n">
        <v>4</v>
      </c>
      <c r="F269" s="155" t="inlineStr">
        <is>
          <t>玉山</t>
        </is>
      </c>
      <c r="G269" s="156" t="inlineStr">
        <is>
          <t>04 玉山</t>
        </is>
      </c>
      <c r="H269" s="157" t="n">
        <v>6510578</v>
      </c>
      <c r="I269" s="157" t="n">
        <v>4467646</v>
      </c>
      <c r="J269" s="157" t="n">
        <v>45213</v>
      </c>
      <c r="K269" s="157" t="n">
        <v>23747</v>
      </c>
      <c r="L269" s="157" t="n">
        <v>12282.745</v>
      </c>
      <c r="M269" s="16" t="n"/>
      <c r="N269" s="157" t="n">
        <v>53650.168</v>
      </c>
      <c r="O269" s="16" t="n"/>
      <c r="P269" s="16" t="n"/>
      <c r="Q269" s="17" t="n"/>
      <c r="R269" s="16" t="n"/>
      <c r="S269" s="16" t="n"/>
      <c r="T269" s="16" t="n"/>
      <c r="U269" s="16" t="n"/>
      <c r="V269" s="158" t="n"/>
      <c r="W269" s="16" t="n"/>
      <c r="X269" s="18" t="n"/>
      <c r="Y269" s="18" t="n"/>
      <c r="Z269" s="18" t="n"/>
      <c r="AA269" s="18" t="n"/>
      <c r="AB269" s="18" t="n"/>
      <c r="AC269" s="18" t="n"/>
      <c r="AD269" s="18" t="n"/>
      <c r="AE269" s="18" t="n"/>
      <c r="AF269" s="18" t="n"/>
      <c r="AG269" s="18" t="n"/>
      <c r="AH269" s="18" t="n"/>
      <c r="AI269" s="18" t="n"/>
    </row>
    <row r="270">
      <c r="A270" s="9" t="n">
        <v>202107</v>
      </c>
      <c r="B270" s="10">
        <f>LEFT(creditcard[[#This Row],[YYYYMM]],4)</f>
        <v/>
      </c>
      <c r="C270" s="10">
        <f>RIGHT(creditcard[[#This Row],[YYYYMM]],2)</f>
        <v/>
      </c>
      <c r="D270" s="10">
        <f>IF(RIGHT(creditcard[[#This Row],[YYYYMM]],2)="--","--","Q"&amp;ROUNDUP(VALUE(RIGHT(creditcard[[#This Row],[YYYYMM]],2))/3,0))</f>
        <v/>
      </c>
      <c r="E270" s="10" t="n">
        <v>5</v>
      </c>
      <c r="F270" s="151" t="inlineStr">
        <is>
          <t>台新</t>
        </is>
      </c>
      <c r="G270" s="152" t="inlineStr">
        <is>
          <t>05 台新</t>
        </is>
      </c>
      <c r="H270" s="153" t="n">
        <v>5900962</v>
      </c>
      <c r="I270" s="153" t="n">
        <v>4036717</v>
      </c>
      <c r="J270" s="153" t="n">
        <v>56248</v>
      </c>
      <c r="K270" s="153" t="n">
        <v>23009</v>
      </c>
      <c r="L270" s="153" t="n">
        <v>9898.838</v>
      </c>
      <c r="M270" s="11" t="n"/>
      <c r="N270" s="153" t="n">
        <v>41518.117</v>
      </c>
      <c r="O270" s="11" t="n"/>
      <c r="P270" s="11" t="n"/>
      <c r="Q270" s="12" t="n"/>
      <c r="R270" s="11" t="n"/>
      <c r="S270" s="11" t="n"/>
      <c r="T270" s="11" t="n"/>
      <c r="U270" s="11" t="n"/>
      <c r="V270" s="154" t="n"/>
      <c r="W270" s="11" t="n"/>
      <c r="X270" s="13" t="n"/>
      <c r="Y270" s="13" t="n"/>
      <c r="Z270" s="13" t="n"/>
      <c r="AA270" s="13" t="n"/>
      <c r="AB270" s="13" t="n"/>
      <c r="AC270" s="13" t="n"/>
      <c r="AD270" s="13" t="n"/>
      <c r="AE270" s="13" t="n"/>
      <c r="AF270" s="13" t="n"/>
      <c r="AG270" s="13" t="n"/>
      <c r="AH270" s="13" t="n"/>
      <c r="AI270" s="13" t="n"/>
    </row>
    <row r="271">
      <c r="A271" s="14" t="n">
        <v>202107</v>
      </c>
      <c r="B271" s="15">
        <f>LEFT(creditcard[[#This Row],[YYYYMM]],4)</f>
        <v/>
      </c>
      <c r="C271" s="15">
        <f>RIGHT(creditcard[[#This Row],[YYYYMM]],2)</f>
        <v/>
      </c>
      <c r="D271" s="15">
        <f>IF(RIGHT(creditcard[[#This Row],[YYYYMM]],2)="--","--","Q"&amp;ROUNDUP(VALUE(RIGHT(creditcard[[#This Row],[YYYYMM]],2))/3,0))</f>
        <v/>
      </c>
      <c r="E271" s="15" t="n">
        <v>6</v>
      </c>
      <c r="F271" s="155" t="inlineStr">
        <is>
          <t>星展</t>
        </is>
      </c>
      <c r="G271" s="156" t="inlineStr">
        <is>
          <t>06 星展</t>
        </is>
      </c>
      <c r="H271" s="157" t="n">
        <v>608124</v>
      </c>
      <c r="I271" s="157" t="n">
        <v>309883</v>
      </c>
      <c r="J271" s="157" t="n">
        <v>2144</v>
      </c>
      <c r="K271" s="157" t="n">
        <v>4599</v>
      </c>
      <c r="L271" s="157" t="n">
        <v>1315</v>
      </c>
      <c r="M271" s="16" t="n"/>
      <c r="N271" s="157" t="n">
        <v>3142</v>
      </c>
      <c r="O271" s="16" t="n"/>
      <c r="P271" s="16" t="n"/>
      <c r="Q271" s="17" t="n"/>
      <c r="R271" s="16" t="n"/>
      <c r="S271" s="16" t="n"/>
      <c r="T271" s="16" t="n"/>
      <c r="U271" s="16" t="n"/>
      <c r="V271" s="158" t="n"/>
      <c r="W271" s="16" t="n"/>
      <c r="X271" s="18" t="n"/>
      <c r="Y271" s="18" t="n"/>
      <c r="Z271" s="18" t="n"/>
      <c r="AA271" s="18" t="n"/>
      <c r="AB271" s="18" t="n"/>
      <c r="AC271" s="18" t="n"/>
      <c r="AD271" s="18" t="n"/>
      <c r="AE271" s="18" t="n"/>
      <c r="AF271" s="18" t="n"/>
      <c r="AG271" s="18" t="n"/>
      <c r="AH271" s="18" t="n"/>
      <c r="AI271" s="18" t="n"/>
    </row>
    <row r="272">
      <c r="A272" s="9" t="n">
        <v>202107</v>
      </c>
      <c r="B272" s="10">
        <f>LEFT(creditcard[[#This Row],[YYYYMM]],4)</f>
        <v/>
      </c>
      <c r="C272" s="10">
        <f>RIGHT(creditcard[[#This Row],[YYYYMM]],2)</f>
        <v/>
      </c>
      <c r="D272" s="10">
        <f>IF(RIGHT(creditcard[[#This Row],[YYYYMM]],2)="--","--","Q"&amp;ROUNDUP(VALUE(RIGHT(creditcard[[#This Row],[YYYYMM]],2))/3,0))</f>
        <v/>
      </c>
      <c r="E272" s="10" t="n">
        <v>7</v>
      </c>
      <c r="F272" s="151" t="inlineStr">
        <is>
          <t>聯邦</t>
        </is>
      </c>
      <c r="G272" s="152" t="inlineStr">
        <is>
          <t>07 聯邦</t>
        </is>
      </c>
      <c r="H272" s="153" t="n">
        <v>2192207</v>
      </c>
      <c r="I272" s="153" t="n">
        <v>1307556</v>
      </c>
      <c r="J272" s="153" t="n">
        <v>15824</v>
      </c>
      <c r="K272" s="153" t="n">
        <v>15813</v>
      </c>
      <c r="L272" s="153" t="n">
        <v>5160.203</v>
      </c>
      <c r="M272" s="11" t="n"/>
      <c r="N272" s="153" t="n">
        <v>8380.619000000001</v>
      </c>
      <c r="O272" s="11" t="n"/>
      <c r="P272" s="11" t="n"/>
      <c r="Q272" s="12" t="n"/>
      <c r="R272" s="11" t="n"/>
      <c r="S272" s="11" t="n"/>
      <c r="T272" s="11" t="n"/>
      <c r="U272" s="11" t="n"/>
      <c r="V272" s="154" t="n"/>
      <c r="W272" s="11" t="n"/>
      <c r="X272" s="13" t="n"/>
      <c r="Y272" s="13" t="n"/>
      <c r="Z272" s="13" t="n"/>
      <c r="AA272" s="13" t="n"/>
      <c r="AB272" s="13" t="n"/>
      <c r="AC272" s="13" t="n"/>
      <c r="AD272" s="13" t="n"/>
      <c r="AE272" s="13" t="n"/>
      <c r="AF272" s="13" t="n"/>
      <c r="AG272" s="13" t="n"/>
      <c r="AH272" s="13" t="n"/>
      <c r="AI272" s="13" t="n"/>
    </row>
    <row r="273">
      <c r="A273" s="14" t="n">
        <v>202107</v>
      </c>
      <c r="B273" s="15">
        <f>LEFT(creditcard[[#This Row],[YYYYMM]],4)</f>
        <v/>
      </c>
      <c r="C273" s="15">
        <f>RIGHT(creditcard[[#This Row],[YYYYMM]],2)</f>
        <v/>
      </c>
      <c r="D273" s="15">
        <f>IF(RIGHT(creditcard[[#This Row],[YYYYMM]],2)="--","--","Q"&amp;ROUNDUP(VALUE(RIGHT(creditcard[[#This Row],[YYYYMM]],2))/3,0))</f>
        <v/>
      </c>
      <c r="E273" s="15" t="n">
        <v>8</v>
      </c>
      <c r="F273" s="155" t="inlineStr">
        <is>
          <t>永豐</t>
        </is>
      </c>
      <c r="G273" s="156" t="inlineStr">
        <is>
          <t>08 永豐</t>
        </is>
      </c>
      <c r="H273" s="157" t="n">
        <v>2133392</v>
      </c>
      <c r="I273" s="157" t="n">
        <v>1143795</v>
      </c>
      <c r="J273" s="157" t="n">
        <v>16619</v>
      </c>
      <c r="K273" s="157" t="n">
        <v>6289</v>
      </c>
      <c r="L273" s="157" t="n">
        <v>3997.599</v>
      </c>
      <c r="M273" s="16" t="n"/>
      <c r="N273" s="157" t="n">
        <v>11785.412</v>
      </c>
      <c r="O273" s="16" t="n"/>
      <c r="P273" s="16" t="n"/>
      <c r="Q273" s="17" t="n"/>
      <c r="R273" s="16" t="n"/>
      <c r="S273" s="16" t="n"/>
      <c r="T273" s="16" t="n"/>
      <c r="U273" s="16" t="n"/>
      <c r="V273" s="158" t="n"/>
      <c r="W273" s="16" t="n"/>
      <c r="X273" s="18" t="n"/>
      <c r="Y273" s="18" t="n"/>
      <c r="Z273" s="18" t="n"/>
      <c r="AA273" s="18" t="n"/>
      <c r="AB273" s="18" t="n"/>
      <c r="AC273" s="18" t="n"/>
      <c r="AD273" s="18" t="n"/>
      <c r="AE273" s="18" t="n"/>
      <c r="AF273" s="18" t="n"/>
      <c r="AG273" s="18" t="n"/>
      <c r="AH273" s="18" t="n"/>
      <c r="AI273" s="18" t="n"/>
    </row>
    <row r="274">
      <c r="A274" s="9" t="n">
        <v>202107</v>
      </c>
      <c r="B274" s="10">
        <f>LEFT(creditcard[[#This Row],[YYYYMM]],4)</f>
        <v/>
      </c>
      <c r="C274" s="10">
        <f>RIGHT(creditcard[[#This Row],[YYYYMM]],2)</f>
        <v/>
      </c>
      <c r="D274" s="10">
        <f>IF(RIGHT(creditcard[[#This Row],[YYYYMM]],2)="--","--","Q"&amp;ROUNDUP(VALUE(RIGHT(creditcard[[#This Row],[YYYYMM]],2))/3,0))</f>
        <v/>
      </c>
      <c r="E274" s="10" t="n">
        <v>9</v>
      </c>
      <c r="F274" s="151" t="inlineStr">
        <is>
          <t>第一</t>
        </is>
      </c>
      <c r="G274" s="152" t="inlineStr">
        <is>
          <t>09 第一</t>
        </is>
      </c>
      <c r="H274" s="153" t="n">
        <v>1371656</v>
      </c>
      <c r="I274" s="153" t="n">
        <v>826286</v>
      </c>
      <c r="J274" s="153" t="n">
        <v>12737</v>
      </c>
      <c r="K274" s="153" t="n">
        <v>11793</v>
      </c>
      <c r="L274" s="153" t="n">
        <v>1411</v>
      </c>
      <c r="M274" s="11" t="n"/>
      <c r="N274" s="153" t="n">
        <v>5230</v>
      </c>
      <c r="O274" s="11" t="n"/>
      <c r="P274" s="11" t="n"/>
      <c r="Q274" s="12" t="n"/>
      <c r="R274" s="11" t="n"/>
      <c r="S274" s="11" t="n"/>
      <c r="T274" s="11" t="n"/>
      <c r="U274" s="11" t="n"/>
      <c r="V274" s="154" t="n"/>
      <c r="W274" s="11" t="n"/>
      <c r="X274" s="13" t="n"/>
      <c r="Y274" s="13" t="n"/>
      <c r="Z274" s="13" t="n"/>
      <c r="AA274" s="13" t="n"/>
      <c r="AB274" s="13" t="n"/>
      <c r="AC274" s="13" t="n"/>
      <c r="AD274" s="13" t="n"/>
      <c r="AE274" s="13" t="n"/>
      <c r="AF274" s="13" t="n"/>
      <c r="AG274" s="13" t="n"/>
      <c r="AH274" s="13" t="n"/>
      <c r="AI274" s="13" t="n"/>
    </row>
    <row r="275">
      <c r="A275" s="14" t="n">
        <v>202107</v>
      </c>
      <c r="B275" s="15">
        <f>LEFT(creditcard[[#This Row],[YYYYMM]],4)</f>
        <v/>
      </c>
      <c r="C275" s="15">
        <f>RIGHT(creditcard[[#This Row],[YYYYMM]],2)</f>
        <v/>
      </c>
      <c r="D275" s="15">
        <f>IF(RIGHT(creditcard[[#This Row],[YYYYMM]],2)="--","--","Q"&amp;ROUNDUP(VALUE(RIGHT(creditcard[[#This Row],[YYYYMM]],2))/3,0))</f>
        <v/>
      </c>
      <c r="E275" s="15" t="n">
        <v>10</v>
      </c>
      <c r="F275" s="155" t="inlineStr">
        <is>
          <t>遠東</t>
        </is>
      </c>
      <c r="G275" s="156" t="inlineStr">
        <is>
          <t>10 遠東</t>
        </is>
      </c>
      <c r="H275" s="157" t="n">
        <v>1569002</v>
      </c>
      <c r="I275" s="157" t="n">
        <v>998751</v>
      </c>
      <c r="J275" s="157" t="n">
        <v>2773</v>
      </c>
      <c r="K275" s="157" t="n">
        <v>5251</v>
      </c>
      <c r="L275" s="157" t="n">
        <v>3768.115</v>
      </c>
      <c r="M275" s="16" t="n"/>
      <c r="N275" s="157" t="n">
        <v>3835.2</v>
      </c>
      <c r="O275" s="16" t="n"/>
      <c r="P275" s="16" t="n"/>
      <c r="Q275" s="17" t="n"/>
      <c r="R275" s="16" t="n"/>
      <c r="S275" s="16" t="n"/>
      <c r="T275" s="16" t="n"/>
      <c r="U275" s="16" t="n"/>
      <c r="V275" s="158" t="n"/>
      <c r="W275" s="16" t="n"/>
      <c r="X275" s="18" t="n"/>
      <c r="Y275" s="18" t="n"/>
      <c r="Z275" s="18" t="n"/>
      <c r="AA275" s="18" t="n"/>
      <c r="AB275" s="18" t="n"/>
      <c r="AC275" s="18" t="n"/>
      <c r="AD275" s="18" t="n"/>
      <c r="AE275" s="18" t="n"/>
      <c r="AF275" s="18" t="n"/>
      <c r="AG275" s="18" t="n"/>
      <c r="AH275" s="18" t="n"/>
      <c r="AI275" s="18" t="n"/>
    </row>
    <row r="276">
      <c r="A276" s="9" t="n">
        <v>202107</v>
      </c>
      <c r="B276" s="10">
        <f>LEFT(creditcard[[#This Row],[YYYYMM]],4)</f>
        <v/>
      </c>
      <c r="C276" s="10">
        <f>RIGHT(creditcard[[#This Row],[YYYYMM]],2)</f>
        <v/>
      </c>
      <c r="D276" s="10">
        <f>IF(RIGHT(creditcard[[#This Row],[YYYYMM]],2)="--","--","Q"&amp;ROUNDUP(VALUE(RIGHT(creditcard[[#This Row],[YYYYMM]],2))/3,0))</f>
        <v/>
      </c>
      <c r="E276" s="10" t="n">
        <v>11</v>
      </c>
      <c r="F276" s="151" t="inlineStr">
        <is>
          <t>市場總計</t>
        </is>
      </c>
      <c r="G276" s="152" t="inlineStr">
        <is>
          <t>11 市場總計</t>
        </is>
      </c>
      <c r="H276" s="153" t="n">
        <v>51336062</v>
      </c>
      <c r="I276" s="153" t="n">
        <v>33096122</v>
      </c>
      <c r="J276" s="153" t="n">
        <v>397225</v>
      </c>
      <c r="K276" s="153" t="n">
        <v>279080</v>
      </c>
      <c r="L276" s="153" t="n">
        <v>98766.07000000001</v>
      </c>
      <c r="M276" s="11" t="n"/>
      <c r="N276" s="153" t="n">
        <v>335381.804</v>
      </c>
      <c r="O276" s="11" t="n"/>
      <c r="P276" s="11" t="n"/>
      <c r="Q276" s="12" t="n"/>
      <c r="R276" s="11" t="n"/>
      <c r="S276" s="11" t="n"/>
      <c r="T276" s="11" t="n"/>
      <c r="U276" s="11" t="n"/>
      <c r="V276" s="154" t="n">
        <v>4.34</v>
      </c>
      <c r="W276" s="11">
        <f>SUMIFS(H:H,A:A,creditcard[[#This Row],[YYYYMM]],G:G,creditcard[[#This Row],[Item]])</f>
        <v/>
      </c>
      <c r="X276" s="4">
        <f>IFERROR(SUMIFS(H:H,A:A,creditcard[[#This Row],[YYYYMM]],E:E,"&lt;=5")/creditcard[[#This Row],[市場總計]],"")</f>
        <v/>
      </c>
      <c r="Y276" s="4">
        <f>IFERROR(SUMIFS(H:H,A:A,creditcard[[#This Row],[YYYYMM]],E:E,"&lt;=10")/creditcard[[#This Row],[市場總計]],"")</f>
        <v/>
      </c>
      <c r="Z276" s="4">
        <f>IFERROR(SUMIFS(I:I,A:A,creditcard[[#This Row],[YYYYMM]],E:E,"&lt;=5")/creditcard[[#This Row],[有效卡數]],"")</f>
        <v/>
      </c>
      <c r="AA276" s="4">
        <f>IFERROR(SUMIFS(I:I,A:A,creditcard[[#This Row],[YYYYMM]],E:E,"&lt;=10")/creditcard[[#This Row],[有效卡數]],"")</f>
        <v/>
      </c>
      <c r="AB276" s="4">
        <f>IFERROR(SUMIFS(J:J,A:A,creditcard[[#This Row],[YYYYMM]],E:E,"&lt;=5")/creditcard[[#This Row],[當月發卡數]],"")</f>
        <v/>
      </c>
      <c r="AC276" s="4">
        <f>IFERROR(SUMIFS(J:J,A:A,creditcard[[#This Row],[YYYYMM]],E:E,"&lt;=10")/creditcard[[#This Row],[當月發卡數]],"")</f>
        <v/>
      </c>
      <c r="AD276" s="4">
        <f>IFERROR(SUMIFS(K:K,A:A,creditcard[[#This Row],[YYYYMM]],E:E,"&lt;=5")/creditcard[[#This Row],[當月停卡數]],"")</f>
        <v/>
      </c>
      <c r="AE276" s="4">
        <f>IFERROR(SUMIFS(K:K,A:A,creditcard[[#This Row],[YYYYMM]],E:E,"&lt;=10")/creditcard[[#This Row],[當月停卡數]],"")</f>
        <v/>
      </c>
      <c r="AF276" s="4">
        <f>IFERROR(SUMIFS(L:L,A:A,creditcard[[#This Row],[YYYYMM]],E:E,"&lt;=5")/creditcard[[#This Row],[循環信用餘額]],"")</f>
        <v/>
      </c>
      <c r="AG276" s="4">
        <f>IFERROR(SUMIFS(L:L,A:A,creditcard[[#This Row],[YYYYMM]],E:E,"&lt;=10")/creditcard[[#This Row],[循環信用餘額]],"")</f>
        <v/>
      </c>
      <c r="AH276" s="4">
        <f>IFERROR(SUMIFS(N:N,A:A,creditcard[[#This Row],[YYYYMM]],E:E,"&lt;=5")/creditcard[[#This Row],[當月簽帳金額]],"")</f>
        <v/>
      </c>
      <c r="AI276" s="4">
        <f>IFERROR(SUMIFS(N:N,A:A,creditcard[[#This Row],[YYYYMM]],E:E,"&lt;=10")/creditcard[[#This Row],[當月簽帳金額]],"")</f>
        <v/>
      </c>
    </row>
    <row r="277">
      <c r="A277" s="14" t="n">
        <v>202108</v>
      </c>
      <c r="B277" s="15">
        <f>LEFT(creditcard[[#This Row],[YYYYMM]],4)</f>
        <v/>
      </c>
      <c r="C277" s="15">
        <f>RIGHT(creditcard[[#This Row],[YYYYMM]],2)</f>
        <v/>
      </c>
      <c r="D277" s="15">
        <f>IF(RIGHT(creditcard[[#This Row],[YYYYMM]],2)="--","--","Q"&amp;ROUNDUP(VALUE(RIGHT(creditcard[[#This Row],[YYYYMM]],2))/3,0))</f>
        <v/>
      </c>
      <c r="E277" s="15" t="n">
        <v>1</v>
      </c>
      <c r="F277" s="155" t="inlineStr">
        <is>
          <t>中信</t>
        </is>
      </c>
      <c r="G277" s="156" t="inlineStr">
        <is>
          <t>01 中信</t>
        </is>
      </c>
      <c r="H277" s="157" t="n">
        <v>7623402</v>
      </c>
      <c r="I277" s="157" t="n">
        <v>4829611</v>
      </c>
      <c r="J277" s="157" t="n">
        <v>83992</v>
      </c>
      <c r="K277" s="157" t="n">
        <v>41153</v>
      </c>
      <c r="L277" s="157" t="n">
        <v>15100.497</v>
      </c>
      <c r="M277" s="16" t="n"/>
      <c r="N277" s="157" t="n">
        <v>37779.425</v>
      </c>
      <c r="O277" s="16" t="n"/>
      <c r="P277" s="16" t="n"/>
      <c r="Q277" s="17" t="n"/>
      <c r="R277" s="16" t="n"/>
      <c r="S277" s="16" t="n"/>
      <c r="T277" s="16" t="n"/>
      <c r="U277" s="16" t="n"/>
      <c r="V277" s="158" t="n"/>
      <c r="W277" s="16" t="n"/>
      <c r="X277" s="18" t="n"/>
      <c r="Y277" s="18" t="n"/>
      <c r="Z277" s="18" t="n"/>
      <c r="AA277" s="18" t="n"/>
      <c r="AB277" s="18" t="n"/>
      <c r="AC277" s="18" t="n"/>
      <c r="AD277" s="18" t="n"/>
      <c r="AE277" s="18" t="n"/>
      <c r="AF277" s="18" t="n"/>
      <c r="AG277" s="18" t="n"/>
      <c r="AH277" s="18" t="n"/>
      <c r="AI277" s="18" t="n"/>
    </row>
    <row r="278">
      <c r="A278" s="9" t="n">
        <v>202108</v>
      </c>
      <c r="B278" s="10">
        <f>LEFT(creditcard[[#This Row],[YYYYMM]],4)</f>
        <v/>
      </c>
      <c r="C278" s="10">
        <f>RIGHT(creditcard[[#This Row],[YYYYMM]],2)</f>
        <v/>
      </c>
      <c r="D278" s="10">
        <f>IF(RIGHT(creditcard[[#This Row],[YYYYMM]],2)="--","--","Q"&amp;ROUNDUP(VALUE(RIGHT(creditcard[[#This Row],[YYYYMM]],2))/3,0))</f>
        <v/>
      </c>
      <c r="E278" s="10" t="n">
        <v>2</v>
      </c>
      <c r="F278" s="151" t="inlineStr">
        <is>
          <t>富邦</t>
        </is>
      </c>
      <c r="G278" s="152" t="inlineStr">
        <is>
          <t>02 富邦</t>
        </is>
      </c>
      <c r="H278" s="153" t="n">
        <v>4065233</v>
      </c>
      <c r="I278" s="153" t="n">
        <v>2725020</v>
      </c>
      <c r="J278" s="153" t="n">
        <v>37324</v>
      </c>
      <c r="K278" s="153" t="n">
        <v>25063</v>
      </c>
      <c r="L278" s="153" t="n">
        <v>5525.758</v>
      </c>
      <c r="M278" s="11" t="n"/>
      <c r="N278" s="153" t="n">
        <v>24554.278</v>
      </c>
      <c r="O278" s="11" t="n"/>
      <c r="P278" s="11" t="n"/>
      <c r="Q278" s="12" t="n"/>
      <c r="R278" s="11" t="n"/>
      <c r="S278" s="11" t="n"/>
      <c r="T278" s="11" t="n"/>
      <c r="U278" s="11" t="n"/>
      <c r="V278" s="154" t="n"/>
      <c r="W278" s="11" t="n"/>
      <c r="X278" s="13" t="n"/>
      <c r="Y278" s="13" t="n"/>
      <c r="Z278" s="13" t="n"/>
      <c r="AA278" s="13" t="n"/>
      <c r="AB278" s="13" t="n"/>
      <c r="AC278" s="13" t="n"/>
      <c r="AD278" s="13" t="n"/>
      <c r="AE278" s="13" t="n"/>
      <c r="AF278" s="13" t="n"/>
      <c r="AG278" s="13" t="n"/>
      <c r="AH278" s="13" t="n"/>
      <c r="AI278" s="13" t="n"/>
    </row>
    <row r="279">
      <c r="A279" s="14" t="n">
        <v>202108</v>
      </c>
      <c r="B279" s="15">
        <f>LEFT(creditcard[[#This Row],[YYYYMM]],4)</f>
        <v/>
      </c>
      <c r="C279" s="15">
        <f>RIGHT(creditcard[[#This Row],[YYYYMM]],2)</f>
        <v/>
      </c>
      <c r="D279" s="15">
        <f>IF(RIGHT(creditcard[[#This Row],[YYYYMM]],2)="--","--","Q"&amp;ROUNDUP(VALUE(RIGHT(creditcard[[#This Row],[YYYYMM]],2))/3,0))</f>
        <v/>
      </c>
      <c r="E279" s="15" t="n">
        <v>3</v>
      </c>
      <c r="F279" s="155" t="inlineStr">
        <is>
          <t>國泰</t>
        </is>
      </c>
      <c r="G279" s="156" t="inlineStr">
        <is>
          <t>03 國泰</t>
        </is>
      </c>
      <c r="H279" s="157" t="n">
        <v>7382598</v>
      </c>
      <c r="I279" s="157" t="n">
        <v>5192743</v>
      </c>
      <c r="J279" s="157" t="n">
        <v>164347</v>
      </c>
      <c r="K279" s="157" t="n">
        <v>36748</v>
      </c>
      <c r="L279" s="157" t="n">
        <v>17031.969</v>
      </c>
      <c r="M279" s="16" t="n"/>
      <c r="N279" s="157" t="n">
        <v>41471.33</v>
      </c>
      <c r="O279" s="16" t="n"/>
      <c r="P279" s="16" t="n"/>
      <c r="Q279" s="17" t="n"/>
      <c r="R279" s="16" t="n"/>
      <c r="S279" s="16" t="n"/>
      <c r="T279" s="16" t="n"/>
      <c r="U279" s="16" t="n"/>
      <c r="V279" s="158" t="n"/>
      <c r="W279" s="16" t="n"/>
      <c r="X279" s="18" t="n"/>
      <c r="Y279" s="18" t="n"/>
      <c r="Z279" s="18" t="n"/>
      <c r="AA279" s="18" t="n"/>
      <c r="AB279" s="18" t="n"/>
      <c r="AC279" s="18" t="n"/>
      <c r="AD279" s="18" t="n"/>
      <c r="AE279" s="18" t="n"/>
      <c r="AF279" s="18" t="n"/>
      <c r="AG279" s="18" t="n"/>
      <c r="AH279" s="18" t="n"/>
      <c r="AI279" s="18" t="n"/>
    </row>
    <row r="280">
      <c r="A280" s="9" t="n">
        <v>202108</v>
      </c>
      <c r="B280" s="10">
        <f>LEFT(creditcard[[#This Row],[YYYYMM]],4)</f>
        <v/>
      </c>
      <c r="C280" s="10">
        <f>RIGHT(creditcard[[#This Row],[YYYYMM]],2)</f>
        <v/>
      </c>
      <c r="D280" s="10">
        <f>IF(RIGHT(creditcard[[#This Row],[YYYYMM]],2)="--","--","Q"&amp;ROUNDUP(VALUE(RIGHT(creditcard[[#This Row],[YYYYMM]],2))/3,0))</f>
        <v/>
      </c>
      <c r="E280" s="10" t="n">
        <v>4</v>
      </c>
      <c r="F280" s="151" t="inlineStr">
        <is>
          <t>玉山</t>
        </is>
      </c>
      <c r="G280" s="152" t="inlineStr">
        <is>
          <t>04 玉山</t>
        </is>
      </c>
      <c r="H280" s="153" t="n">
        <v>6534077</v>
      </c>
      <c r="I280" s="153" t="n">
        <v>4460909</v>
      </c>
      <c r="J280" s="153" t="n">
        <v>45847</v>
      </c>
      <c r="K280" s="153" t="n">
        <v>22348</v>
      </c>
      <c r="L280" s="153" t="n">
        <v>12202.876</v>
      </c>
      <c r="M280" s="11" t="n"/>
      <c r="N280" s="153" t="n">
        <v>37199.186</v>
      </c>
      <c r="O280" s="11" t="n"/>
      <c r="P280" s="11" t="n"/>
      <c r="Q280" s="12" t="n"/>
      <c r="R280" s="11" t="n"/>
      <c r="S280" s="11" t="n"/>
      <c r="T280" s="11" t="n"/>
      <c r="U280" s="11" t="n"/>
      <c r="V280" s="154" t="n"/>
      <c r="W280" s="11" t="n"/>
      <c r="X280" s="13" t="n"/>
      <c r="Y280" s="13" t="n"/>
      <c r="Z280" s="13" t="n"/>
      <c r="AA280" s="13" t="n"/>
      <c r="AB280" s="13" t="n"/>
      <c r="AC280" s="13" t="n"/>
      <c r="AD280" s="13" t="n"/>
      <c r="AE280" s="13" t="n"/>
      <c r="AF280" s="13" t="n"/>
      <c r="AG280" s="13" t="n"/>
      <c r="AH280" s="13" t="n"/>
      <c r="AI280" s="13" t="n"/>
    </row>
    <row r="281">
      <c r="A281" s="14" t="n">
        <v>202108</v>
      </c>
      <c r="B281" s="15">
        <f>LEFT(creditcard[[#This Row],[YYYYMM]],4)</f>
        <v/>
      </c>
      <c r="C281" s="15">
        <f>RIGHT(creditcard[[#This Row],[YYYYMM]],2)</f>
        <v/>
      </c>
      <c r="D281" s="15">
        <f>IF(RIGHT(creditcard[[#This Row],[YYYYMM]],2)="--","--","Q"&amp;ROUNDUP(VALUE(RIGHT(creditcard[[#This Row],[YYYYMM]],2))/3,0))</f>
        <v/>
      </c>
      <c r="E281" s="15" t="n">
        <v>5</v>
      </c>
      <c r="F281" s="155" t="inlineStr">
        <is>
          <t>台新</t>
        </is>
      </c>
      <c r="G281" s="156" t="inlineStr">
        <is>
          <t>05 台新</t>
        </is>
      </c>
      <c r="H281" s="157" t="n">
        <v>5928080</v>
      </c>
      <c r="I281" s="157" t="n">
        <v>4044534</v>
      </c>
      <c r="J281" s="157" t="n">
        <v>53476</v>
      </c>
      <c r="K281" s="157" t="n">
        <v>26358</v>
      </c>
      <c r="L281" s="157" t="n">
        <v>9856.174999999999</v>
      </c>
      <c r="M281" s="16" t="n"/>
      <c r="N281" s="157" t="n">
        <v>28013.897</v>
      </c>
      <c r="O281" s="16" t="n"/>
      <c r="P281" s="16" t="n"/>
      <c r="Q281" s="17" t="n"/>
      <c r="R281" s="16" t="n"/>
      <c r="S281" s="16" t="n"/>
      <c r="T281" s="16" t="n"/>
      <c r="U281" s="16" t="n"/>
      <c r="V281" s="158" t="n"/>
      <c r="W281" s="16" t="n"/>
      <c r="X281" s="18" t="n"/>
      <c r="Y281" s="18" t="n"/>
      <c r="Z281" s="18" t="n"/>
      <c r="AA281" s="18" t="n"/>
      <c r="AB281" s="18" t="n"/>
      <c r="AC281" s="18" t="n"/>
      <c r="AD281" s="18" t="n"/>
      <c r="AE281" s="18" t="n"/>
      <c r="AF281" s="18" t="n"/>
      <c r="AG281" s="18" t="n"/>
      <c r="AH281" s="18" t="n"/>
      <c r="AI281" s="18" t="n"/>
    </row>
    <row r="282">
      <c r="A282" s="9" t="n">
        <v>202108</v>
      </c>
      <c r="B282" s="10">
        <f>LEFT(creditcard[[#This Row],[YYYYMM]],4)</f>
        <v/>
      </c>
      <c r="C282" s="10">
        <f>RIGHT(creditcard[[#This Row],[YYYYMM]],2)</f>
        <v/>
      </c>
      <c r="D282" s="10">
        <f>IF(RIGHT(creditcard[[#This Row],[YYYYMM]],2)="--","--","Q"&amp;ROUNDUP(VALUE(RIGHT(creditcard[[#This Row],[YYYYMM]],2))/3,0))</f>
        <v/>
      </c>
      <c r="E282" s="10" t="n">
        <v>6</v>
      </c>
      <c r="F282" s="151" t="inlineStr">
        <is>
          <t>星展</t>
        </is>
      </c>
      <c r="G282" s="152" t="inlineStr">
        <is>
          <t>06 星展</t>
        </is>
      </c>
      <c r="H282" s="153" t="n">
        <v>607599</v>
      </c>
      <c r="I282" s="153" t="n">
        <v>308680</v>
      </c>
      <c r="J282" s="153" t="n">
        <v>3825</v>
      </c>
      <c r="K282" s="153" t="n">
        <v>5443</v>
      </c>
      <c r="L282" s="153" t="n">
        <v>1297</v>
      </c>
      <c r="M282" s="11" t="n"/>
      <c r="N282" s="153" t="n">
        <v>2663</v>
      </c>
      <c r="O282" s="11" t="n"/>
      <c r="P282" s="11" t="n"/>
      <c r="Q282" s="12" t="n"/>
      <c r="R282" s="11" t="n"/>
      <c r="S282" s="11" t="n"/>
      <c r="T282" s="11" t="n"/>
      <c r="U282" s="11" t="n"/>
      <c r="V282" s="154" t="n"/>
      <c r="W282" s="11" t="n"/>
      <c r="X282" s="13" t="n"/>
      <c r="Y282" s="13" t="n"/>
      <c r="Z282" s="13" t="n"/>
      <c r="AA282" s="13" t="n"/>
      <c r="AB282" s="13" t="n"/>
      <c r="AC282" s="13" t="n"/>
      <c r="AD282" s="13" t="n"/>
      <c r="AE282" s="13" t="n"/>
      <c r="AF282" s="13" t="n"/>
      <c r="AG282" s="13" t="n"/>
      <c r="AH282" s="13" t="n"/>
      <c r="AI282" s="13" t="n"/>
    </row>
    <row r="283">
      <c r="A283" s="14" t="n">
        <v>202108</v>
      </c>
      <c r="B283" s="15">
        <f>LEFT(creditcard[[#This Row],[YYYYMM]],4)</f>
        <v/>
      </c>
      <c r="C283" s="15">
        <f>RIGHT(creditcard[[#This Row],[YYYYMM]],2)</f>
        <v/>
      </c>
      <c r="D283" s="15">
        <f>IF(RIGHT(creditcard[[#This Row],[YYYYMM]],2)="--","--","Q"&amp;ROUNDUP(VALUE(RIGHT(creditcard[[#This Row],[YYYYMM]],2))/3,0))</f>
        <v/>
      </c>
      <c r="E283" s="15" t="n">
        <v>7</v>
      </c>
      <c r="F283" s="155" t="inlineStr">
        <is>
          <t>聯邦</t>
        </is>
      </c>
      <c r="G283" s="156" t="inlineStr">
        <is>
          <t>07 聯邦</t>
        </is>
      </c>
      <c r="H283" s="157" t="n">
        <v>2196076</v>
      </c>
      <c r="I283" s="157" t="n">
        <v>1295590</v>
      </c>
      <c r="J283" s="157" t="n">
        <v>14998</v>
      </c>
      <c r="K283" s="157" t="n">
        <v>11129</v>
      </c>
      <c r="L283" s="157" t="n">
        <v>5178.588</v>
      </c>
      <c r="M283" s="16" t="n"/>
      <c r="N283" s="157" t="n">
        <v>8439.415999999999</v>
      </c>
      <c r="O283" s="16" t="n"/>
      <c r="P283" s="16" t="n"/>
      <c r="Q283" s="17" t="n"/>
      <c r="R283" s="16" t="n"/>
      <c r="S283" s="16" t="n"/>
      <c r="T283" s="16" t="n"/>
      <c r="U283" s="16" t="n"/>
      <c r="V283" s="158" t="n"/>
      <c r="W283" s="16" t="n"/>
      <c r="X283" s="18" t="n"/>
      <c r="Y283" s="18" t="n"/>
      <c r="Z283" s="18" t="n"/>
      <c r="AA283" s="18" t="n"/>
      <c r="AB283" s="18" t="n"/>
      <c r="AC283" s="18" t="n"/>
      <c r="AD283" s="18" t="n"/>
      <c r="AE283" s="18" t="n"/>
      <c r="AF283" s="18" t="n"/>
      <c r="AG283" s="18" t="n"/>
      <c r="AH283" s="18" t="n"/>
      <c r="AI283" s="18" t="n"/>
    </row>
    <row r="284">
      <c r="A284" s="9" t="n">
        <v>202108</v>
      </c>
      <c r="B284" s="10">
        <f>LEFT(creditcard[[#This Row],[YYYYMM]],4)</f>
        <v/>
      </c>
      <c r="C284" s="10">
        <f>RIGHT(creditcard[[#This Row],[YYYYMM]],2)</f>
        <v/>
      </c>
      <c r="D284" s="10">
        <f>IF(RIGHT(creditcard[[#This Row],[YYYYMM]],2)="--","--","Q"&amp;ROUNDUP(VALUE(RIGHT(creditcard[[#This Row],[YYYYMM]],2))/3,0))</f>
        <v/>
      </c>
      <c r="E284" s="10" t="n">
        <v>8</v>
      </c>
      <c r="F284" s="151" t="inlineStr">
        <is>
          <t>永豐</t>
        </is>
      </c>
      <c r="G284" s="152" t="inlineStr">
        <is>
          <t>08 永豐</t>
        </is>
      </c>
      <c r="H284" s="153" t="n">
        <v>2139947</v>
      </c>
      <c r="I284" s="153" t="n">
        <v>1149466</v>
      </c>
      <c r="J284" s="153" t="n">
        <v>13048</v>
      </c>
      <c r="K284" s="153" t="n">
        <v>6842</v>
      </c>
      <c r="L284" s="153" t="n">
        <v>3951.235</v>
      </c>
      <c r="M284" s="11" t="n"/>
      <c r="N284" s="153" t="n">
        <v>9986.424999999999</v>
      </c>
      <c r="O284" s="11" t="n"/>
      <c r="P284" s="11" t="n"/>
      <c r="Q284" s="12" t="n"/>
      <c r="R284" s="11" t="n"/>
      <c r="S284" s="11" t="n"/>
      <c r="T284" s="11" t="n"/>
      <c r="U284" s="11" t="n"/>
      <c r="V284" s="154" t="n"/>
      <c r="W284" s="11" t="n"/>
      <c r="X284" s="13" t="n"/>
      <c r="Y284" s="13" t="n"/>
      <c r="Z284" s="13" t="n"/>
      <c r="AA284" s="13" t="n"/>
      <c r="AB284" s="13" t="n"/>
      <c r="AC284" s="13" t="n"/>
      <c r="AD284" s="13" t="n"/>
      <c r="AE284" s="13" t="n"/>
      <c r="AF284" s="13" t="n"/>
      <c r="AG284" s="13" t="n"/>
      <c r="AH284" s="13" t="n"/>
      <c r="AI284" s="13" t="n"/>
    </row>
    <row r="285">
      <c r="A285" s="14" t="n">
        <v>202108</v>
      </c>
      <c r="B285" s="15">
        <f>LEFT(creditcard[[#This Row],[YYYYMM]],4)</f>
        <v/>
      </c>
      <c r="C285" s="15">
        <f>RIGHT(creditcard[[#This Row],[YYYYMM]],2)</f>
        <v/>
      </c>
      <c r="D285" s="15">
        <f>IF(RIGHT(creditcard[[#This Row],[YYYYMM]],2)="--","--","Q"&amp;ROUNDUP(VALUE(RIGHT(creditcard[[#This Row],[YYYYMM]],2))/3,0))</f>
        <v/>
      </c>
      <c r="E285" s="15" t="n">
        <v>9</v>
      </c>
      <c r="F285" s="155" t="inlineStr">
        <is>
          <t>第一</t>
        </is>
      </c>
      <c r="G285" s="156" t="inlineStr">
        <is>
          <t>09 第一</t>
        </is>
      </c>
      <c r="H285" s="157" t="n">
        <v>1380226</v>
      </c>
      <c r="I285" s="157" t="n">
        <v>831407</v>
      </c>
      <c r="J285" s="157" t="n">
        <v>15096</v>
      </c>
      <c r="K285" s="157" t="n">
        <v>9853</v>
      </c>
      <c r="L285" s="157" t="n">
        <v>1401</v>
      </c>
      <c r="M285" s="16" t="n"/>
      <c r="N285" s="157" t="n">
        <v>4663</v>
      </c>
      <c r="O285" s="16" t="n"/>
      <c r="P285" s="16" t="n"/>
      <c r="Q285" s="17" t="n"/>
      <c r="R285" s="16" t="n"/>
      <c r="S285" s="16" t="n"/>
      <c r="T285" s="16" t="n"/>
      <c r="U285" s="16" t="n"/>
      <c r="V285" s="158" t="n"/>
      <c r="W285" s="16" t="n"/>
      <c r="X285" s="18" t="n"/>
      <c r="Y285" s="18" t="n"/>
      <c r="Z285" s="18" t="n"/>
      <c r="AA285" s="18" t="n"/>
      <c r="AB285" s="18" t="n"/>
      <c r="AC285" s="18" t="n"/>
      <c r="AD285" s="18" t="n"/>
      <c r="AE285" s="18" t="n"/>
      <c r="AF285" s="18" t="n"/>
      <c r="AG285" s="18" t="n"/>
      <c r="AH285" s="18" t="n"/>
      <c r="AI285" s="18" t="n"/>
    </row>
    <row r="286">
      <c r="A286" s="9" t="n">
        <v>202108</v>
      </c>
      <c r="B286" s="10">
        <f>LEFT(creditcard[[#This Row],[YYYYMM]],4)</f>
        <v/>
      </c>
      <c r="C286" s="10">
        <f>RIGHT(creditcard[[#This Row],[YYYYMM]],2)</f>
        <v/>
      </c>
      <c r="D286" s="10">
        <f>IF(RIGHT(creditcard[[#This Row],[YYYYMM]],2)="--","--","Q"&amp;ROUNDUP(VALUE(RIGHT(creditcard[[#This Row],[YYYYMM]],2))/3,0))</f>
        <v/>
      </c>
      <c r="E286" s="10" t="n">
        <v>10</v>
      </c>
      <c r="F286" s="151" t="inlineStr">
        <is>
          <t>遠東</t>
        </is>
      </c>
      <c r="G286" s="152" t="inlineStr">
        <is>
          <t>10 遠東</t>
        </is>
      </c>
      <c r="H286" s="153" t="n">
        <v>1569110</v>
      </c>
      <c r="I286" s="153" t="n">
        <v>986577</v>
      </c>
      <c r="J286" s="153" t="n">
        <v>6285</v>
      </c>
      <c r="K286" s="153" t="n">
        <v>6302</v>
      </c>
      <c r="L286" s="153" t="n">
        <v>3735.151</v>
      </c>
      <c r="M286" s="11" t="n"/>
      <c r="N286" s="153" t="n">
        <v>3925.084</v>
      </c>
      <c r="O286" s="11" t="n"/>
      <c r="P286" s="11" t="n"/>
      <c r="Q286" s="12" t="n"/>
      <c r="R286" s="11" t="n"/>
      <c r="S286" s="11" t="n"/>
      <c r="T286" s="11" t="n"/>
      <c r="U286" s="11" t="n"/>
      <c r="V286" s="154" t="n"/>
      <c r="W286" s="11" t="n"/>
      <c r="X286" s="13" t="n"/>
      <c r="Y286" s="13" t="n"/>
      <c r="Z286" s="13" t="n"/>
      <c r="AA286" s="13" t="n"/>
      <c r="AB286" s="13" t="n"/>
      <c r="AC286" s="13" t="n"/>
      <c r="AD286" s="13" t="n"/>
      <c r="AE286" s="13" t="n"/>
      <c r="AF286" s="13" t="n"/>
      <c r="AG286" s="13" t="n"/>
      <c r="AH286" s="13" t="n"/>
      <c r="AI286" s="13" t="n"/>
    </row>
    <row r="287">
      <c r="A287" s="14" t="n">
        <v>202108</v>
      </c>
      <c r="B287" s="15">
        <f>LEFT(creditcard[[#This Row],[YYYYMM]],4)</f>
        <v/>
      </c>
      <c r="C287" s="15">
        <f>RIGHT(creditcard[[#This Row],[YYYYMM]],2)</f>
        <v/>
      </c>
      <c r="D287" s="15">
        <f>IF(RIGHT(creditcard[[#This Row],[YYYYMM]],2)="--","--","Q"&amp;ROUNDUP(VALUE(RIGHT(creditcard[[#This Row],[YYYYMM]],2))/3,0))</f>
        <v/>
      </c>
      <c r="E287" s="15" t="n">
        <v>11</v>
      </c>
      <c r="F287" s="155" t="inlineStr">
        <is>
          <t>市場總計</t>
        </is>
      </c>
      <c r="G287" s="156" t="inlineStr">
        <is>
          <t>11 市場總計</t>
        </is>
      </c>
      <c r="H287" s="157" t="n">
        <v>51568891</v>
      </c>
      <c r="I287" s="157" t="n">
        <v>33144828</v>
      </c>
      <c r="J287" s="157" t="n">
        <v>536392</v>
      </c>
      <c r="K287" s="157" t="n">
        <v>321540</v>
      </c>
      <c r="L287" s="157" t="n">
        <v>98194.446</v>
      </c>
      <c r="M287" s="16" t="n"/>
      <c r="N287" s="157" t="n">
        <v>251209.146</v>
      </c>
      <c r="O287" s="16" t="n"/>
      <c r="P287" s="16" t="n"/>
      <c r="Q287" s="17" t="n"/>
      <c r="R287" s="16" t="n"/>
      <c r="S287" s="16" t="n"/>
      <c r="T287" s="16" t="n"/>
      <c r="U287" s="16" t="n"/>
      <c r="V287" s="158" t="n">
        <v>4.35</v>
      </c>
      <c r="W287" s="16">
        <f>SUMIFS(H:H,A:A,creditcard[[#This Row],[YYYYMM]],G:G,creditcard[[#This Row],[Item]])</f>
        <v/>
      </c>
      <c r="X287" s="4">
        <f>IFERROR(SUMIFS(H:H,A:A,creditcard[[#This Row],[YYYYMM]],E:E,"&lt;=5")/creditcard[[#This Row],[市場總計]],"")</f>
        <v/>
      </c>
      <c r="Y287" s="4">
        <f>IFERROR(SUMIFS(H:H,A:A,creditcard[[#This Row],[YYYYMM]],E:E,"&lt;=10")/creditcard[[#This Row],[市場總計]],"")</f>
        <v/>
      </c>
      <c r="Z287" s="4">
        <f>IFERROR(SUMIFS(I:I,A:A,creditcard[[#This Row],[YYYYMM]],E:E,"&lt;=5")/creditcard[[#This Row],[有效卡數]],"")</f>
        <v/>
      </c>
      <c r="AA287" s="4">
        <f>IFERROR(SUMIFS(I:I,A:A,creditcard[[#This Row],[YYYYMM]],E:E,"&lt;=10")/creditcard[[#This Row],[有效卡數]],"")</f>
        <v/>
      </c>
      <c r="AB287" s="4">
        <f>IFERROR(SUMIFS(J:J,A:A,creditcard[[#This Row],[YYYYMM]],E:E,"&lt;=5")/creditcard[[#This Row],[當月發卡數]],"")</f>
        <v/>
      </c>
      <c r="AC287" s="4">
        <f>IFERROR(SUMIFS(J:J,A:A,creditcard[[#This Row],[YYYYMM]],E:E,"&lt;=10")/creditcard[[#This Row],[當月發卡數]],"")</f>
        <v/>
      </c>
      <c r="AD287" s="4">
        <f>IFERROR(SUMIFS(K:K,A:A,creditcard[[#This Row],[YYYYMM]],E:E,"&lt;=5")/creditcard[[#This Row],[當月停卡數]],"")</f>
        <v/>
      </c>
      <c r="AE287" s="4">
        <f>IFERROR(SUMIFS(K:K,A:A,creditcard[[#This Row],[YYYYMM]],E:E,"&lt;=10")/creditcard[[#This Row],[當月停卡數]],"")</f>
        <v/>
      </c>
      <c r="AF287" s="4">
        <f>IFERROR(SUMIFS(L:L,A:A,creditcard[[#This Row],[YYYYMM]],E:E,"&lt;=5")/creditcard[[#This Row],[循環信用餘額]],"")</f>
        <v/>
      </c>
      <c r="AG287" s="4">
        <f>IFERROR(SUMIFS(L:L,A:A,creditcard[[#This Row],[YYYYMM]],E:E,"&lt;=10")/creditcard[[#This Row],[循環信用餘額]],"")</f>
        <v/>
      </c>
      <c r="AH287" s="4">
        <f>IFERROR(SUMIFS(N:N,A:A,creditcard[[#This Row],[YYYYMM]],E:E,"&lt;=5")/creditcard[[#This Row],[當月簽帳金額]],"")</f>
        <v/>
      </c>
      <c r="AI287" s="4">
        <f>IFERROR(SUMIFS(N:N,A:A,creditcard[[#This Row],[YYYYMM]],E:E,"&lt;=10")/creditcard[[#This Row],[當月簽帳金額]],"")</f>
        <v/>
      </c>
    </row>
    <row r="288">
      <c r="A288" s="9" t="n">
        <v>202109</v>
      </c>
      <c r="B288" s="10">
        <f>LEFT(creditcard[[#This Row],[YYYYMM]],4)</f>
        <v/>
      </c>
      <c r="C288" s="10">
        <f>RIGHT(creditcard[[#This Row],[YYYYMM]],2)</f>
        <v/>
      </c>
      <c r="D288" s="10">
        <f>IF(RIGHT(creditcard[[#This Row],[YYYYMM]],2)="--","--","Q"&amp;ROUNDUP(VALUE(RIGHT(creditcard[[#This Row],[YYYYMM]],2))/3,0))</f>
        <v/>
      </c>
      <c r="E288" s="10" t="n">
        <v>1</v>
      </c>
      <c r="F288" s="151" t="inlineStr">
        <is>
          <t>中信</t>
        </is>
      </c>
      <c r="G288" s="152" t="inlineStr">
        <is>
          <t>01 中信</t>
        </is>
      </c>
      <c r="H288" s="153" t="n">
        <v>7670253</v>
      </c>
      <c r="I288" s="153" t="n">
        <v>4821988</v>
      </c>
      <c r="J288" s="153" t="n">
        <v>80461</v>
      </c>
      <c r="K288" s="153" t="n">
        <v>33610</v>
      </c>
      <c r="L288" s="153" t="n">
        <v>15006.257</v>
      </c>
      <c r="M288" s="11" t="n"/>
      <c r="N288" s="153" t="n">
        <v>38100.348</v>
      </c>
      <c r="O288" s="11" t="n"/>
      <c r="P288" s="11" t="n"/>
      <c r="Q288" s="12" t="n"/>
      <c r="R288" s="11" t="n"/>
      <c r="S288" s="11" t="n"/>
      <c r="T288" s="11" t="n"/>
      <c r="U288" s="11" t="n"/>
      <c r="V288" s="154" t="n"/>
      <c r="W288" s="11" t="n"/>
      <c r="X288" s="13" t="n"/>
      <c r="Y288" s="13" t="n"/>
      <c r="Z288" s="13" t="n"/>
      <c r="AA288" s="13" t="n"/>
      <c r="AB288" s="13" t="n"/>
      <c r="AC288" s="13" t="n"/>
      <c r="AD288" s="13" t="n"/>
      <c r="AE288" s="13" t="n"/>
      <c r="AF288" s="13" t="n"/>
      <c r="AG288" s="13" t="n"/>
      <c r="AH288" s="13" t="n"/>
      <c r="AI288" s="13" t="n"/>
    </row>
    <row r="289">
      <c r="A289" s="14" t="n">
        <v>202109</v>
      </c>
      <c r="B289" s="15">
        <f>LEFT(creditcard[[#This Row],[YYYYMM]],4)</f>
        <v/>
      </c>
      <c r="C289" s="15">
        <f>RIGHT(creditcard[[#This Row],[YYYYMM]],2)</f>
        <v/>
      </c>
      <c r="D289" s="15">
        <f>IF(RIGHT(creditcard[[#This Row],[YYYYMM]],2)="--","--","Q"&amp;ROUNDUP(VALUE(RIGHT(creditcard[[#This Row],[YYYYMM]],2))/3,0))</f>
        <v/>
      </c>
      <c r="E289" s="15" t="n">
        <v>2</v>
      </c>
      <c r="F289" s="155" t="inlineStr">
        <is>
          <t>富邦</t>
        </is>
      </c>
      <c r="G289" s="156" t="inlineStr">
        <is>
          <t>02 富邦</t>
        </is>
      </c>
      <c r="H289" s="157" t="n">
        <v>4085717</v>
      </c>
      <c r="I289" s="157" t="n">
        <v>2728250</v>
      </c>
      <c r="J289" s="157" t="n">
        <v>36429</v>
      </c>
      <c r="K289" s="157" t="n">
        <v>15945</v>
      </c>
      <c r="L289" s="157" t="n">
        <v>5629.119</v>
      </c>
      <c r="M289" s="16" t="n"/>
      <c r="N289" s="157" t="n">
        <v>23963.091</v>
      </c>
      <c r="O289" s="16" t="n"/>
      <c r="P289" s="16" t="n"/>
      <c r="Q289" s="17" t="n"/>
      <c r="R289" s="16" t="n"/>
      <c r="S289" s="16" t="n"/>
      <c r="T289" s="16" t="n"/>
      <c r="U289" s="16" t="n"/>
      <c r="V289" s="158" t="n"/>
      <c r="W289" s="16" t="n"/>
      <c r="X289" s="18" t="n"/>
      <c r="Y289" s="18" t="n"/>
      <c r="Z289" s="18" t="n"/>
      <c r="AA289" s="18" t="n"/>
      <c r="AB289" s="18" t="n"/>
      <c r="AC289" s="18" t="n"/>
      <c r="AD289" s="18" t="n"/>
      <c r="AE289" s="18" t="n"/>
      <c r="AF289" s="18" t="n"/>
      <c r="AG289" s="18" t="n"/>
      <c r="AH289" s="18" t="n"/>
      <c r="AI289" s="18" t="n"/>
    </row>
    <row r="290">
      <c r="A290" s="9" t="n">
        <v>202109</v>
      </c>
      <c r="B290" s="10">
        <f>LEFT(creditcard[[#This Row],[YYYYMM]],4)</f>
        <v/>
      </c>
      <c r="C290" s="10">
        <f>RIGHT(creditcard[[#This Row],[YYYYMM]],2)</f>
        <v/>
      </c>
      <c r="D290" s="10">
        <f>IF(RIGHT(creditcard[[#This Row],[YYYYMM]],2)="--","--","Q"&amp;ROUNDUP(VALUE(RIGHT(creditcard[[#This Row],[YYYYMM]],2))/3,0))</f>
        <v/>
      </c>
      <c r="E290" s="10" t="n">
        <v>3</v>
      </c>
      <c r="F290" s="151" t="inlineStr">
        <is>
          <t>國泰</t>
        </is>
      </c>
      <c r="G290" s="152" t="inlineStr">
        <is>
          <t>03 國泰</t>
        </is>
      </c>
      <c r="H290" s="153" t="n">
        <v>7489841</v>
      </c>
      <c r="I290" s="153" t="n">
        <v>5263560</v>
      </c>
      <c r="J290" s="153" t="n">
        <v>183383</v>
      </c>
      <c r="K290" s="153" t="n">
        <v>76140</v>
      </c>
      <c r="L290" s="153" t="n">
        <v>17471.236</v>
      </c>
      <c r="M290" s="11" t="n"/>
      <c r="N290" s="153" t="n">
        <v>41601.878</v>
      </c>
      <c r="O290" s="11" t="n"/>
      <c r="P290" s="11" t="n"/>
      <c r="Q290" s="12" t="n"/>
      <c r="R290" s="11" t="n"/>
      <c r="S290" s="11" t="n"/>
      <c r="T290" s="11" t="n"/>
      <c r="U290" s="11" t="n"/>
      <c r="V290" s="154" t="n"/>
      <c r="W290" s="11" t="n"/>
      <c r="X290" s="13" t="n"/>
      <c r="Y290" s="13" t="n"/>
      <c r="Z290" s="13" t="n"/>
      <c r="AA290" s="13" t="n"/>
      <c r="AB290" s="13" t="n"/>
      <c r="AC290" s="13" t="n"/>
      <c r="AD290" s="13" t="n"/>
      <c r="AE290" s="13" t="n"/>
      <c r="AF290" s="13" t="n"/>
      <c r="AG290" s="13" t="n"/>
      <c r="AH290" s="13" t="n"/>
      <c r="AI290" s="13" t="n"/>
    </row>
    <row r="291">
      <c r="A291" s="14" t="n">
        <v>202109</v>
      </c>
      <c r="B291" s="15">
        <f>LEFT(creditcard[[#This Row],[YYYYMM]],4)</f>
        <v/>
      </c>
      <c r="C291" s="15">
        <f>RIGHT(creditcard[[#This Row],[YYYYMM]],2)</f>
        <v/>
      </c>
      <c r="D291" s="15">
        <f>IF(RIGHT(creditcard[[#This Row],[YYYYMM]],2)="--","--","Q"&amp;ROUNDUP(VALUE(RIGHT(creditcard[[#This Row],[YYYYMM]],2))/3,0))</f>
        <v/>
      </c>
      <c r="E291" s="15" t="n">
        <v>4</v>
      </c>
      <c r="F291" s="155" t="inlineStr">
        <is>
          <t>玉山</t>
        </is>
      </c>
      <c r="G291" s="156" t="inlineStr">
        <is>
          <t>04 玉山</t>
        </is>
      </c>
      <c r="H291" s="157" t="n">
        <v>6559993</v>
      </c>
      <c r="I291" s="157" t="n">
        <v>4471779</v>
      </c>
      <c r="J291" s="157" t="n">
        <v>48022</v>
      </c>
      <c r="K291" s="157" t="n">
        <v>22106</v>
      </c>
      <c r="L291" s="157" t="n">
        <v>12340.002</v>
      </c>
      <c r="M291" s="16" t="n"/>
      <c r="N291" s="157" t="n">
        <v>34906.37</v>
      </c>
      <c r="O291" s="16" t="n"/>
      <c r="P291" s="16" t="n"/>
      <c r="Q291" s="17" t="n"/>
      <c r="R291" s="16" t="n"/>
      <c r="S291" s="16" t="n"/>
      <c r="T291" s="16" t="n"/>
      <c r="U291" s="16" t="n"/>
      <c r="V291" s="158" t="n"/>
      <c r="W291" s="16" t="n"/>
      <c r="X291" s="18" t="n"/>
      <c r="Y291" s="18" t="n"/>
      <c r="Z291" s="18" t="n"/>
      <c r="AA291" s="18" t="n"/>
      <c r="AB291" s="18" t="n"/>
      <c r="AC291" s="18" t="n"/>
      <c r="AD291" s="18" t="n"/>
      <c r="AE291" s="18" t="n"/>
      <c r="AF291" s="18" t="n"/>
      <c r="AG291" s="18" t="n"/>
      <c r="AH291" s="18" t="n"/>
      <c r="AI291" s="18" t="n"/>
    </row>
    <row r="292">
      <c r="A292" s="9" t="n">
        <v>202109</v>
      </c>
      <c r="B292" s="10">
        <f>LEFT(creditcard[[#This Row],[YYYYMM]],4)</f>
        <v/>
      </c>
      <c r="C292" s="10">
        <f>RIGHT(creditcard[[#This Row],[YYYYMM]],2)</f>
        <v/>
      </c>
      <c r="D292" s="10">
        <f>IF(RIGHT(creditcard[[#This Row],[YYYYMM]],2)="--","--","Q"&amp;ROUNDUP(VALUE(RIGHT(creditcard[[#This Row],[YYYYMM]],2))/3,0))</f>
        <v/>
      </c>
      <c r="E292" s="10" t="n">
        <v>5</v>
      </c>
      <c r="F292" s="151" t="inlineStr">
        <is>
          <t>台新</t>
        </is>
      </c>
      <c r="G292" s="152" t="inlineStr">
        <is>
          <t>05 台新</t>
        </is>
      </c>
      <c r="H292" s="153" t="n">
        <v>5957656</v>
      </c>
      <c r="I292" s="153" t="n">
        <v>4046445</v>
      </c>
      <c r="J292" s="153" t="n">
        <v>54463</v>
      </c>
      <c r="K292" s="153" t="n">
        <v>24887</v>
      </c>
      <c r="L292" s="153" t="n">
        <v>9937.859</v>
      </c>
      <c r="M292" s="11" t="n"/>
      <c r="N292" s="153" t="n">
        <v>28430.168</v>
      </c>
      <c r="O292" s="11" t="n"/>
      <c r="P292" s="11" t="n"/>
      <c r="Q292" s="12" t="n"/>
      <c r="R292" s="11" t="n"/>
      <c r="S292" s="11" t="n"/>
      <c r="T292" s="11" t="n"/>
      <c r="U292" s="11" t="n"/>
      <c r="V292" s="154" t="n"/>
      <c r="W292" s="11" t="n"/>
      <c r="X292" s="13" t="n"/>
      <c r="Y292" s="13" t="n"/>
      <c r="Z292" s="13" t="n"/>
      <c r="AA292" s="13" t="n"/>
      <c r="AB292" s="13" t="n"/>
      <c r="AC292" s="13" t="n"/>
      <c r="AD292" s="13" t="n"/>
      <c r="AE292" s="13" t="n"/>
      <c r="AF292" s="13" t="n"/>
      <c r="AG292" s="13" t="n"/>
      <c r="AH292" s="13" t="n"/>
      <c r="AI292" s="13" t="n"/>
    </row>
    <row r="293">
      <c r="A293" s="14" t="n">
        <v>202109</v>
      </c>
      <c r="B293" s="15">
        <f>LEFT(creditcard[[#This Row],[YYYYMM]],4)</f>
        <v/>
      </c>
      <c r="C293" s="15">
        <f>RIGHT(creditcard[[#This Row],[YYYYMM]],2)</f>
        <v/>
      </c>
      <c r="D293" s="15">
        <f>IF(RIGHT(creditcard[[#This Row],[YYYYMM]],2)="--","--","Q"&amp;ROUNDUP(VALUE(RIGHT(creditcard[[#This Row],[YYYYMM]],2))/3,0))</f>
        <v/>
      </c>
      <c r="E293" s="15" t="n">
        <v>6</v>
      </c>
      <c r="F293" s="155" t="inlineStr">
        <is>
          <t>星展</t>
        </is>
      </c>
      <c r="G293" s="156" t="inlineStr">
        <is>
          <t>06 星展</t>
        </is>
      </c>
      <c r="H293" s="157" t="n">
        <v>608554</v>
      </c>
      <c r="I293" s="157" t="n">
        <v>309322</v>
      </c>
      <c r="J293" s="157" t="n">
        <v>7346</v>
      </c>
      <c r="K293" s="157" t="n">
        <v>5143</v>
      </c>
      <c r="L293" s="157" t="n">
        <v>1295</v>
      </c>
      <c r="M293" s="16" t="n"/>
      <c r="N293" s="157" t="n">
        <v>2956</v>
      </c>
      <c r="O293" s="16" t="n"/>
      <c r="P293" s="16" t="n"/>
      <c r="Q293" s="17" t="n"/>
      <c r="R293" s="16" t="n"/>
      <c r="S293" s="16" t="n"/>
      <c r="T293" s="16" t="n"/>
      <c r="U293" s="16" t="n"/>
      <c r="V293" s="158" t="n"/>
      <c r="W293" s="16" t="n"/>
      <c r="X293" s="18" t="n"/>
      <c r="Y293" s="18" t="n"/>
      <c r="Z293" s="18" t="n"/>
      <c r="AA293" s="18" t="n"/>
      <c r="AB293" s="18" t="n"/>
      <c r="AC293" s="18" t="n"/>
      <c r="AD293" s="18" t="n"/>
      <c r="AE293" s="18" t="n"/>
      <c r="AF293" s="18" t="n"/>
      <c r="AG293" s="18" t="n"/>
      <c r="AH293" s="18" t="n"/>
      <c r="AI293" s="18" t="n"/>
    </row>
    <row r="294">
      <c r="A294" s="9" t="n">
        <v>202109</v>
      </c>
      <c r="B294" s="10">
        <f>LEFT(creditcard[[#This Row],[YYYYMM]],4)</f>
        <v/>
      </c>
      <c r="C294" s="10">
        <f>RIGHT(creditcard[[#This Row],[YYYYMM]],2)</f>
        <v/>
      </c>
      <c r="D294" s="10">
        <f>IF(RIGHT(creditcard[[#This Row],[YYYYMM]],2)="--","--","Q"&amp;ROUNDUP(VALUE(RIGHT(creditcard[[#This Row],[YYYYMM]],2))/3,0))</f>
        <v/>
      </c>
      <c r="E294" s="10" t="n">
        <v>7</v>
      </c>
      <c r="F294" s="151" t="inlineStr">
        <is>
          <t>聯邦</t>
        </is>
      </c>
      <c r="G294" s="152" t="inlineStr">
        <is>
          <t>07 聯邦</t>
        </is>
      </c>
      <c r="H294" s="153" t="n">
        <v>2207397</v>
      </c>
      <c r="I294" s="153" t="n">
        <v>1289698</v>
      </c>
      <c r="J294" s="153" t="n">
        <v>21751</v>
      </c>
      <c r="K294" s="153" t="n">
        <v>10430</v>
      </c>
      <c r="L294" s="153" t="n">
        <v>5227.724</v>
      </c>
      <c r="M294" s="11" t="n"/>
      <c r="N294" s="153" t="n">
        <v>8541.815000000001</v>
      </c>
      <c r="O294" s="11" t="n"/>
      <c r="P294" s="11" t="n"/>
      <c r="Q294" s="12" t="n"/>
      <c r="R294" s="11" t="n"/>
      <c r="S294" s="11" t="n"/>
      <c r="T294" s="11" t="n"/>
      <c r="U294" s="11" t="n"/>
      <c r="V294" s="154" t="n"/>
      <c r="W294" s="11" t="n"/>
      <c r="X294" s="13" t="n"/>
      <c r="Y294" s="13" t="n"/>
      <c r="Z294" s="13" t="n"/>
      <c r="AA294" s="13" t="n"/>
      <c r="AB294" s="13" t="n"/>
      <c r="AC294" s="13" t="n"/>
      <c r="AD294" s="13" t="n"/>
      <c r="AE294" s="13" t="n"/>
      <c r="AF294" s="13" t="n"/>
      <c r="AG294" s="13" t="n"/>
      <c r="AH294" s="13" t="n"/>
      <c r="AI294" s="13" t="n"/>
    </row>
    <row r="295">
      <c r="A295" s="14" t="n">
        <v>202109</v>
      </c>
      <c r="B295" s="15">
        <f>LEFT(creditcard[[#This Row],[YYYYMM]],4)</f>
        <v/>
      </c>
      <c r="C295" s="15">
        <f>RIGHT(creditcard[[#This Row],[YYYYMM]],2)</f>
        <v/>
      </c>
      <c r="D295" s="15">
        <f>IF(RIGHT(creditcard[[#This Row],[YYYYMM]],2)="--","--","Q"&amp;ROUNDUP(VALUE(RIGHT(creditcard[[#This Row],[YYYYMM]],2))/3,0))</f>
        <v/>
      </c>
      <c r="E295" s="15" t="n">
        <v>8</v>
      </c>
      <c r="F295" s="155" t="inlineStr">
        <is>
          <t>永豐</t>
        </is>
      </c>
      <c r="G295" s="156" t="inlineStr">
        <is>
          <t>08 永豐</t>
        </is>
      </c>
      <c r="H295" s="157" t="n">
        <v>2146678</v>
      </c>
      <c r="I295" s="157" t="n">
        <v>1148762</v>
      </c>
      <c r="J295" s="157" t="n">
        <v>12399</v>
      </c>
      <c r="K295" s="157" t="n">
        <v>5928</v>
      </c>
      <c r="L295" s="157" t="n">
        <v>3951.032</v>
      </c>
      <c r="M295" s="16" t="n"/>
      <c r="N295" s="157" t="n">
        <v>10043.87</v>
      </c>
      <c r="O295" s="16" t="n"/>
      <c r="P295" s="16" t="n"/>
      <c r="Q295" s="17" t="n"/>
      <c r="R295" s="16" t="n"/>
      <c r="S295" s="16" t="n"/>
      <c r="T295" s="16" t="n"/>
      <c r="U295" s="16" t="n"/>
      <c r="V295" s="158" t="n"/>
      <c r="W295" s="16" t="n"/>
      <c r="X295" s="18" t="n"/>
      <c r="Y295" s="18" t="n"/>
      <c r="Z295" s="18" t="n"/>
      <c r="AA295" s="18" t="n"/>
      <c r="AB295" s="18" t="n"/>
      <c r="AC295" s="18" t="n"/>
      <c r="AD295" s="18" t="n"/>
      <c r="AE295" s="18" t="n"/>
      <c r="AF295" s="18" t="n"/>
      <c r="AG295" s="18" t="n"/>
      <c r="AH295" s="18" t="n"/>
      <c r="AI295" s="18" t="n"/>
    </row>
    <row r="296">
      <c r="A296" s="9" t="n">
        <v>202109</v>
      </c>
      <c r="B296" s="10">
        <f>LEFT(creditcard[[#This Row],[YYYYMM]],4)</f>
        <v/>
      </c>
      <c r="C296" s="10">
        <f>RIGHT(creditcard[[#This Row],[YYYYMM]],2)</f>
        <v/>
      </c>
      <c r="D296" s="10">
        <f>IF(RIGHT(creditcard[[#This Row],[YYYYMM]],2)="--","--","Q"&amp;ROUNDUP(VALUE(RIGHT(creditcard[[#This Row],[YYYYMM]],2))/3,0))</f>
        <v/>
      </c>
      <c r="E296" s="10" t="n">
        <v>9</v>
      </c>
      <c r="F296" s="151" t="inlineStr">
        <is>
          <t>第一</t>
        </is>
      </c>
      <c r="G296" s="152" t="inlineStr">
        <is>
          <t>09 第一</t>
        </is>
      </c>
      <c r="H296" s="153" t="n">
        <v>1391351</v>
      </c>
      <c r="I296" s="153" t="n">
        <v>831719</v>
      </c>
      <c r="J296" s="153" t="n">
        <v>17880</v>
      </c>
      <c r="K296" s="153" t="n">
        <v>9584</v>
      </c>
      <c r="L296" s="153" t="n">
        <v>1429</v>
      </c>
      <c r="M296" s="11" t="n"/>
      <c r="N296" s="153" t="n">
        <v>4714</v>
      </c>
      <c r="O296" s="11" t="n"/>
      <c r="P296" s="11" t="n"/>
      <c r="Q296" s="12" t="n"/>
      <c r="R296" s="11" t="n"/>
      <c r="S296" s="11" t="n"/>
      <c r="T296" s="11" t="n"/>
      <c r="U296" s="11" t="n"/>
      <c r="V296" s="154" t="n"/>
      <c r="W296" s="11" t="n"/>
      <c r="X296" s="13" t="n"/>
      <c r="Y296" s="13" t="n"/>
      <c r="Z296" s="13" t="n"/>
      <c r="AA296" s="13" t="n"/>
      <c r="AB296" s="13" t="n"/>
      <c r="AC296" s="13" t="n"/>
      <c r="AD296" s="13" t="n"/>
      <c r="AE296" s="13" t="n"/>
      <c r="AF296" s="13" t="n"/>
      <c r="AG296" s="13" t="n"/>
      <c r="AH296" s="13" t="n"/>
      <c r="AI296" s="13" t="n"/>
    </row>
    <row r="297">
      <c r="A297" s="14" t="n">
        <v>202109</v>
      </c>
      <c r="B297" s="15">
        <f>LEFT(creditcard[[#This Row],[YYYYMM]],4)</f>
        <v/>
      </c>
      <c r="C297" s="15">
        <f>RIGHT(creditcard[[#This Row],[YYYYMM]],2)</f>
        <v/>
      </c>
      <c r="D297" s="15">
        <f>IF(RIGHT(creditcard[[#This Row],[YYYYMM]],2)="--","--","Q"&amp;ROUNDUP(VALUE(RIGHT(creditcard[[#This Row],[YYYYMM]],2))/3,0))</f>
        <v/>
      </c>
      <c r="E297" s="15" t="n">
        <v>10</v>
      </c>
      <c r="F297" s="155" t="inlineStr">
        <is>
          <t>遠東</t>
        </is>
      </c>
      <c r="G297" s="156" t="inlineStr">
        <is>
          <t>10 遠東</t>
        </is>
      </c>
      <c r="H297" s="157" t="n">
        <v>1571458</v>
      </c>
      <c r="I297" s="157" t="n">
        <v>972884</v>
      </c>
      <c r="J297" s="157" t="n">
        <v>8105</v>
      </c>
      <c r="K297" s="157" t="n">
        <v>5881</v>
      </c>
      <c r="L297" s="157" t="n">
        <v>3746.563</v>
      </c>
      <c r="M297" s="16" t="n"/>
      <c r="N297" s="157" t="n">
        <v>3924.447</v>
      </c>
      <c r="O297" s="16" t="n"/>
      <c r="P297" s="16" t="n"/>
      <c r="Q297" s="17" t="n"/>
      <c r="R297" s="16" t="n"/>
      <c r="S297" s="16" t="n"/>
      <c r="T297" s="16" t="n"/>
      <c r="U297" s="16" t="n"/>
      <c r="V297" s="158" t="n"/>
      <c r="W297" s="16" t="n"/>
      <c r="X297" s="18" t="n"/>
      <c r="Y297" s="18" t="n"/>
      <c r="Z297" s="18" t="n"/>
      <c r="AA297" s="18" t="n"/>
      <c r="AB297" s="18" t="n"/>
      <c r="AC297" s="18" t="n"/>
      <c r="AD297" s="18" t="n"/>
      <c r="AE297" s="18" t="n"/>
      <c r="AF297" s="18" t="n"/>
      <c r="AG297" s="18" t="n"/>
      <c r="AH297" s="18" t="n"/>
      <c r="AI297" s="18" t="n"/>
    </row>
    <row r="298">
      <c r="A298" s="9" t="n">
        <v>202109</v>
      </c>
      <c r="B298" s="10">
        <f>LEFT(creditcard[[#This Row],[YYYYMM]],4)</f>
        <v/>
      </c>
      <c r="C298" s="10">
        <f>RIGHT(creditcard[[#This Row],[YYYYMM]],2)</f>
        <v/>
      </c>
      <c r="D298" s="10">
        <f>IF(RIGHT(creditcard[[#This Row],[YYYYMM]],2)="--","--","Q"&amp;ROUNDUP(VALUE(RIGHT(creditcard[[#This Row],[YYYYMM]],2))/3,0))</f>
        <v/>
      </c>
      <c r="E298" s="10" t="n">
        <v>11</v>
      </c>
      <c r="F298" s="151" t="inlineStr">
        <is>
          <t>市場總計</t>
        </is>
      </c>
      <c r="G298" s="152" t="inlineStr">
        <is>
          <t>11 市場總計</t>
        </is>
      </c>
      <c r="H298" s="153" t="n">
        <v>51867024</v>
      </c>
      <c r="I298" s="153" t="n">
        <v>33181794</v>
      </c>
      <c r="J298" s="153" t="n">
        <v>582576</v>
      </c>
      <c r="K298" s="153" t="n">
        <v>296395</v>
      </c>
      <c r="L298" s="153" t="n">
        <v>99313.76700000001</v>
      </c>
      <c r="M298" s="11" t="n"/>
      <c r="N298" s="153" t="n">
        <v>250925.612</v>
      </c>
      <c r="O298" s="11" t="n"/>
      <c r="P298" s="11" t="n"/>
      <c r="Q298" s="12" t="n"/>
      <c r="R298" s="11" t="n"/>
      <c r="S298" s="11" t="n"/>
      <c r="T298" s="11" t="n"/>
      <c r="U298" s="11" t="n"/>
      <c r="V298" s="154" t="n">
        <v>4.36</v>
      </c>
      <c r="W298" s="11">
        <f>SUMIFS(H:H,A:A,creditcard[[#This Row],[YYYYMM]],G:G,creditcard[[#This Row],[Item]])</f>
        <v/>
      </c>
      <c r="X298" s="4">
        <f>IFERROR(SUMIFS(H:H,A:A,creditcard[[#This Row],[YYYYMM]],E:E,"&lt;=5")/creditcard[[#This Row],[市場總計]],"")</f>
        <v/>
      </c>
      <c r="Y298" s="4">
        <f>IFERROR(SUMIFS(H:H,A:A,creditcard[[#This Row],[YYYYMM]],E:E,"&lt;=10")/creditcard[[#This Row],[市場總計]],"")</f>
        <v/>
      </c>
      <c r="Z298" s="4">
        <f>IFERROR(SUMIFS(I:I,A:A,creditcard[[#This Row],[YYYYMM]],E:E,"&lt;=5")/creditcard[[#This Row],[有效卡數]],"")</f>
        <v/>
      </c>
      <c r="AA298" s="4">
        <f>IFERROR(SUMIFS(I:I,A:A,creditcard[[#This Row],[YYYYMM]],E:E,"&lt;=10")/creditcard[[#This Row],[有效卡數]],"")</f>
        <v/>
      </c>
      <c r="AB298" s="4">
        <f>IFERROR(SUMIFS(J:J,A:A,creditcard[[#This Row],[YYYYMM]],E:E,"&lt;=5")/creditcard[[#This Row],[當月發卡數]],"")</f>
        <v/>
      </c>
      <c r="AC298" s="4">
        <f>IFERROR(SUMIFS(J:J,A:A,creditcard[[#This Row],[YYYYMM]],E:E,"&lt;=10")/creditcard[[#This Row],[當月發卡數]],"")</f>
        <v/>
      </c>
      <c r="AD298" s="4">
        <f>IFERROR(SUMIFS(K:K,A:A,creditcard[[#This Row],[YYYYMM]],E:E,"&lt;=5")/creditcard[[#This Row],[當月停卡數]],"")</f>
        <v/>
      </c>
      <c r="AE298" s="4">
        <f>IFERROR(SUMIFS(K:K,A:A,creditcard[[#This Row],[YYYYMM]],E:E,"&lt;=10")/creditcard[[#This Row],[當月停卡數]],"")</f>
        <v/>
      </c>
      <c r="AF298" s="4">
        <f>IFERROR(SUMIFS(L:L,A:A,creditcard[[#This Row],[YYYYMM]],E:E,"&lt;=5")/creditcard[[#This Row],[循環信用餘額]],"")</f>
        <v/>
      </c>
      <c r="AG298" s="4">
        <f>IFERROR(SUMIFS(L:L,A:A,creditcard[[#This Row],[YYYYMM]],E:E,"&lt;=10")/creditcard[[#This Row],[循環信用餘額]],"")</f>
        <v/>
      </c>
      <c r="AH298" s="4">
        <f>IFERROR(SUMIFS(N:N,A:A,creditcard[[#This Row],[YYYYMM]],E:E,"&lt;=5")/creditcard[[#This Row],[當月簽帳金額]],"")</f>
        <v/>
      </c>
      <c r="AI298" s="4">
        <f>IFERROR(SUMIFS(N:N,A:A,creditcard[[#This Row],[YYYYMM]],E:E,"&lt;=10")/creditcard[[#This Row],[當月簽帳金額]],"")</f>
        <v/>
      </c>
    </row>
    <row r="299">
      <c r="A299" s="14" t="n">
        <v>202110</v>
      </c>
      <c r="B299" s="15">
        <f>LEFT(creditcard[[#This Row],[YYYYMM]],4)</f>
        <v/>
      </c>
      <c r="C299" s="15">
        <f>RIGHT(creditcard[[#This Row],[YYYYMM]],2)</f>
        <v/>
      </c>
      <c r="D299" s="15">
        <f>IF(RIGHT(creditcard[[#This Row],[YYYYMM]],2)="--","--","Q"&amp;ROUNDUP(VALUE(RIGHT(creditcard[[#This Row],[YYYYMM]],2))/3,0))</f>
        <v/>
      </c>
      <c r="E299" s="15" t="n">
        <v>1</v>
      </c>
      <c r="F299" s="155" t="inlineStr">
        <is>
          <t>中信</t>
        </is>
      </c>
      <c r="G299" s="156" t="inlineStr">
        <is>
          <t>01 中信</t>
        </is>
      </c>
      <c r="H299" s="157" t="n">
        <v>7727505</v>
      </c>
      <c r="I299" s="157" t="n">
        <v>4835629</v>
      </c>
      <c r="J299" s="157" t="n">
        <v>84040</v>
      </c>
      <c r="K299" s="157" t="n">
        <v>26788</v>
      </c>
      <c r="L299" s="157" t="n">
        <v>15072</v>
      </c>
      <c r="M299" s="16" t="n"/>
      <c r="N299" s="157" t="n">
        <v>37668</v>
      </c>
      <c r="O299" s="16" t="n"/>
      <c r="P299" s="16" t="n"/>
      <c r="Q299" s="17" t="n"/>
      <c r="R299" s="16" t="n"/>
      <c r="S299" s="16" t="n"/>
      <c r="T299" s="16" t="n"/>
      <c r="U299" s="16" t="n"/>
      <c r="V299" s="158" t="n"/>
      <c r="W299" s="16" t="n"/>
      <c r="X299" s="18" t="n"/>
      <c r="Y299" s="18" t="n"/>
      <c r="Z299" s="18" t="n"/>
      <c r="AA299" s="18" t="n"/>
      <c r="AB299" s="18" t="n"/>
      <c r="AC299" s="18" t="n"/>
      <c r="AD299" s="18" t="n"/>
      <c r="AE299" s="18" t="n"/>
      <c r="AF299" s="18" t="n"/>
      <c r="AG299" s="18" t="n"/>
      <c r="AH299" s="18" t="n"/>
      <c r="AI299" s="18" t="n"/>
    </row>
    <row r="300">
      <c r="A300" s="9" t="n">
        <v>202110</v>
      </c>
      <c r="B300" s="10">
        <f>LEFT(creditcard[[#This Row],[YYYYMM]],4)</f>
        <v/>
      </c>
      <c r="C300" s="10">
        <f>RIGHT(creditcard[[#This Row],[YYYYMM]],2)</f>
        <v/>
      </c>
      <c r="D300" s="10">
        <f>IF(RIGHT(creditcard[[#This Row],[YYYYMM]],2)="--","--","Q"&amp;ROUNDUP(VALUE(RIGHT(creditcard[[#This Row],[YYYYMM]],2))/3,0))</f>
        <v/>
      </c>
      <c r="E300" s="10" t="n">
        <v>2</v>
      </c>
      <c r="F300" s="151" t="inlineStr">
        <is>
          <t>富邦</t>
        </is>
      </c>
      <c r="G300" s="152" t="inlineStr">
        <is>
          <t>02 富邦</t>
        </is>
      </c>
      <c r="H300" s="153" t="n">
        <v>4122390</v>
      </c>
      <c r="I300" s="153" t="n">
        <v>2745415</v>
      </c>
      <c r="J300" s="153" t="n">
        <v>54266</v>
      </c>
      <c r="K300" s="153" t="n">
        <v>17593</v>
      </c>
      <c r="L300" s="153" t="n">
        <v>5712</v>
      </c>
      <c r="M300" s="11" t="n"/>
      <c r="N300" s="153" t="n">
        <v>23218</v>
      </c>
      <c r="O300" s="11" t="n"/>
      <c r="P300" s="11" t="n"/>
      <c r="Q300" s="12" t="n"/>
      <c r="R300" s="11" t="n"/>
      <c r="S300" s="11" t="n"/>
      <c r="T300" s="11" t="n"/>
      <c r="U300" s="11" t="n"/>
      <c r="V300" s="154" t="n"/>
      <c r="W300" s="11" t="n"/>
      <c r="X300" s="13" t="n"/>
      <c r="Y300" s="13" t="n"/>
      <c r="Z300" s="13" t="n"/>
      <c r="AA300" s="13" t="n"/>
      <c r="AB300" s="13" t="n"/>
      <c r="AC300" s="13" t="n"/>
      <c r="AD300" s="13" t="n"/>
      <c r="AE300" s="13" t="n"/>
      <c r="AF300" s="13" t="n"/>
      <c r="AG300" s="13" t="n"/>
      <c r="AH300" s="13" t="n"/>
      <c r="AI300" s="13" t="n"/>
    </row>
    <row r="301">
      <c r="A301" s="14" t="n">
        <v>202110</v>
      </c>
      <c r="B301" s="15">
        <f>LEFT(creditcard[[#This Row],[YYYYMM]],4)</f>
        <v/>
      </c>
      <c r="C301" s="15">
        <f>RIGHT(creditcard[[#This Row],[YYYYMM]],2)</f>
        <v/>
      </c>
      <c r="D301" s="15">
        <f>IF(RIGHT(creditcard[[#This Row],[YYYYMM]],2)="--","--","Q"&amp;ROUNDUP(VALUE(RIGHT(creditcard[[#This Row],[YYYYMM]],2))/3,0))</f>
        <v/>
      </c>
      <c r="E301" s="15" t="n">
        <v>3</v>
      </c>
      <c r="F301" s="155" t="inlineStr">
        <is>
          <t>國泰</t>
        </is>
      </c>
      <c r="G301" s="156" t="inlineStr">
        <is>
          <t>03 國泰</t>
        </is>
      </c>
      <c r="H301" s="157" t="n">
        <v>7537472</v>
      </c>
      <c r="I301" s="157" t="n">
        <v>5302993</v>
      </c>
      <c r="J301" s="157" t="n">
        <v>103914</v>
      </c>
      <c r="K301" s="157" t="n">
        <v>56283</v>
      </c>
      <c r="L301" s="157" t="n">
        <v>17690</v>
      </c>
      <c r="M301" s="16" t="n"/>
      <c r="N301" s="157" t="n">
        <v>38005</v>
      </c>
      <c r="O301" s="16" t="n"/>
      <c r="P301" s="16" t="n"/>
      <c r="Q301" s="17" t="n"/>
      <c r="R301" s="16" t="n"/>
      <c r="S301" s="16" t="n"/>
      <c r="T301" s="16" t="n"/>
      <c r="U301" s="16" t="n"/>
      <c r="V301" s="158" t="n"/>
      <c r="W301" s="16" t="n"/>
      <c r="X301" s="18" t="n"/>
      <c r="Y301" s="18" t="n"/>
      <c r="Z301" s="18" t="n"/>
      <c r="AA301" s="18" t="n"/>
      <c r="AB301" s="18" t="n"/>
      <c r="AC301" s="18" t="n"/>
      <c r="AD301" s="18" t="n"/>
      <c r="AE301" s="18" t="n"/>
      <c r="AF301" s="18" t="n"/>
      <c r="AG301" s="18" t="n"/>
      <c r="AH301" s="18" t="n"/>
      <c r="AI301" s="18" t="n"/>
    </row>
    <row r="302">
      <c r="A302" s="9" t="n">
        <v>202110</v>
      </c>
      <c r="B302" s="10">
        <f>LEFT(creditcard[[#This Row],[YYYYMM]],4)</f>
        <v/>
      </c>
      <c r="C302" s="10">
        <f>RIGHT(creditcard[[#This Row],[YYYYMM]],2)</f>
        <v/>
      </c>
      <c r="D302" s="10">
        <f>IF(RIGHT(creditcard[[#This Row],[YYYYMM]],2)="--","--","Q"&amp;ROUNDUP(VALUE(RIGHT(creditcard[[#This Row],[YYYYMM]],2))/3,0))</f>
        <v/>
      </c>
      <c r="E302" s="10" t="n">
        <v>4</v>
      </c>
      <c r="F302" s="151" t="inlineStr">
        <is>
          <t>玉山</t>
        </is>
      </c>
      <c r="G302" s="152" t="inlineStr">
        <is>
          <t>04 玉山</t>
        </is>
      </c>
      <c r="H302" s="153" t="n">
        <v>6586884</v>
      </c>
      <c r="I302" s="153" t="n">
        <v>4485535</v>
      </c>
      <c r="J302" s="153" t="n">
        <v>49247</v>
      </c>
      <c r="K302" s="153" t="n">
        <v>22356</v>
      </c>
      <c r="L302" s="153" t="n">
        <v>12470</v>
      </c>
      <c r="M302" s="11" t="n"/>
      <c r="N302" s="153" t="n">
        <v>36834</v>
      </c>
      <c r="O302" s="11" t="n"/>
      <c r="P302" s="11" t="n"/>
      <c r="Q302" s="12" t="n"/>
      <c r="R302" s="11" t="n"/>
      <c r="S302" s="11" t="n"/>
      <c r="T302" s="11" t="n"/>
      <c r="U302" s="11" t="n"/>
      <c r="V302" s="154" t="n"/>
      <c r="W302" s="11" t="n"/>
      <c r="X302" s="13" t="n"/>
      <c r="Y302" s="13" t="n"/>
      <c r="Z302" s="13" t="n"/>
      <c r="AA302" s="13" t="n"/>
      <c r="AB302" s="13" t="n"/>
      <c r="AC302" s="13" t="n"/>
      <c r="AD302" s="13" t="n"/>
      <c r="AE302" s="13" t="n"/>
      <c r="AF302" s="13" t="n"/>
      <c r="AG302" s="13" t="n"/>
      <c r="AH302" s="13" t="n"/>
      <c r="AI302" s="13" t="n"/>
    </row>
    <row r="303">
      <c r="A303" s="14" t="n">
        <v>202110</v>
      </c>
      <c r="B303" s="15">
        <f>LEFT(creditcard[[#This Row],[YYYYMM]],4)</f>
        <v/>
      </c>
      <c r="C303" s="15">
        <f>RIGHT(creditcard[[#This Row],[YYYYMM]],2)</f>
        <v/>
      </c>
      <c r="D303" s="15">
        <f>IF(RIGHT(creditcard[[#This Row],[YYYYMM]],2)="--","--","Q"&amp;ROUNDUP(VALUE(RIGHT(creditcard[[#This Row],[YYYYMM]],2))/3,0))</f>
        <v/>
      </c>
      <c r="E303" s="15" t="n">
        <v>5</v>
      </c>
      <c r="F303" s="155" t="inlineStr">
        <is>
          <t>台新</t>
        </is>
      </c>
      <c r="G303" s="156" t="inlineStr">
        <is>
          <t>05 台新</t>
        </is>
      </c>
      <c r="H303" s="157" t="n">
        <v>5991535</v>
      </c>
      <c r="I303" s="157" t="n">
        <v>4043440</v>
      </c>
      <c r="J303" s="157" t="n">
        <v>59288</v>
      </c>
      <c r="K303" s="157" t="n">
        <v>25409</v>
      </c>
      <c r="L303" s="157" t="n">
        <v>9997</v>
      </c>
      <c r="M303" s="16" t="n"/>
      <c r="N303" s="157" t="n">
        <v>28381</v>
      </c>
      <c r="O303" s="16" t="n"/>
      <c r="P303" s="16" t="n"/>
      <c r="Q303" s="17" t="n"/>
      <c r="R303" s="16" t="n"/>
      <c r="S303" s="16" t="n"/>
      <c r="T303" s="16" t="n"/>
      <c r="U303" s="16" t="n"/>
      <c r="V303" s="158" t="n"/>
      <c r="W303" s="16" t="n"/>
      <c r="X303" s="18" t="n"/>
      <c r="Y303" s="18" t="n"/>
      <c r="Z303" s="18" t="n"/>
      <c r="AA303" s="18" t="n"/>
      <c r="AB303" s="18" t="n"/>
      <c r="AC303" s="18" t="n"/>
      <c r="AD303" s="18" t="n"/>
      <c r="AE303" s="18" t="n"/>
      <c r="AF303" s="18" t="n"/>
      <c r="AG303" s="18" t="n"/>
      <c r="AH303" s="18" t="n"/>
      <c r="AI303" s="18" t="n"/>
    </row>
    <row r="304">
      <c r="A304" s="9" t="n">
        <v>202110</v>
      </c>
      <c r="B304" s="10">
        <f>LEFT(creditcard[[#This Row],[YYYYMM]],4)</f>
        <v/>
      </c>
      <c r="C304" s="10">
        <f>RIGHT(creditcard[[#This Row],[YYYYMM]],2)</f>
        <v/>
      </c>
      <c r="D304" s="10">
        <f>IF(RIGHT(creditcard[[#This Row],[YYYYMM]],2)="--","--","Q"&amp;ROUNDUP(VALUE(RIGHT(creditcard[[#This Row],[YYYYMM]],2))/3,0))</f>
        <v/>
      </c>
      <c r="E304" s="10" t="n">
        <v>6</v>
      </c>
      <c r="F304" s="151" t="inlineStr">
        <is>
          <t>星展</t>
        </is>
      </c>
      <c r="G304" s="152" t="inlineStr">
        <is>
          <t>06 星展</t>
        </is>
      </c>
      <c r="H304" s="153" t="n">
        <v>612949</v>
      </c>
      <c r="I304" s="153" t="n">
        <v>311872</v>
      </c>
      <c r="J304" s="153" t="n">
        <v>9576</v>
      </c>
      <c r="K304" s="153" t="n">
        <v>5280</v>
      </c>
      <c r="L304" s="153" t="n">
        <v>1300</v>
      </c>
      <c r="M304" s="11" t="n"/>
      <c r="N304" s="153" t="n">
        <v>2956</v>
      </c>
      <c r="O304" s="11" t="n"/>
      <c r="P304" s="11" t="n"/>
      <c r="Q304" s="12" t="n"/>
      <c r="R304" s="11" t="n"/>
      <c r="S304" s="11" t="n"/>
      <c r="T304" s="11" t="n"/>
      <c r="U304" s="11" t="n"/>
      <c r="V304" s="154" t="n"/>
      <c r="W304" s="11" t="n"/>
      <c r="X304" s="13" t="n"/>
      <c r="Y304" s="13" t="n"/>
      <c r="Z304" s="13" t="n"/>
      <c r="AA304" s="13" t="n"/>
      <c r="AB304" s="13" t="n"/>
      <c r="AC304" s="13" t="n"/>
      <c r="AD304" s="13" t="n"/>
      <c r="AE304" s="13" t="n"/>
      <c r="AF304" s="13" t="n"/>
      <c r="AG304" s="13" t="n"/>
      <c r="AH304" s="13" t="n"/>
      <c r="AI304" s="13" t="n"/>
    </row>
    <row r="305">
      <c r="A305" s="14" t="n">
        <v>202110</v>
      </c>
      <c r="B305" s="15">
        <f>LEFT(creditcard[[#This Row],[YYYYMM]],4)</f>
        <v/>
      </c>
      <c r="C305" s="15">
        <f>RIGHT(creditcard[[#This Row],[YYYYMM]],2)</f>
        <v/>
      </c>
      <c r="D305" s="15">
        <f>IF(RIGHT(creditcard[[#This Row],[YYYYMM]],2)="--","--","Q"&amp;ROUNDUP(VALUE(RIGHT(creditcard[[#This Row],[YYYYMM]],2))/3,0))</f>
        <v/>
      </c>
      <c r="E305" s="15" t="n">
        <v>7</v>
      </c>
      <c r="F305" s="155" t="inlineStr">
        <is>
          <t>聯邦</t>
        </is>
      </c>
      <c r="G305" s="156" t="inlineStr">
        <is>
          <t>07 聯邦</t>
        </is>
      </c>
      <c r="H305" s="157" t="n">
        <v>2217729</v>
      </c>
      <c r="I305" s="157" t="n">
        <v>1285380</v>
      </c>
      <c r="J305" s="157" t="n">
        <v>20891</v>
      </c>
      <c r="K305" s="157" t="n">
        <v>10559</v>
      </c>
      <c r="L305" s="157" t="n">
        <v>5186</v>
      </c>
      <c r="M305" s="16" t="n"/>
      <c r="N305" s="157" t="n">
        <v>8631</v>
      </c>
      <c r="O305" s="16" t="n"/>
      <c r="P305" s="16" t="n"/>
      <c r="Q305" s="17" t="n"/>
      <c r="R305" s="16" t="n"/>
      <c r="S305" s="16" t="n"/>
      <c r="T305" s="16" t="n"/>
      <c r="U305" s="16" t="n"/>
      <c r="V305" s="158" t="n"/>
      <c r="W305" s="16" t="n"/>
      <c r="X305" s="18" t="n"/>
      <c r="Y305" s="18" t="n"/>
      <c r="Z305" s="18" t="n"/>
      <c r="AA305" s="18" t="n"/>
      <c r="AB305" s="18" t="n"/>
      <c r="AC305" s="18" t="n"/>
      <c r="AD305" s="18" t="n"/>
      <c r="AE305" s="18" t="n"/>
      <c r="AF305" s="18" t="n"/>
      <c r="AG305" s="18" t="n"/>
      <c r="AH305" s="18" t="n"/>
      <c r="AI305" s="18" t="n"/>
    </row>
    <row r="306">
      <c r="A306" s="9" t="n">
        <v>202110</v>
      </c>
      <c r="B306" s="10">
        <f>LEFT(creditcard[[#This Row],[YYYYMM]],4)</f>
        <v/>
      </c>
      <c r="C306" s="10">
        <f>RIGHT(creditcard[[#This Row],[YYYYMM]],2)</f>
        <v/>
      </c>
      <c r="D306" s="10">
        <f>IF(RIGHT(creditcard[[#This Row],[YYYYMM]],2)="--","--","Q"&amp;ROUNDUP(VALUE(RIGHT(creditcard[[#This Row],[YYYYMM]],2))/3,0))</f>
        <v/>
      </c>
      <c r="E306" s="10" t="n">
        <v>8</v>
      </c>
      <c r="F306" s="151" t="inlineStr">
        <is>
          <t>永豐</t>
        </is>
      </c>
      <c r="G306" s="152" t="inlineStr">
        <is>
          <t>08 永豐</t>
        </is>
      </c>
      <c r="H306" s="153" t="n">
        <v>2153038</v>
      </c>
      <c r="I306" s="153" t="n">
        <v>1148623</v>
      </c>
      <c r="J306" s="153" t="n">
        <v>11813</v>
      </c>
      <c r="K306" s="153" t="n">
        <v>6626</v>
      </c>
      <c r="L306" s="153" t="n">
        <v>4001</v>
      </c>
      <c r="M306" s="11" t="n"/>
      <c r="N306" s="153" t="n">
        <v>9244</v>
      </c>
      <c r="O306" s="11" t="n"/>
      <c r="P306" s="11" t="n"/>
      <c r="Q306" s="12" t="n"/>
      <c r="R306" s="11" t="n"/>
      <c r="S306" s="11" t="n"/>
      <c r="T306" s="11" t="n"/>
      <c r="U306" s="11" t="n"/>
      <c r="V306" s="154" t="n"/>
      <c r="W306" s="11" t="n"/>
      <c r="X306" s="13" t="n"/>
      <c r="Y306" s="13" t="n"/>
      <c r="Z306" s="13" t="n"/>
      <c r="AA306" s="13" t="n"/>
      <c r="AB306" s="13" t="n"/>
      <c r="AC306" s="13" t="n"/>
      <c r="AD306" s="13" t="n"/>
      <c r="AE306" s="13" t="n"/>
      <c r="AF306" s="13" t="n"/>
      <c r="AG306" s="13" t="n"/>
      <c r="AH306" s="13" t="n"/>
      <c r="AI306" s="13" t="n"/>
    </row>
    <row r="307">
      <c r="A307" s="14" t="n">
        <v>202110</v>
      </c>
      <c r="B307" s="15">
        <f>LEFT(creditcard[[#This Row],[YYYYMM]],4)</f>
        <v/>
      </c>
      <c r="C307" s="15">
        <f>RIGHT(creditcard[[#This Row],[YYYYMM]],2)</f>
        <v/>
      </c>
      <c r="D307" s="15">
        <f>IF(RIGHT(creditcard[[#This Row],[YYYYMM]],2)="--","--","Q"&amp;ROUNDUP(VALUE(RIGHT(creditcard[[#This Row],[YYYYMM]],2))/3,0))</f>
        <v/>
      </c>
      <c r="E307" s="15" t="n">
        <v>9</v>
      </c>
      <c r="F307" s="155" t="inlineStr">
        <is>
          <t>第一</t>
        </is>
      </c>
      <c r="G307" s="156" t="inlineStr">
        <is>
          <t>09 第一</t>
        </is>
      </c>
      <c r="H307" s="157" t="n">
        <v>1400364</v>
      </c>
      <c r="I307" s="157" t="n">
        <v>834784</v>
      </c>
      <c r="J307" s="157" t="n">
        <v>16383</v>
      </c>
      <c r="K307" s="157" t="n">
        <v>10584</v>
      </c>
      <c r="L307" s="157" t="n">
        <v>1453</v>
      </c>
      <c r="M307" s="16" t="n"/>
      <c r="N307" s="157" t="n">
        <v>4822</v>
      </c>
      <c r="O307" s="16" t="n"/>
      <c r="P307" s="16" t="n"/>
      <c r="Q307" s="17" t="n"/>
      <c r="R307" s="16" t="n"/>
      <c r="S307" s="16" t="n"/>
      <c r="T307" s="16" t="n"/>
      <c r="U307" s="16" t="n"/>
      <c r="V307" s="158" t="n"/>
      <c r="W307" s="16" t="n"/>
      <c r="X307" s="18" t="n"/>
      <c r="Y307" s="18" t="n"/>
      <c r="Z307" s="18" t="n"/>
      <c r="AA307" s="18" t="n"/>
      <c r="AB307" s="18" t="n"/>
      <c r="AC307" s="18" t="n"/>
      <c r="AD307" s="18" t="n"/>
      <c r="AE307" s="18" t="n"/>
      <c r="AF307" s="18" t="n"/>
      <c r="AG307" s="18" t="n"/>
      <c r="AH307" s="18" t="n"/>
      <c r="AI307" s="18" t="n"/>
    </row>
    <row r="308">
      <c r="A308" s="9" t="n">
        <v>202110</v>
      </c>
      <c r="B308" s="10">
        <f>LEFT(creditcard[[#This Row],[YYYYMM]],4)</f>
        <v/>
      </c>
      <c r="C308" s="10">
        <f>RIGHT(creditcard[[#This Row],[YYYYMM]],2)</f>
        <v/>
      </c>
      <c r="D308" s="10">
        <f>IF(RIGHT(creditcard[[#This Row],[YYYYMM]],2)="--","--","Q"&amp;ROUNDUP(VALUE(RIGHT(creditcard[[#This Row],[YYYYMM]],2))/3,0))</f>
        <v/>
      </c>
      <c r="E308" s="10" t="n">
        <v>10</v>
      </c>
      <c r="F308" s="151" t="inlineStr">
        <is>
          <t>遠東</t>
        </is>
      </c>
      <c r="G308" s="152" t="inlineStr">
        <is>
          <t>10 遠東</t>
        </is>
      </c>
      <c r="H308" s="153" t="n">
        <v>1575535</v>
      </c>
      <c r="I308" s="153" t="n">
        <v>963536</v>
      </c>
      <c r="J308" s="153" t="n">
        <v>11234</v>
      </c>
      <c r="K308" s="153" t="n">
        <v>7265</v>
      </c>
      <c r="L308" s="153" t="n">
        <v>3806</v>
      </c>
      <c r="M308" s="11" t="n"/>
      <c r="N308" s="153" t="n">
        <v>4063</v>
      </c>
      <c r="O308" s="11" t="n"/>
      <c r="P308" s="11" t="n"/>
      <c r="Q308" s="12" t="n"/>
      <c r="R308" s="11" t="n"/>
      <c r="S308" s="11" t="n"/>
      <c r="T308" s="11" t="n"/>
      <c r="U308" s="11" t="n"/>
      <c r="V308" s="154" t="n"/>
      <c r="W308" s="11" t="n"/>
      <c r="X308" s="13" t="n"/>
      <c r="Y308" s="13" t="n"/>
      <c r="Z308" s="13" t="n"/>
      <c r="AA308" s="13" t="n"/>
      <c r="AB308" s="13" t="n"/>
      <c r="AC308" s="13" t="n"/>
      <c r="AD308" s="13" t="n"/>
      <c r="AE308" s="13" t="n"/>
      <c r="AF308" s="13" t="n"/>
      <c r="AG308" s="13" t="n"/>
      <c r="AH308" s="13" t="n"/>
      <c r="AI308" s="13" t="n"/>
    </row>
    <row r="309">
      <c r="A309" s="14" t="n">
        <v>202110</v>
      </c>
      <c r="B309" s="15">
        <f>LEFT(creditcard[[#This Row],[YYYYMM]],4)</f>
        <v/>
      </c>
      <c r="C309" s="15">
        <f>RIGHT(creditcard[[#This Row],[YYYYMM]],2)</f>
        <v/>
      </c>
      <c r="D309" s="15">
        <f>IF(RIGHT(creditcard[[#This Row],[YYYYMM]],2)="--","--","Q"&amp;ROUNDUP(VALUE(RIGHT(creditcard[[#This Row],[YYYYMM]],2))/3,0))</f>
        <v/>
      </c>
      <c r="E309" s="15" t="n">
        <v>11</v>
      </c>
      <c r="F309" s="155" t="inlineStr">
        <is>
          <t>市場總計</t>
        </is>
      </c>
      <c r="G309" s="156" t="inlineStr">
        <is>
          <t>11 市場總計</t>
        </is>
      </c>
      <c r="H309" s="157" t="n">
        <v>52136111</v>
      </c>
      <c r="I309" s="157" t="n">
        <v>33235939</v>
      </c>
      <c r="J309" s="157" t="n">
        <v>526310</v>
      </c>
      <c r="K309" s="157" t="n">
        <v>270038</v>
      </c>
      <c r="L309" s="157" t="n">
        <v>100199</v>
      </c>
      <c r="M309" s="16" t="n"/>
      <c r="N309" s="157" t="n">
        <v>247247</v>
      </c>
      <c r="O309" s="16" t="n"/>
      <c r="P309" s="16" t="n"/>
      <c r="Q309" s="17" t="n"/>
      <c r="R309" s="16" t="n"/>
      <c r="S309" s="16" t="n"/>
      <c r="T309" s="16" t="n"/>
      <c r="U309" s="16" t="n"/>
      <c r="V309" s="158" t="n">
        <v>4.37</v>
      </c>
      <c r="W309" s="16">
        <f>SUMIFS(H:H,A:A,creditcard[[#This Row],[YYYYMM]],G:G,creditcard[[#This Row],[Item]])</f>
        <v/>
      </c>
      <c r="X309" s="4">
        <f>IFERROR(SUMIFS(H:H,A:A,creditcard[[#This Row],[YYYYMM]],E:E,"&lt;=5")/creditcard[[#This Row],[市場總計]],"")</f>
        <v/>
      </c>
      <c r="Y309" s="4">
        <f>IFERROR(SUMIFS(H:H,A:A,creditcard[[#This Row],[YYYYMM]],E:E,"&lt;=10")/creditcard[[#This Row],[市場總計]],"")</f>
        <v/>
      </c>
      <c r="Z309" s="4">
        <f>IFERROR(SUMIFS(I:I,A:A,creditcard[[#This Row],[YYYYMM]],E:E,"&lt;=5")/creditcard[[#This Row],[有效卡數]],"")</f>
        <v/>
      </c>
      <c r="AA309" s="4">
        <f>IFERROR(SUMIFS(I:I,A:A,creditcard[[#This Row],[YYYYMM]],E:E,"&lt;=10")/creditcard[[#This Row],[有效卡數]],"")</f>
        <v/>
      </c>
      <c r="AB309" s="4">
        <f>IFERROR(SUMIFS(J:J,A:A,creditcard[[#This Row],[YYYYMM]],E:E,"&lt;=5")/creditcard[[#This Row],[當月發卡數]],"")</f>
        <v/>
      </c>
      <c r="AC309" s="4">
        <f>IFERROR(SUMIFS(J:J,A:A,creditcard[[#This Row],[YYYYMM]],E:E,"&lt;=10")/creditcard[[#This Row],[當月發卡數]],"")</f>
        <v/>
      </c>
      <c r="AD309" s="4">
        <f>IFERROR(SUMIFS(K:K,A:A,creditcard[[#This Row],[YYYYMM]],E:E,"&lt;=5")/creditcard[[#This Row],[當月停卡數]],"")</f>
        <v/>
      </c>
      <c r="AE309" s="4">
        <f>IFERROR(SUMIFS(K:K,A:A,creditcard[[#This Row],[YYYYMM]],E:E,"&lt;=10")/creditcard[[#This Row],[當月停卡數]],"")</f>
        <v/>
      </c>
      <c r="AF309" s="4">
        <f>IFERROR(SUMIFS(L:L,A:A,creditcard[[#This Row],[YYYYMM]],E:E,"&lt;=5")/creditcard[[#This Row],[循環信用餘額]],"")</f>
        <v/>
      </c>
      <c r="AG309" s="4">
        <f>IFERROR(SUMIFS(L:L,A:A,creditcard[[#This Row],[YYYYMM]],E:E,"&lt;=10")/creditcard[[#This Row],[循環信用餘額]],"")</f>
        <v/>
      </c>
      <c r="AH309" s="4">
        <f>IFERROR(SUMIFS(N:N,A:A,creditcard[[#This Row],[YYYYMM]],E:E,"&lt;=5")/creditcard[[#This Row],[當月簽帳金額]],"")</f>
        <v/>
      </c>
      <c r="AI309" s="4">
        <f>IFERROR(SUMIFS(N:N,A:A,creditcard[[#This Row],[YYYYMM]],E:E,"&lt;=10")/creditcard[[#This Row],[當月簽帳金額]],"")</f>
        <v/>
      </c>
    </row>
    <row r="310">
      <c r="A310" s="9" t="n">
        <v>202111</v>
      </c>
      <c r="B310" s="10">
        <f>LEFT(creditcard[[#This Row],[YYYYMM]],4)</f>
        <v/>
      </c>
      <c r="C310" s="10">
        <f>RIGHT(creditcard[[#This Row],[YYYYMM]],2)</f>
        <v/>
      </c>
      <c r="D310" s="10">
        <f>IF(RIGHT(creditcard[[#This Row],[YYYYMM]],2)="--","--","Q"&amp;ROUNDUP(VALUE(RIGHT(creditcard[[#This Row],[YYYYMM]],2))/3,0))</f>
        <v/>
      </c>
      <c r="E310" s="10" t="n">
        <v>1</v>
      </c>
      <c r="F310" s="151" t="inlineStr">
        <is>
          <t>中信</t>
        </is>
      </c>
      <c r="G310" s="152" t="inlineStr">
        <is>
          <t>01 中信</t>
        </is>
      </c>
      <c r="H310" s="153" t="n">
        <v>7775188</v>
      </c>
      <c r="I310" s="153" t="n">
        <v>4870287</v>
      </c>
      <c r="J310" s="153" t="n">
        <v>90194</v>
      </c>
      <c r="K310" s="153" t="n">
        <v>42511</v>
      </c>
      <c r="L310" s="153" t="n">
        <v>15017</v>
      </c>
      <c r="M310" s="11" t="n"/>
      <c r="N310" s="153" t="n">
        <v>44668</v>
      </c>
      <c r="O310" s="11" t="n"/>
      <c r="P310" s="11" t="n"/>
      <c r="Q310" s="12" t="n"/>
      <c r="R310" s="11" t="n"/>
      <c r="S310" s="11" t="n"/>
      <c r="T310" s="11" t="n"/>
      <c r="U310" s="11" t="n"/>
      <c r="V310" s="154" t="n"/>
      <c r="W310" s="11" t="n"/>
      <c r="X310" s="13" t="n"/>
      <c r="Y310" s="13" t="n"/>
      <c r="Z310" s="13" t="n"/>
      <c r="AA310" s="13" t="n"/>
      <c r="AB310" s="13" t="n"/>
      <c r="AC310" s="13" t="n"/>
      <c r="AD310" s="13" t="n"/>
      <c r="AE310" s="13" t="n"/>
      <c r="AF310" s="13" t="n"/>
      <c r="AG310" s="13" t="n"/>
      <c r="AH310" s="13" t="n"/>
      <c r="AI310" s="13" t="n"/>
    </row>
    <row r="311">
      <c r="A311" s="14" t="n">
        <v>202111</v>
      </c>
      <c r="B311" s="15">
        <f>LEFT(creditcard[[#This Row],[YYYYMM]],4)</f>
        <v/>
      </c>
      <c r="C311" s="15">
        <f>RIGHT(creditcard[[#This Row],[YYYYMM]],2)</f>
        <v/>
      </c>
      <c r="D311" s="15">
        <f>IF(RIGHT(creditcard[[#This Row],[YYYYMM]],2)="--","--","Q"&amp;ROUNDUP(VALUE(RIGHT(creditcard[[#This Row],[YYYYMM]],2))/3,0))</f>
        <v/>
      </c>
      <c r="E311" s="15" t="n">
        <v>2</v>
      </c>
      <c r="F311" s="155" t="inlineStr">
        <is>
          <t>富邦</t>
        </is>
      </c>
      <c r="G311" s="156" t="inlineStr">
        <is>
          <t>02 富邦</t>
        </is>
      </c>
      <c r="H311" s="157" t="n">
        <v>4169566</v>
      </c>
      <c r="I311" s="157" t="n">
        <v>2797359</v>
      </c>
      <c r="J311" s="157" t="n">
        <v>63999</v>
      </c>
      <c r="K311" s="157" t="n">
        <v>16823</v>
      </c>
      <c r="L311" s="157" t="n">
        <v>5745</v>
      </c>
      <c r="M311" s="16" t="n"/>
      <c r="N311" s="157" t="n">
        <v>28910</v>
      </c>
      <c r="O311" s="16" t="n"/>
      <c r="P311" s="16" t="n"/>
      <c r="Q311" s="17" t="n"/>
      <c r="R311" s="16" t="n"/>
      <c r="S311" s="16" t="n"/>
      <c r="T311" s="16" t="n"/>
      <c r="U311" s="16" t="n"/>
      <c r="V311" s="158" t="n"/>
      <c r="W311" s="16" t="n"/>
      <c r="X311" s="18" t="n"/>
      <c r="Y311" s="18" t="n"/>
      <c r="Z311" s="18" t="n"/>
      <c r="AA311" s="18" t="n"/>
      <c r="AB311" s="18" t="n"/>
      <c r="AC311" s="18" t="n"/>
      <c r="AD311" s="18" t="n"/>
      <c r="AE311" s="18" t="n"/>
      <c r="AF311" s="18" t="n"/>
      <c r="AG311" s="18" t="n"/>
      <c r="AH311" s="18" t="n"/>
      <c r="AI311" s="18" t="n"/>
    </row>
    <row r="312">
      <c r="A312" s="9" t="n">
        <v>202111</v>
      </c>
      <c r="B312" s="10">
        <f>LEFT(creditcard[[#This Row],[YYYYMM]],4)</f>
        <v/>
      </c>
      <c r="C312" s="10">
        <f>RIGHT(creditcard[[#This Row],[YYYYMM]],2)</f>
        <v/>
      </c>
      <c r="D312" s="10">
        <f>IF(RIGHT(creditcard[[#This Row],[YYYYMM]],2)="--","--","Q"&amp;ROUNDUP(VALUE(RIGHT(creditcard[[#This Row],[YYYYMM]],2))/3,0))</f>
        <v/>
      </c>
      <c r="E312" s="10" t="n">
        <v>3</v>
      </c>
      <c r="F312" s="151" t="inlineStr">
        <is>
          <t>國泰</t>
        </is>
      </c>
      <c r="G312" s="152" t="inlineStr">
        <is>
          <t>03 國泰</t>
        </is>
      </c>
      <c r="H312" s="153" t="n">
        <v>7572016</v>
      </c>
      <c r="I312" s="153" t="n">
        <v>5373796</v>
      </c>
      <c r="J312" s="153" t="n">
        <v>75855</v>
      </c>
      <c r="K312" s="153" t="n">
        <v>41311</v>
      </c>
      <c r="L312" s="153" t="n">
        <v>17784</v>
      </c>
      <c r="M312" s="11" t="n"/>
      <c r="N312" s="153" t="n">
        <v>50391</v>
      </c>
      <c r="O312" s="11" t="n"/>
      <c r="P312" s="11" t="n"/>
      <c r="Q312" s="12" t="n"/>
      <c r="R312" s="11" t="n"/>
      <c r="S312" s="11" t="n"/>
      <c r="T312" s="11" t="n"/>
      <c r="U312" s="11" t="n"/>
      <c r="V312" s="154" t="n"/>
      <c r="W312" s="11" t="n"/>
      <c r="X312" s="13" t="n"/>
      <c r="Y312" s="13" t="n"/>
      <c r="Z312" s="13" t="n"/>
      <c r="AA312" s="13" t="n"/>
      <c r="AB312" s="13" t="n"/>
      <c r="AC312" s="13" t="n"/>
      <c r="AD312" s="13" t="n"/>
      <c r="AE312" s="13" t="n"/>
      <c r="AF312" s="13" t="n"/>
      <c r="AG312" s="13" t="n"/>
      <c r="AH312" s="13" t="n"/>
      <c r="AI312" s="13" t="n"/>
    </row>
    <row r="313">
      <c r="A313" s="14" t="n">
        <v>202111</v>
      </c>
      <c r="B313" s="15">
        <f>LEFT(creditcard[[#This Row],[YYYYMM]],4)</f>
        <v/>
      </c>
      <c r="C313" s="15">
        <f>RIGHT(creditcard[[#This Row],[YYYYMM]],2)</f>
        <v/>
      </c>
      <c r="D313" s="15">
        <f>IF(RIGHT(creditcard[[#This Row],[YYYYMM]],2)="--","--","Q"&amp;ROUNDUP(VALUE(RIGHT(creditcard[[#This Row],[YYYYMM]],2))/3,0))</f>
        <v/>
      </c>
      <c r="E313" s="15" t="n">
        <v>4</v>
      </c>
      <c r="F313" s="155" t="inlineStr">
        <is>
          <t>玉山</t>
        </is>
      </c>
      <c r="G313" s="156" t="inlineStr">
        <is>
          <t>04 玉山</t>
        </is>
      </c>
      <c r="H313" s="157" t="n">
        <v>6608027</v>
      </c>
      <c r="I313" s="157" t="n">
        <v>4495978</v>
      </c>
      <c r="J313" s="157" t="n">
        <v>40300</v>
      </c>
      <c r="K313" s="157" t="n">
        <v>19157</v>
      </c>
      <c r="L313" s="157" t="n">
        <v>12290</v>
      </c>
      <c r="M313" s="16" t="n"/>
      <c r="N313" s="157" t="n">
        <v>40710</v>
      </c>
      <c r="O313" s="16" t="n"/>
      <c r="P313" s="16" t="n"/>
      <c r="Q313" s="17" t="n"/>
      <c r="R313" s="16" t="n"/>
      <c r="S313" s="16" t="n"/>
      <c r="T313" s="16" t="n"/>
      <c r="U313" s="16" t="n"/>
      <c r="V313" s="158" t="n"/>
      <c r="W313" s="16" t="n"/>
      <c r="X313" s="18" t="n"/>
      <c r="Y313" s="18" t="n"/>
      <c r="Z313" s="18" t="n"/>
      <c r="AA313" s="18" t="n"/>
      <c r="AB313" s="18" t="n"/>
      <c r="AC313" s="18" t="n"/>
      <c r="AD313" s="18" t="n"/>
      <c r="AE313" s="18" t="n"/>
      <c r="AF313" s="18" t="n"/>
      <c r="AG313" s="18" t="n"/>
      <c r="AH313" s="18" t="n"/>
      <c r="AI313" s="18" t="n"/>
    </row>
    <row r="314">
      <c r="A314" s="9" t="n">
        <v>202111</v>
      </c>
      <c r="B314" s="10">
        <f>LEFT(creditcard[[#This Row],[YYYYMM]],4)</f>
        <v/>
      </c>
      <c r="C314" s="10">
        <f>RIGHT(creditcard[[#This Row],[YYYYMM]],2)</f>
        <v/>
      </c>
      <c r="D314" s="10">
        <f>IF(RIGHT(creditcard[[#This Row],[YYYYMM]],2)="--","--","Q"&amp;ROUNDUP(VALUE(RIGHT(creditcard[[#This Row],[YYYYMM]],2))/3,0))</f>
        <v/>
      </c>
      <c r="E314" s="10" t="n">
        <v>5</v>
      </c>
      <c r="F314" s="151" t="inlineStr">
        <is>
          <t>台新</t>
        </is>
      </c>
      <c r="G314" s="152" t="inlineStr">
        <is>
          <t>05 台新</t>
        </is>
      </c>
      <c r="H314" s="153" t="n">
        <v>6034814</v>
      </c>
      <c r="I314" s="153" t="n">
        <v>4067702</v>
      </c>
      <c r="J314" s="153" t="n">
        <v>68599</v>
      </c>
      <c r="K314" s="153" t="n">
        <v>25320</v>
      </c>
      <c r="L314" s="153" t="n">
        <v>9945</v>
      </c>
      <c r="M314" s="11" t="n"/>
      <c r="N314" s="153" t="n">
        <v>32744</v>
      </c>
      <c r="O314" s="11" t="n"/>
      <c r="P314" s="11" t="n"/>
      <c r="Q314" s="12" t="n"/>
      <c r="R314" s="11" t="n"/>
      <c r="S314" s="11" t="n"/>
      <c r="T314" s="11" t="n"/>
      <c r="U314" s="11" t="n"/>
      <c r="V314" s="154" t="n"/>
      <c r="W314" s="11" t="n"/>
      <c r="X314" s="13" t="n"/>
      <c r="Y314" s="13" t="n"/>
      <c r="Z314" s="13" t="n"/>
      <c r="AA314" s="13" t="n"/>
      <c r="AB314" s="13" t="n"/>
      <c r="AC314" s="13" t="n"/>
      <c r="AD314" s="13" t="n"/>
      <c r="AE314" s="13" t="n"/>
      <c r="AF314" s="13" t="n"/>
      <c r="AG314" s="13" t="n"/>
      <c r="AH314" s="13" t="n"/>
      <c r="AI314" s="13" t="n"/>
    </row>
    <row r="315">
      <c r="A315" s="14" t="n">
        <v>202111</v>
      </c>
      <c r="B315" s="15">
        <f>LEFT(creditcard[[#This Row],[YYYYMM]],4)</f>
        <v/>
      </c>
      <c r="C315" s="15">
        <f>RIGHT(creditcard[[#This Row],[YYYYMM]],2)</f>
        <v/>
      </c>
      <c r="D315" s="15">
        <f>IF(RIGHT(creditcard[[#This Row],[YYYYMM]],2)="--","--","Q"&amp;ROUNDUP(VALUE(RIGHT(creditcard[[#This Row],[YYYYMM]],2))/3,0))</f>
        <v/>
      </c>
      <c r="E315" s="15" t="n">
        <v>6</v>
      </c>
      <c r="F315" s="155" t="inlineStr">
        <is>
          <t>星展</t>
        </is>
      </c>
      <c r="G315" s="156" t="inlineStr">
        <is>
          <t>06 星展</t>
        </is>
      </c>
      <c r="H315" s="157" t="n">
        <v>620072</v>
      </c>
      <c r="I315" s="157" t="n">
        <v>317527</v>
      </c>
      <c r="J315" s="157" t="n">
        <v>4936</v>
      </c>
      <c r="K315" s="157" t="n">
        <v>4613</v>
      </c>
      <c r="L315" s="157" t="n">
        <v>1285</v>
      </c>
      <c r="M315" s="16" t="n"/>
      <c r="N315" s="157" t="n">
        <v>3445</v>
      </c>
      <c r="O315" s="16" t="n"/>
      <c r="P315" s="16" t="n"/>
      <c r="Q315" s="17" t="n"/>
      <c r="R315" s="16" t="n"/>
      <c r="S315" s="16" t="n"/>
      <c r="T315" s="16" t="n"/>
      <c r="U315" s="16" t="n"/>
      <c r="V315" s="158" t="n"/>
      <c r="W315" s="16" t="n"/>
      <c r="X315" s="18" t="n"/>
      <c r="Y315" s="18" t="n"/>
      <c r="Z315" s="18" t="n"/>
      <c r="AA315" s="18" t="n"/>
      <c r="AB315" s="18" t="n"/>
      <c r="AC315" s="18" t="n"/>
      <c r="AD315" s="18" t="n"/>
      <c r="AE315" s="18" t="n"/>
      <c r="AF315" s="18" t="n"/>
      <c r="AG315" s="18" t="n"/>
      <c r="AH315" s="18" t="n"/>
      <c r="AI315" s="18" t="n"/>
    </row>
    <row r="316">
      <c r="A316" s="9" t="n">
        <v>202111</v>
      </c>
      <c r="B316" s="10">
        <f>LEFT(creditcard[[#This Row],[YYYYMM]],4)</f>
        <v/>
      </c>
      <c r="C316" s="10">
        <f>RIGHT(creditcard[[#This Row],[YYYYMM]],2)</f>
        <v/>
      </c>
      <c r="D316" s="10">
        <f>IF(RIGHT(creditcard[[#This Row],[YYYYMM]],2)="--","--","Q"&amp;ROUNDUP(VALUE(RIGHT(creditcard[[#This Row],[YYYYMM]],2))/3,0))</f>
        <v/>
      </c>
      <c r="E316" s="10" t="n">
        <v>7</v>
      </c>
      <c r="F316" s="151" t="inlineStr">
        <is>
          <t>聯邦</t>
        </is>
      </c>
      <c r="G316" s="152" t="inlineStr">
        <is>
          <t>07 聯邦</t>
        </is>
      </c>
      <c r="H316" s="153" t="n">
        <v>2238082</v>
      </c>
      <c r="I316" s="153" t="n">
        <v>1285011</v>
      </c>
      <c r="J316" s="153" t="n">
        <v>30439</v>
      </c>
      <c r="K316" s="153" t="n">
        <v>10086</v>
      </c>
      <c r="L316" s="153" t="n">
        <v>5258</v>
      </c>
      <c r="M316" s="11" t="n"/>
      <c r="N316" s="153" t="n">
        <v>9306</v>
      </c>
      <c r="O316" s="11" t="n"/>
      <c r="P316" s="11" t="n"/>
      <c r="Q316" s="12" t="n"/>
      <c r="R316" s="11" t="n"/>
      <c r="S316" s="11" t="n"/>
      <c r="T316" s="11" t="n"/>
      <c r="U316" s="11" t="n"/>
      <c r="V316" s="154" t="n"/>
      <c r="W316" s="11" t="n"/>
      <c r="X316" s="13" t="n"/>
      <c r="Y316" s="13" t="n"/>
      <c r="Z316" s="13" t="n"/>
      <c r="AA316" s="13" t="n"/>
      <c r="AB316" s="13" t="n"/>
      <c r="AC316" s="13" t="n"/>
      <c r="AD316" s="13" t="n"/>
      <c r="AE316" s="13" t="n"/>
      <c r="AF316" s="13" t="n"/>
      <c r="AG316" s="13" t="n"/>
      <c r="AH316" s="13" t="n"/>
      <c r="AI316" s="13" t="n"/>
    </row>
    <row r="317">
      <c r="A317" s="14" t="n">
        <v>202111</v>
      </c>
      <c r="B317" s="15">
        <f>LEFT(creditcard[[#This Row],[YYYYMM]],4)</f>
        <v/>
      </c>
      <c r="C317" s="15">
        <f>RIGHT(creditcard[[#This Row],[YYYYMM]],2)</f>
        <v/>
      </c>
      <c r="D317" s="15">
        <f>IF(RIGHT(creditcard[[#This Row],[YYYYMM]],2)="--","--","Q"&amp;ROUNDUP(VALUE(RIGHT(creditcard[[#This Row],[YYYYMM]],2))/3,0))</f>
        <v/>
      </c>
      <c r="E317" s="15" t="n">
        <v>8</v>
      </c>
      <c r="F317" s="155" t="inlineStr">
        <is>
          <t>永豐</t>
        </is>
      </c>
      <c r="G317" s="156" t="inlineStr">
        <is>
          <t>08 永豐</t>
        </is>
      </c>
      <c r="H317" s="157" t="n">
        <v>2162649</v>
      </c>
      <c r="I317" s="157" t="n">
        <v>1155943</v>
      </c>
      <c r="J317" s="157" t="n">
        <v>15518</v>
      </c>
      <c r="K317" s="157" t="n">
        <v>6296</v>
      </c>
      <c r="L317" s="157" t="n">
        <v>3994</v>
      </c>
      <c r="M317" s="16" t="n"/>
      <c r="N317" s="157" t="n">
        <v>10913</v>
      </c>
      <c r="O317" s="16" t="n"/>
      <c r="P317" s="16" t="n"/>
      <c r="Q317" s="17" t="n"/>
      <c r="R317" s="16" t="n"/>
      <c r="S317" s="16" t="n"/>
      <c r="T317" s="16" t="n"/>
      <c r="U317" s="16" t="n"/>
      <c r="V317" s="158" t="n"/>
      <c r="W317" s="16" t="n"/>
      <c r="X317" s="18" t="n"/>
      <c r="Y317" s="18" t="n"/>
      <c r="Z317" s="18" t="n"/>
      <c r="AA317" s="18" t="n"/>
      <c r="AB317" s="18" t="n"/>
      <c r="AC317" s="18" t="n"/>
      <c r="AD317" s="18" t="n"/>
      <c r="AE317" s="18" t="n"/>
      <c r="AF317" s="18" t="n"/>
      <c r="AG317" s="18" t="n"/>
      <c r="AH317" s="18" t="n"/>
      <c r="AI317" s="18" t="n"/>
    </row>
    <row r="318">
      <c r="A318" s="9" t="n">
        <v>202111</v>
      </c>
      <c r="B318" s="10">
        <f>LEFT(creditcard[[#This Row],[YYYYMM]],4)</f>
        <v/>
      </c>
      <c r="C318" s="10">
        <f>RIGHT(creditcard[[#This Row],[YYYYMM]],2)</f>
        <v/>
      </c>
      <c r="D318" s="10">
        <f>IF(RIGHT(creditcard[[#This Row],[YYYYMM]],2)="--","--","Q"&amp;ROUNDUP(VALUE(RIGHT(creditcard[[#This Row],[YYYYMM]],2))/3,0))</f>
        <v/>
      </c>
      <c r="E318" s="10" t="n">
        <v>9</v>
      </c>
      <c r="F318" s="151" t="inlineStr">
        <is>
          <t>第一</t>
        </is>
      </c>
      <c r="G318" s="152" t="inlineStr">
        <is>
          <t>09 第一</t>
        </is>
      </c>
      <c r="H318" s="153" t="n">
        <v>1413009</v>
      </c>
      <c r="I318" s="153" t="n">
        <v>838798</v>
      </c>
      <c r="J318" s="153" t="n">
        <v>19843</v>
      </c>
      <c r="K318" s="153" t="n">
        <v>10706</v>
      </c>
      <c r="L318" s="153" t="n">
        <v>1474</v>
      </c>
      <c r="M318" s="11" t="n"/>
      <c r="N318" s="153" t="n">
        <v>5512</v>
      </c>
      <c r="O318" s="11" t="n"/>
      <c r="P318" s="11" t="n"/>
      <c r="Q318" s="12" t="n"/>
      <c r="R318" s="11" t="n"/>
      <c r="S318" s="11" t="n"/>
      <c r="T318" s="11" t="n"/>
      <c r="U318" s="11" t="n"/>
      <c r="V318" s="154" t="n"/>
      <c r="W318" s="11" t="n"/>
      <c r="X318" s="13" t="n"/>
      <c r="Y318" s="13" t="n"/>
      <c r="Z318" s="13" t="n"/>
      <c r="AA318" s="13" t="n"/>
      <c r="AB318" s="13" t="n"/>
      <c r="AC318" s="13" t="n"/>
      <c r="AD318" s="13" t="n"/>
      <c r="AE318" s="13" t="n"/>
      <c r="AF318" s="13" t="n"/>
      <c r="AG318" s="13" t="n"/>
      <c r="AH318" s="13" t="n"/>
      <c r="AI318" s="13" t="n"/>
    </row>
    <row r="319">
      <c r="A319" s="14" t="n">
        <v>202111</v>
      </c>
      <c r="B319" s="15">
        <f>LEFT(creditcard[[#This Row],[YYYYMM]],4)</f>
        <v/>
      </c>
      <c r="C319" s="15">
        <f>RIGHT(creditcard[[#This Row],[YYYYMM]],2)</f>
        <v/>
      </c>
      <c r="D319" s="15">
        <f>IF(RIGHT(creditcard[[#This Row],[YYYYMM]],2)="--","--","Q"&amp;ROUNDUP(VALUE(RIGHT(creditcard[[#This Row],[YYYYMM]],2))/3,0))</f>
        <v/>
      </c>
      <c r="E319" s="15" t="n">
        <v>10</v>
      </c>
      <c r="F319" s="155" t="inlineStr">
        <is>
          <t>遠東</t>
        </is>
      </c>
      <c r="G319" s="156" t="inlineStr">
        <is>
          <t>10 遠東</t>
        </is>
      </c>
      <c r="H319" s="157" t="n">
        <v>1579888</v>
      </c>
      <c r="I319" s="157" t="n">
        <v>975814</v>
      </c>
      <c r="J319" s="157" t="n">
        <v>12208</v>
      </c>
      <c r="K319" s="157" t="n">
        <v>7925</v>
      </c>
      <c r="L319" s="157" t="n">
        <v>3766</v>
      </c>
      <c r="M319" s="16" t="n"/>
      <c r="N319" s="157" t="n">
        <v>4897</v>
      </c>
      <c r="O319" s="16" t="n"/>
      <c r="P319" s="16" t="n"/>
      <c r="Q319" s="17" t="n"/>
      <c r="R319" s="16" t="n"/>
      <c r="S319" s="16" t="n"/>
      <c r="T319" s="16" t="n"/>
      <c r="U319" s="16" t="n"/>
      <c r="V319" s="158" t="n"/>
      <c r="W319" s="16" t="n"/>
      <c r="X319" s="18" t="n"/>
      <c r="Y319" s="18" t="n"/>
      <c r="Z319" s="18" t="n"/>
      <c r="AA319" s="18" t="n"/>
      <c r="AB319" s="18" t="n"/>
      <c r="AC319" s="18" t="n"/>
      <c r="AD319" s="18" t="n"/>
      <c r="AE319" s="18" t="n"/>
      <c r="AF319" s="18" t="n"/>
      <c r="AG319" s="18" t="n"/>
      <c r="AH319" s="18" t="n"/>
      <c r="AI319" s="18" t="n"/>
    </row>
    <row r="320">
      <c r="A320" s="9" t="n">
        <v>202111</v>
      </c>
      <c r="B320" s="10">
        <f>LEFT(creditcard[[#This Row],[YYYYMM]],4)</f>
        <v/>
      </c>
      <c r="C320" s="10">
        <f>RIGHT(creditcard[[#This Row],[YYYYMM]],2)</f>
        <v/>
      </c>
      <c r="D320" s="10">
        <f>IF(RIGHT(creditcard[[#This Row],[YYYYMM]],2)="--","--","Q"&amp;ROUNDUP(VALUE(RIGHT(creditcard[[#This Row],[YYYYMM]],2))/3,0))</f>
        <v/>
      </c>
      <c r="E320" s="10" t="n">
        <v>11</v>
      </c>
      <c r="F320" s="151" t="inlineStr">
        <is>
          <t>市場總計</t>
        </is>
      </c>
      <c r="G320" s="152" t="inlineStr">
        <is>
          <t>11 市場總計</t>
        </is>
      </c>
      <c r="H320" s="153" t="n">
        <v>52402819</v>
      </c>
      <c r="I320" s="153" t="n">
        <v>33486160</v>
      </c>
      <c r="J320" s="153" t="n">
        <v>522647</v>
      </c>
      <c r="K320" s="153" t="n">
        <v>273763</v>
      </c>
      <c r="L320" s="153" t="n">
        <v>99737</v>
      </c>
      <c r="M320" s="11" t="n"/>
      <c r="N320" s="153" t="n">
        <v>292065</v>
      </c>
      <c r="O320" s="11" t="n"/>
      <c r="P320" s="11" t="n"/>
      <c r="Q320" s="12" t="n"/>
      <c r="R320" s="11" t="n"/>
      <c r="S320" s="11" t="n"/>
      <c r="T320" s="11" t="n"/>
      <c r="U320" s="11" t="n"/>
      <c r="V320" s="154" t="n">
        <v>4.39</v>
      </c>
      <c r="W320" s="11">
        <f>SUMIFS(H:H,A:A,creditcard[[#This Row],[YYYYMM]],G:G,creditcard[[#This Row],[Item]])</f>
        <v/>
      </c>
      <c r="X320" s="4">
        <f>IFERROR(SUMIFS(H:H,A:A,creditcard[[#This Row],[YYYYMM]],E:E,"&lt;=5")/creditcard[[#This Row],[市場總計]],"")</f>
        <v/>
      </c>
      <c r="Y320" s="4">
        <f>IFERROR(SUMIFS(H:H,A:A,creditcard[[#This Row],[YYYYMM]],E:E,"&lt;=10")/creditcard[[#This Row],[市場總計]],"")</f>
        <v/>
      </c>
      <c r="Z320" s="4">
        <f>IFERROR(SUMIFS(I:I,A:A,creditcard[[#This Row],[YYYYMM]],E:E,"&lt;=5")/creditcard[[#This Row],[有效卡數]],"")</f>
        <v/>
      </c>
      <c r="AA320" s="4">
        <f>IFERROR(SUMIFS(I:I,A:A,creditcard[[#This Row],[YYYYMM]],E:E,"&lt;=10")/creditcard[[#This Row],[有效卡數]],"")</f>
        <v/>
      </c>
      <c r="AB320" s="4">
        <f>IFERROR(SUMIFS(J:J,A:A,creditcard[[#This Row],[YYYYMM]],E:E,"&lt;=5")/creditcard[[#This Row],[當月發卡數]],"")</f>
        <v/>
      </c>
      <c r="AC320" s="4">
        <f>IFERROR(SUMIFS(J:J,A:A,creditcard[[#This Row],[YYYYMM]],E:E,"&lt;=10")/creditcard[[#This Row],[當月發卡數]],"")</f>
        <v/>
      </c>
      <c r="AD320" s="4">
        <f>IFERROR(SUMIFS(K:K,A:A,creditcard[[#This Row],[YYYYMM]],E:E,"&lt;=5")/creditcard[[#This Row],[當月停卡數]],"")</f>
        <v/>
      </c>
      <c r="AE320" s="4">
        <f>IFERROR(SUMIFS(K:K,A:A,creditcard[[#This Row],[YYYYMM]],E:E,"&lt;=10")/creditcard[[#This Row],[當月停卡數]],"")</f>
        <v/>
      </c>
      <c r="AF320" s="4">
        <f>IFERROR(SUMIFS(L:L,A:A,creditcard[[#This Row],[YYYYMM]],E:E,"&lt;=5")/creditcard[[#This Row],[循環信用餘額]],"")</f>
        <v/>
      </c>
      <c r="AG320" s="4">
        <f>IFERROR(SUMIFS(L:L,A:A,creditcard[[#This Row],[YYYYMM]],E:E,"&lt;=10")/creditcard[[#This Row],[循環信用餘額]],"")</f>
        <v/>
      </c>
      <c r="AH320" s="4">
        <f>IFERROR(SUMIFS(N:N,A:A,creditcard[[#This Row],[YYYYMM]],E:E,"&lt;=5")/creditcard[[#This Row],[當月簽帳金額]],"")</f>
        <v/>
      </c>
      <c r="AI320" s="4">
        <f>IFERROR(SUMIFS(N:N,A:A,creditcard[[#This Row],[YYYYMM]],E:E,"&lt;=10")/creditcard[[#This Row],[當月簽帳金額]],"")</f>
        <v/>
      </c>
    </row>
    <row r="321">
      <c r="A321" s="14" t="n">
        <v>202112</v>
      </c>
      <c r="B321" s="15">
        <f>LEFT(creditcard[[#This Row],[YYYYMM]],4)</f>
        <v/>
      </c>
      <c r="C321" s="15">
        <f>RIGHT(creditcard[[#This Row],[YYYYMM]],2)</f>
        <v/>
      </c>
      <c r="D321" s="15">
        <f>IF(RIGHT(creditcard[[#This Row],[YYYYMM]],2)="--","--","Q"&amp;ROUNDUP(VALUE(RIGHT(creditcard[[#This Row],[YYYYMM]],2))/3,0))</f>
        <v/>
      </c>
      <c r="E321" s="15" t="n">
        <v>1</v>
      </c>
      <c r="F321" s="155" t="inlineStr">
        <is>
          <t>中信</t>
        </is>
      </c>
      <c r="G321" s="156" t="inlineStr">
        <is>
          <t>01 中信</t>
        </is>
      </c>
      <c r="H321" s="157" t="n">
        <v>7837569</v>
      </c>
      <c r="I321" s="157" t="n">
        <v>4934654</v>
      </c>
      <c r="J321" s="157" t="n">
        <v>91876</v>
      </c>
      <c r="K321" s="157" t="n">
        <v>29495</v>
      </c>
      <c r="L321" s="157" t="n">
        <v>15170</v>
      </c>
      <c r="M321" s="16" t="n"/>
      <c r="N321" s="157" t="n">
        <v>43363</v>
      </c>
      <c r="O321" s="16" t="n"/>
      <c r="P321" s="16" t="n"/>
      <c r="Q321" s="17" t="n"/>
      <c r="R321" s="16" t="n"/>
      <c r="S321" s="16" t="n"/>
      <c r="T321" s="16" t="n"/>
      <c r="U321" s="16" t="n"/>
      <c r="V321" s="158" t="n"/>
      <c r="W321" s="16" t="n"/>
      <c r="X321" s="18" t="n"/>
      <c r="Y321" s="18" t="n"/>
      <c r="Z321" s="18" t="n"/>
      <c r="AA321" s="18" t="n"/>
      <c r="AB321" s="18" t="n"/>
      <c r="AC321" s="18" t="n"/>
      <c r="AD321" s="18" t="n"/>
      <c r="AE321" s="18" t="n"/>
      <c r="AF321" s="18" t="n"/>
      <c r="AG321" s="18" t="n"/>
      <c r="AH321" s="18" t="n"/>
      <c r="AI321" s="18" t="n"/>
    </row>
    <row r="322">
      <c r="A322" s="9" t="n">
        <v>202112</v>
      </c>
      <c r="B322" s="10">
        <f>LEFT(creditcard[[#This Row],[YYYYMM]],4)</f>
        <v/>
      </c>
      <c r="C322" s="10">
        <f>RIGHT(creditcard[[#This Row],[YYYYMM]],2)</f>
        <v/>
      </c>
      <c r="D322" s="10">
        <f>IF(RIGHT(creditcard[[#This Row],[YYYYMM]],2)="--","--","Q"&amp;ROUNDUP(VALUE(RIGHT(creditcard[[#This Row],[YYYYMM]],2))/3,0))</f>
        <v/>
      </c>
      <c r="E322" s="10" t="n">
        <v>2</v>
      </c>
      <c r="F322" s="151" t="inlineStr">
        <is>
          <t>富邦</t>
        </is>
      </c>
      <c r="G322" s="152" t="inlineStr">
        <is>
          <t>02 富邦</t>
        </is>
      </c>
      <c r="H322" s="153" t="n">
        <v>4241447</v>
      </c>
      <c r="I322" s="153" t="n">
        <v>2837461</v>
      </c>
      <c r="J322" s="153" t="n">
        <v>90057</v>
      </c>
      <c r="K322" s="153" t="n">
        <v>18176</v>
      </c>
      <c r="L322" s="153" t="n">
        <v>5818</v>
      </c>
      <c r="M322" s="11" t="n"/>
      <c r="N322" s="153" t="n">
        <v>32061</v>
      </c>
      <c r="O322" s="11" t="n"/>
      <c r="P322" s="11" t="n"/>
      <c r="Q322" s="12" t="n"/>
      <c r="R322" s="11" t="n"/>
      <c r="S322" s="11" t="n"/>
      <c r="T322" s="11" t="n"/>
      <c r="U322" s="11" t="n"/>
      <c r="V322" s="154" t="n"/>
      <c r="W322" s="11" t="n"/>
      <c r="X322" s="13" t="n"/>
      <c r="Y322" s="13" t="n"/>
      <c r="Z322" s="13" t="n"/>
      <c r="AA322" s="13" t="n"/>
      <c r="AB322" s="13" t="n"/>
      <c r="AC322" s="13" t="n"/>
      <c r="AD322" s="13" t="n"/>
      <c r="AE322" s="13" t="n"/>
      <c r="AF322" s="13" t="n"/>
      <c r="AG322" s="13" t="n"/>
      <c r="AH322" s="13" t="n"/>
      <c r="AI322" s="13" t="n"/>
    </row>
    <row r="323">
      <c r="A323" s="14" t="n">
        <v>202112</v>
      </c>
      <c r="B323" s="15">
        <f>LEFT(creditcard[[#This Row],[YYYYMM]],4)</f>
        <v/>
      </c>
      <c r="C323" s="15">
        <f>RIGHT(creditcard[[#This Row],[YYYYMM]],2)</f>
        <v/>
      </c>
      <c r="D323" s="15">
        <f>IF(RIGHT(creditcard[[#This Row],[YYYYMM]],2)="--","--","Q"&amp;ROUNDUP(VALUE(RIGHT(creditcard[[#This Row],[YYYYMM]],2))/3,0))</f>
        <v/>
      </c>
      <c r="E323" s="15" t="n">
        <v>3</v>
      </c>
      <c r="F323" s="155" t="inlineStr">
        <is>
          <t>國泰</t>
        </is>
      </c>
      <c r="G323" s="156" t="inlineStr">
        <is>
          <t>03 國泰</t>
        </is>
      </c>
      <c r="H323" s="157" t="n">
        <v>7604456</v>
      </c>
      <c r="I323" s="157" t="n">
        <v>5431713</v>
      </c>
      <c r="J323" s="157" t="n">
        <v>70194</v>
      </c>
      <c r="K323" s="157" t="n">
        <v>37754</v>
      </c>
      <c r="L323" s="157" t="n">
        <v>17985</v>
      </c>
      <c r="M323" s="16" t="n"/>
      <c r="N323" s="157" t="n">
        <v>50894</v>
      </c>
      <c r="O323" s="16" t="n"/>
      <c r="P323" s="16" t="n"/>
      <c r="Q323" s="17" t="n"/>
      <c r="R323" s="16" t="n"/>
      <c r="S323" s="16" t="n"/>
      <c r="T323" s="16" t="n"/>
      <c r="U323" s="16" t="n"/>
      <c r="V323" s="158" t="n"/>
      <c r="W323" s="16" t="n"/>
      <c r="X323" s="18" t="n"/>
      <c r="Y323" s="18" t="n"/>
      <c r="Z323" s="18" t="n"/>
      <c r="AA323" s="18" t="n"/>
      <c r="AB323" s="18" t="n"/>
      <c r="AC323" s="18" t="n"/>
      <c r="AD323" s="18" t="n"/>
      <c r="AE323" s="18" t="n"/>
      <c r="AF323" s="18" t="n"/>
      <c r="AG323" s="18" t="n"/>
      <c r="AH323" s="18" t="n"/>
      <c r="AI323" s="18" t="n"/>
    </row>
    <row r="324">
      <c r="A324" s="9" t="n">
        <v>202112</v>
      </c>
      <c r="B324" s="10">
        <f>LEFT(creditcard[[#This Row],[YYYYMM]],4)</f>
        <v/>
      </c>
      <c r="C324" s="10">
        <f>RIGHT(creditcard[[#This Row],[YYYYMM]],2)</f>
        <v/>
      </c>
      <c r="D324" s="10">
        <f>IF(RIGHT(creditcard[[#This Row],[YYYYMM]],2)="--","--","Q"&amp;ROUNDUP(VALUE(RIGHT(creditcard[[#This Row],[YYYYMM]],2))/3,0))</f>
        <v/>
      </c>
      <c r="E324" s="10" t="n">
        <v>4</v>
      </c>
      <c r="F324" s="151" t="inlineStr">
        <is>
          <t>玉山</t>
        </is>
      </c>
      <c r="G324" s="152" t="inlineStr">
        <is>
          <t>04 玉山</t>
        </is>
      </c>
      <c r="H324" s="153" t="n">
        <v>6624086</v>
      </c>
      <c r="I324" s="153" t="n">
        <v>4531414</v>
      </c>
      <c r="J324" s="153" t="n">
        <v>38166</v>
      </c>
      <c r="K324" s="153" t="n">
        <v>22107</v>
      </c>
      <c r="L324" s="153" t="n">
        <v>12349</v>
      </c>
      <c r="M324" s="11" t="n"/>
      <c r="N324" s="153" t="n">
        <v>40978</v>
      </c>
      <c r="O324" s="11" t="n"/>
      <c r="P324" s="11" t="n"/>
      <c r="Q324" s="12" t="n"/>
      <c r="R324" s="11" t="n"/>
      <c r="S324" s="11" t="n"/>
      <c r="T324" s="11" t="n"/>
      <c r="U324" s="11" t="n"/>
      <c r="V324" s="154" t="n"/>
      <c r="W324" s="11" t="n"/>
      <c r="X324" s="13" t="n"/>
      <c r="Y324" s="13" t="n"/>
      <c r="Z324" s="13" t="n"/>
      <c r="AA324" s="13" t="n"/>
      <c r="AB324" s="13" t="n"/>
      <c r="AC324" s="13" t="n"/>
      <c r="AD324" s="13" t="n"/>
      <c r="AE324" s="13" t="n"/>
      <c r="AF324" s="13" t="n"/>
      <c r="AG324" s="13" t="n"/>
      <c r="AH324" s="13" t="n"/>
      <c r="AI324" s="13" t="n"/>
    </row>
    <row r="325">
      <c r="A325" s="14" t="n">
        <v>202112</v>
      </c>
      <c r="B325" s="15">
        <f>LEFT(creditcard[[#This Row],[YYYYMM]],4)</f>
        <v/>
      </c>
      <c r="C325" s="15">
        <f>RIGHT(creditcard[[#This Row],[YYYYMM]],2)</f>
        <v/>
      </c>
      <c r="D325" s="15">
        <f>IF(RIGHT(creditcard[[#This Row],[YYYYMM]],2)="--","--","Q"&amp;ROUNDUP(VALUE(RIGHT(creditcard[[#This Row],[YYYYMM]],2))/3,0))</f>
        <v/>
      </c>
      <c r="E325" s="15" t="n">
        <v>5</v>
      </c>
      <c r="F325" s="155" t="inlineStr">
        <is>
          <t>台新</t>
        </is>
      </c>
      <c r="G325" s="156" t="inlineStr">
        <is>
          <t>05 台新</t>
        </is>
      </c>
      <c r="H325" s="157" t="n">
        <v>6058070</v>
      </c>
      <c r="I325" s="157" t="n">
        <v>4067592</v>
      </c>
      <c r="J325" s="157" t="n">
        <v>49742</v>
      </c>
      <c r="K325" s="157" t="n">
        <v>26486</v>
      </c>
      <c r="L325" s="157" t="n">
        <v>10066</v>
      </c>
      <c r="M325" s="16" t="n"/>
      <c r="N325" s="157" t="n">
        <v>30444</v>
      </c>
      <c r="O325" s="16" t="n"/>
      <c r="P325" s="16" t="n"/>
      <c r="Q325" s="17" t="n"/>
      <c r="R325" s="16" t="n"/>
      <c r="S325" s="16" t="n"/>
      <c r="T325" s="16" t="n"/>
      <c r="U325" s="16" t="n"/>
      <c r="V325" s="158" t="n"/>
      <c r="W325" s="16" t="n"/>
      <c r="X325" s="18" t="n"/>
      <c r="Y325" s="18" t="n"/>
      <c r="Z325" s="18" t="n"/>
      <c r="AA325" s="18" t="n"/>
      <c r="AB325" s="18" t="n"/>
      <c r="AC325" s="18" t="n"/>
      <c r="AD325" s="18" t="n"/>
      <c r="AE325" s="18" t="n"/>
      <c r="AF325" s="18" t="n"/>
      <c r="AG325" s="18" t="n"/>
      <c r="AH325" s="18" t="n"/>
      <c r="AI325" s="18" t="n"/>
    </row>
    <row r="326">
      <c r="A326" s="9" t="n">
        <v>202112</v>
      </c>
      <c r="B326" s="10">
        <f>LEFT(creditcard[[#This Row],[YYYYMM]],4)</f>
        <v/>
      </c>
      <c r="C326" s="10">
        <f>RIGHT(creditcard[[#This Row],[YYYYMM]],2)</f>
        <v/>
      </c>
      <c r="D326" s="10">
        <f>IF(RIGHT(creditcard[[#This Row],[YYYYMM]],2)="--","--","Q"&amp;ROUNDUP(VALUE(RIGHT(creditcard[[#This Row],[YYYYMM]],2))/3,0))</f>
        <v/>
      </c>
      <c r="E326" s="10" t="n">
        <v>6</v>
      </c>
      <c r="F326" s="151" t="inlineStr">
        <is>
          <t>星展</t>
        </is>
      </c>
      <c r="G326" s="152" t="inlineStr">
        <is>
          <t>06 星展</t>
        </is>
      </c>
      <c r="H326" s="153" t="n">
        <v>622454</v>
      </c>
      <c r="I326" s="153" t="n">
        <v>318185</v>
      </c>
      <c r="J326" s="153" t="n">
        <v>3244</v>
      </c>
      <c r="K326" s="153" t="n">
        <v>5095</v>
      </c>
      <c r="L326" s="153" t="n">
        <v>1299</v>
      </c>
      <c r="M326" s="11" t="n"/>
      <c r="N326" s="153" t="n">
        <v>3325</v>
      </c>
      <c r="O326" s="11" t="n"/>
      <c r="P326" s="11" t="n"/>
      <c r="Q326" s="12" t="n"/>
      <c r="R326" s="11" t="n"/>
      <c r="S326" s="11" t="n"/>
      <c r="T326" s="11" t="n"/>
      <c r="U326" s="11" t="n"/>
      <c r="V326" s="154" t="n"/>
      <c r="W326" s="11" t="n"/>
      <c r="X326" s="13" t="n"/>
      <c r="Y326" s="13" t="n"/>
      <c r="Z326" s="13" t="n"/>
      <c r="AA326" s="13" t="n"/>
      <c r="AB326" s="13" t="n"/>
      <c r="AC326" s="13" t="n"/>
      <c r="AD326" s="13" t="n"/>
      <c r="AE326" s="13" t="n"/>
      <c r="AF326" s="13" t="n"/>
      <c r="AG326" s="13" t="n"/>
      <c r="AH326" s="13" t="n"/>
      <c r="AI326" s="13" t="n"/>
    </row>
    <row r="327">
      <c r="A327" s="14" t="n">
        <v>202112</v>
      </c>
      <c r="B327" s="15">
        <f>LEFT(creditcard[[#This Row],[YYYYMM]],4)</f>
        <v/>
      </c>
      <c r="C327" s="15">
        <f>RIGHT(creditcard[[#This Row],[YYYYMM]],2)</f>
        <v/>
      </c>
      <c r="D327" s="15">
        <f>IF(RIGHT(creditcard[[#This Row],[YYYYMM]],2)="--","--","Q"&amp;ROUNDUP(VALUE(RIGHT(creditcard[[#This Row],[YYYYMM]],2))/3,0))</f>
        <v/>
      </c>
      <c r="E327" s="15" t="n">
        <v>7</v>
      </c>
      <c r="F327" s="155" t="inlineStr">
        <is>
          <t>聯邦</t>
        </is>
      </c>
      <c r="G327" s="156" t="inlineStr">
        <is>
          <t>07 聯邦</t>
        </is>
      </c>
      <c r="H327" s="157" t="n">
        <v>2255449</v>
      </c>
      <c r="I327" s="157" t="n">
        <v>1300127</v>
      </c>
      <c r="J327" s="157" t="n">
        <v>32355</v>
      </c>
      <c r="K327" s="157" t="n">
        <v>14988</v>
      </c>
      <c r="L327" s="157" t="n">
        <v>5349</v>
      </c>
      <c r="M327" s="16" t="n"/>
      <c r="N327" s="157" t="n">
        <v>9958</v>
      </c>
      <c r="O327" s="16" t="n"/>
      <c r="P327" s="16" t="n"/>
      <c r="Q327" s="17" t="n"/>
      <c r="R327" s="16" t="n"/>
      <c r="S327" s="16" t="n"/>
      <c r="T327" s="16" t="n"/>
      <c r="U327" s="16" t="n"/>
      <c r="V327" s="158" t="n"/>
      <c r="W327" s="16" t="n"/>
      <c r="X327" s="18" t="n"/>
      <c r="Y327" s="18" t="n"/>
      <c r="Z327" s="18" t="n"/>
      <c r="AA327" s="18" t="n"/>
      <c r="AB327" s="18" t="n"/>
      <c r="AC327" s="18" t="n"/>
      <c r="AD327" s="18" t="n"/>
      <c r="AE327" s="18" t="n"/>
      <c r="AF327" s="18" t="n"/>
      <c r="AG327" s="18" t="n"/>
      <c r="AH327" s="18" t="n"/>
      <c r="AI327" s="18" t="n"/>
    </row>
    <row r="328">
      <c r="A328" s="9" t="n">
        <v>202112</v>
      </c>
      <c r="B328" s="10">
        <f>LEFT(creditcard[[#This Row],[YYYYMM]],4)</f>
        <v/>
      </c>
      <c r="C328" s="10">
        <f>RIGHT(creditcard[[#This Row],[YYYYMM]],2)</f>
        <v/>
      </c>
      <c r="D328" s="10">
        <f>IF(RIGHT(creditcard[[#This Row],[YYYYMM]],2)="--","--","Q"&amp;ROUNDUP(VALUE(RIGHT(creditcard[[#This Row],[YYYYMM]],2))/3,0))</f>
        <v/>
      </c>
      <c r="E328" s="10" t="n">
        <v>8</v>
      </c>
      <c r="F328" s="151" t="inlineStr">
        <is>
          <t>永豐</t>
        </is>
      </c>
      <c r="G328" s="152" t="inlineStr">
        <is>
          <t>08 永豐</t>
        </is>
      </c>
      <c r="H328" s="153" t="n">
        <v>2170771</v>
      </c>
      <c r="I328" s="153" t="n">
        <v>1166125</v>
      </c>
      <c r="J328" s="153" t="n">
        <v>13839</v>
      </c>
      <c r="K328" s="153" t="n">
        <v>5745</v>
      </c>
      <c r="L328" s="153" t="n">
        <v>4003</v>
      </c>
      <c r="M328" s="11" t="n"/>
      <c r="N328" s="153" t="n">
        <v>11983</v>
      </c>
      <c r="O328" s="11" t="n"/>
      <c r="P328" s="11" t="n"/>
      <c r="Q328" s="12" t="n"/>
      <c r="R328" s="11" t="n"/>
      <c r="S328" s="11" t="n"/>
      <c r="T328" s="11" t="n"/>
      <c r="U328" s="11" t="n"/>
      <c r="V328" s="154" t="n"/>
      <c r="W328" s="11" t="n"/>
      <c r="X328" s="13" t="n"/>
      <c r="Y328" s="13" t="n"/>
      <c r="Z328" s="13" t="n"/>
      <c r="AA328" s="13" t="n"/>
      <c r="AB328" s="13" t="n"/>
      <c r="AC328" s="13" t="n"/>
      <c r="AD328" s="13" t="n"/>
      <c r="AE328" s="13" t="n"/>
      <c r="AF328" s="13" t="n"/>
      <c r="AG328" s="13" t="n"/>
      <c r="AH328" s="13" t="n"/>
      <c r="AI328" s="13" t="n"/>
    </row>
    <row r="329">
      <c r="A329" s="14" t="n">
        <v>202112</v>
      </c>
      <c r="B329" s="15">
        <f>LEFT(creditcard[[#This Row],[YYYYMM]],4)</f>
        <v/>
      </c>
      <c r="C329" s="15">
        <f>RIGHT(creditcard[[#This Row],[YYYYMM]],2)</f>
        <v/>
      </c>
      <c r="D329" s="15">
        <f>IF(RIGHT(creditcard[[#This Row],[YYYYMM]],2)="--","--","Q"&amp;ROUNDUP(VALUE(RIGHT(creditcard[[#This Row],[YYYYMM]],2))/3,0))</f>
        <v/>
      </c>
      <c r="E329" s="15" t="n">
        <v>9</v>
      </c>
      <c r="F329" s="155" t="inlineStr">
        <is>
          <t>第一</t>
        </is>
      </c>
      <c r="G329" s="156" t="inlineStr">
        <is>
          <t>09 第一</t>
        </is>
      </c>
      <c r="H329" s="157" t="n">
        <v>1413713</v>
      </c>
      <c r="I329" s="157" t="n">
        <v>848636</v>
      </c>
      <c r="J329" s="157" t="n">
        <v>13582</v>
      </c>
      <c r="K329" s="157" t="n">
        <v>15953</v>
      </c>
      <c r="L329" s="157" t="n">
        <v>1503</v>
      </c>
      <c r="M329" s="16" t="n"/>
      <c r="N329" s="157" t="n">
        <v>5366</v>
      </c>
      <c r="O329" s="16" t="n"/>
      <c r="P329" s="16" t="n"/>
      <c r="Q329" s="17" t="n"/>
      <c r="R329" s="16" t="n"/>
      <c r="S329" s="16" t="n"/>
      <c r="T329" s="16" t="n"/>
      <c r="U329" s="16" t="n"/>
      <c r="V329" s="158" t="n"/>
      <c r="W329" s="16" t="n"/>
      <c r="X329" s="18" t="n"/>
      <c r="Y329" s="18" t="n"/>
      <c r="Z329" s="18" t="n"/>
      <c r="AA329" s="18" t="n"/>
      <c r="AB329" s="18" t="n"/>
      <c r="AC329" s="18" t="n"/>
      <c r="AD329" s="18" t="n"/>
      <c r="AE329" s="18" t="n"/>
      <c r="AF329" s="18" t="n"/>
      <c r="AG329" s="18" t="n"/>
      <c r="AH329" s="18" t="n"/>
      <c r="AI329" s="18" t="n"/>
    </row>
    <row r="330">
      <c r="A330" s="9" t="n">
        <v>202112</v>
      </c>
      <c r="B330" s="10">
        <f>LEFT(creditcard[[#This Row],[YYYYMM]],4)</f>
        <v/>
      </c>
      <c r="C330" s="10">
        <f>RIGHT(creditcard[[#This Row],[YYYYMM]],2)</f>
        <v/>
      </c>
      <c r="D330" s="10">
        <f>IF(RIGHT(creditcard[[#This Row],[YYYYMM]],2)="--","--","Q"&amp;ROUNDUP(VALUE(RIGHT(creditcard[[#This Row],[YYYYMM]],2))/3,0))</f>
        <v/>
      </c>
      <c r="E330" s="10" t="n">
        <v>10</v>
      </c>
      <c r="F330" s="151" t="inlineStr">
        <is>
          <t>遠東</t>
        </is>
      </c>
      <c r="G330" s="152" t="inlineStr">
        <is>
          <t>10 遠東</t>
        </is>
      </c>
      <c r="H330" s="153" t="n">
        <v>1547948</v>
      </c>
      <c r="I330" s="153" t="n">
        <v>994110</v>
      </c>
      <c r="J330" s="153" t="n">
        <v>6979</v>
      </c>
      <c r="K330" s="153" t="n">
        <v>38926</v>
      </c>
      <c r="L330" s="153" t="n">
        <v>3775</v>
      </c>
      <c r="M330" s="11" t="n"/>
      <c r="N330" s="153" t="n">
        <v>4664</v>
      </c>
      <c r="O330" s="11" t="n"/>
      <c r="P330" s="11" t="n"/>
      <c r="Q330" s="12" t="n"/>
      <c r="R330" s="11" t="n"/>
      <c r="S330" s="11" t="n"/>
      <c r="T330" s="11" t="n"/>
      <c r="U330" s="11" t="n"/>
      <c r="V330" s="154" t="n"/>
      <c r="W330" s="11" t="n"/>
      <c r="X330" s="13" t="n"/>
      <c r="Y330" s="13" t="n"/>
      <c r="Z330" s="13" t="n"/>
      <c r="AA330" s="13" t="n"/>
      <c r="AB330" s="13" t="n"/>
      <c r="AC330" s="13" t="n"/>
      <c r="AD330" s="13" t="n"/>
      <c r="AE330" s="13" t="n"/>
      <c r="AF330" s="13" t="n"/>
      <c r="AG330" s="13" t="n"/>
      <c r="AH330" s="13" t="n"/>
      <c r="AI330" s="13" t="n"/>
    </row>
    <row r="331">
      <c r="A331" s="14" t="n">
        <v>202112</v>
      </c>
      <c r="B331" s="15">
        <f>LEFT(creditcard[[#This Row],[YYYYMM]],4)</f>
        <v/>
      </c>
      <c r="C331" s="15">
        <f>RIGHT(creditcard[[#This Row],[YYYYMM]],2)</f>
        <v/>
      </c>
      <c r="D331" s="15">
        <f>IF(RIGHT(creditcard[[#This Row],[YYYYMM]],2)="--","--","Q"&amp;ROUNDUP(VALUE(RIGHT(creditcard[[#This Row],[YYYYMM]],2))/3,0))</f>
        <v/>
      </c>
      <c r="E331" s="15" t="n">
        <v>11</v>
      </c>
      <c r="F331" s="155" t="inlineStr">
        <is>
          <t>市場總計</t>
        </is>
      </c>
      <c r="G331" s="156" t="inlineStr">
        <is>
          <t>11 市場總計</t>
        </is>
      </c>
      <c r="H331" s="157" t="n">
        <v>52629916</v>
      </c>
      <c r="I331" s="157" t="n">
        <v>33794844</v>
      </c>
      <c r="J331" s="157" t="n">
        <v>506166</v>
      </c>
      <c r="K331" s="157" t="n">
        <v>298675</v>
      </c>
      <c r="L331" s="157" t="n">
        <v>101157</v>
      </c>
      <c r="M331" s="16" t="n"/>
      <c r="N331" s="157" t="n">
        <v>294906</v>
      </c>
      <c r="O331" s="16" t="n"/>
      <c r="P331" s="16" t="n"/>
      <c r="Q331" s="17" t="n"/>
      <c r="R331" s="16" t="n"/>
      <c r="S331" s="16" t="n"/>
      <c r="T331" s="16" t="n"/>
      <c r="U331" s="16" t="n"/>
      <c r="V331" s="158" t="n">
        <v>4.4</v>
      </c>
      <c r="W331" s="16">
        <f>SUMIFS(H:H,A:A,creditcard[[#This Row],[YYYYMM]],G:G,creditcard[[#This Row],[Item]])</f>
        <v/>
      </c>
      <c r="X331" s="4">
        <f>IFERROR(SUMIFS(H:H,A:A,creditcard[[#This Row],[YYYYMM]],E:E,"&lt;=5")/creditcard[[#This Row],[市場總計]],"")</f>
        <v/>
      </c>
      <c r="Y331" s="4">
        <f>IFERROR(SUMIFS(H:H,A:A,creditcard[[#This Row],[YYYYMM]],E:E,"&lt;=10")/creditcard[[#This Row],[市場總計]],"")</f>
        <v/>
      </c>
      <c r="Z331" s="4">
        <f>IFERROR(SUMIFS(I:I,A:A,creditcard[[#This Row],[YYYYMM]],E:E,"&lt;=5")/creditcard[[#This Row],[有效卡數]],"")</f>
        <v/>
      </c>
      <c r="AA331" s="4">
        <f>IFERROR(SUMIFS(I:I,A:A,creditcard[[#This Row],[YYYYMM]],E:E,"&lt;=10")/creditcard[[#This Row],[有效卡數]],"")</f>
        <v/>
      </c>
      <c r="AB331" s="4">
        <f>IFERROR(SUMIFS(J:J,A:A,creditcard[[#This Row],[YYYYMM]],E:E,"&lt;=5")/creditcard[[#This Row],[當月發卡數]],"")</f>
        <v/>
      </c>
      <c r="AC331" s="4">
        <f>IFERROR(SUMIFS(J:J,A:A,creditcard[[#This Row],[YYYYMM]],E:E,"&lt;=10")/creditcard[[#This Row],[當月發卡數]],"")</f>
        <v/>
      </c>
      <c r="AD331" s="4">
        <f>IFERROR(SUMIFS(K:K,A:A,creditcard[[#This Row],[YYYYMM]],E:E,"&lt;=5")/creditcard[[#This Row],[當月停卡數]],"")</f>
        <v/>
      </c>
      <c r="AE331" s="4">
        <f>IFERROR(SUMIFS(K:K,A:A,creditcard[[#This Row],[YYYYMM]],E:E,"&lt;=10")/creditcard[[#This Row],[當月停卡數]],"")</f>
        <v/>
      </c>
      <c r="AF331" s="4">
        <f>IFERROR(SUMIFS(L:L,A:A,creditcard[[#This Row],[YYYYMM]],E:E,"&lt;=5")/creditcard[[#This Row],[循環信用餘額]],"")</f>
        <v/>
      </c>
      <c r="AG331" s="4">
        <f>IFERROR(SUMIFS(L:L,A:A,creditcard[[#This Row],[YYYYMM]],E:E,"&lt;=10")/creditcard[[#This Row],[循環信用餘額]],"")</f>
        <v/>
      </c>
      <c r="AH331" s="4">
        <f>IFERROR(SUMIFS(N:N,A:A,creditcard[[#This Row],[YYYYMM]],E:E,"&lt;=5")/creditcard[[#This Row],[當月簽帳金額]],"")</f>
        <v/>
      </c>
      <c r="AI331" s="4">
        <f>IFERROR(SUMIFS(N:N,A:A,creditcard[[#This Row],[YYYYMM]],E:E,"&lt;=10")/creditcard[[#This Row],[當月簽帳金額]],"")</f>
        <v/>
      </c>
    </row>
    <row r="332">
      <c r="A332" s="9" t="inlineStr">
        <is>
          <t>2021--</t>
        </is>
      </c>
      <c r="B332" s="10">
        <f>LEFT(creditcard[[#This Row],[YYYYMM]],4)</f>
        <v/>
      </c>
      <c r="C332" s="10">
        <f>RIGHT(creditcard[[#This Row],[YYYYMM]],2)</f>
        <v/>
      </c>
      <c r="D332" s="10">
        <f>IF(RIGHT(creditcard[[#This Row],[YYYYMM]],2)="--","--","Q"&amp;ROUNDUP(VALUE(RIGHT(creditcard[[#This Row],[YYYYMM]],2))/3,0))</f>
        <v/>
      </c>
      <c r="E332" s="10" t="n">
        <v>1</v>
      </c>
      <c r="F332" s="151" t="inlineStr">
        <is>
          <t>中信</t>
        </is>
      </c>
      <c r="G332" s="152" t="inlineStr">
        <is>
          <t>01 中信</t>
        </is>
      </c>
      <c r="H332" s="153" t="n">
        <v>7837569</v>
      </c>
      <c r="I332" s="153" t="n">
        <v>4934654</v>
      </c>
      <c r="J332" s="153" t="n">
        <v>962040</v>
      </c>
      <c r="K332" s="153" t="n">
        <v>406177</v>
      </c>
      <c r="L332" s="153" t="n">
        <v>15170</v>
      </c>
      <c r="M332" s="11" t="n"/>
      <c r="N332" s="153" t="n">
        <v>479918.076</v>
      </c>
      <c r="O332" s="11" t="n"/>
      <c r="P332" s="11" t="n"/>
      <c r="Q332" s="12" t="n"/>
      <c r="R332" s="11" t="n"/>
      <c r="S332" s="11" t="n"/>
      <c r="T332" s="11" t="n"/>
      <c r="U332" s="11" t="n"/>
      <c r="V332" s="154" t="n"/>
      <c r="W332" s="11" t="n"/>
      <c r="X332" s="13" t="n"/>
      <c r="Y332" s="13" t="n"/>
      <c r="Z332" s="13" t="n"/>
      <c r="AA332" s="13" t="n"/>
      <c r="AB332" s="13" t="n"/>
      <c r="AC332" s="13" t="n"/>
      <c r="AD332" s="13" t="n"/>
      <c r="AE332" s="13" t="n"/>
      <c r="AF332" s="13" t="n"/>
      <c r="AG332" s="13" t="n"/>
      <c r="AH332" s="13" t="n"/>
      <c r="AI332" s="13" t="n"/>
    </row>
    <row r="333">
      <c r="A333" s="14" t="inlineStr">
        <is>
          <t>2021--</t>
        </is>
      </c>
      <c r="B333" s="15">
        <f>LEFT(creditcard[[#This Row],[YYYYMM]],4)</f>
        <v/>
      </c>
      <c r="C333" s="15">
        <f>RIGHT(creditcard[[#This Row],[YYYYMM]],2)</f>
        <v/>
      </c>
      <c r="D333" s="15">
        <f>IF(RIGHT(creditcard[[#This Row],[YYYYMM]],2)="--","--","Q"&amp;ROUNDUP(VALUE(RIGHT(creditcard[[#This Row],[YYYYMM]],2))/3,0))</f>
        <v/>
      </c>
      <c r="E333" s="15" t="n">
        <v>2</v>
      </c>
      <c r="F333" s="155" t="inlineStr">
        <is>
          <t>富邦</t>
        </is>
      </c>
      <c r="G333" s="156" t="inlineStr">
        <is>
          <t>02 富邦</t>
        </is>
      </c>
      <c r="H333" s="157" t="n">
        <v>4241447</v>
      </c>
      <c r="I333" s="157" t="n">
        <v>2837461</v>
      </c>
      <c r="J333" s="157" t="n">
        <v>632204</v>
      </c>
      <c r="K333" s="157" t="n">
        <v>246395</v>
      </c>
      <c r="L333" s="157" t="n">
        <v>5818</v>
      </c>
      <c r="M333" s="16" t="n"/>
      <c r="N333" s="157" t="n">
        <v>308610.487</v>
      </c>
      <c r="O333" s="16" t="n"/>
      <c r="P333" s="16" t="n"/>
      <c r="Q333" s="17" t="n"/>
      <c r="R333" s="16" t="n"/>
      <c r="S333" s="16" t="n"/>
      <c r="T333" s="16" t="n"/>
      <c r="U333" s="16" t="n"/>
      <c r="V333" s="158" t="n"/>
      <c r="W333" s="16" t="n"/>
      <c r="X333" s="18" t="n"/>
      <c r="Y333" s="18" t="n"/>
      <c r="Z333" s="18" t="n"/>
      <c r="AA333" s="18" t="n"/>
      <c r="AB333" s="18" t="n"/>
      <c r="AC333" s="18" t="n"/>
      <c r="AD333" s="18" t="n"/>
      <c r="AE333" s="18" t="n"/>
      <c r="AF333" s="18" t="n"/>
      <c r="AG333" s="18" t="n"/>
      <c r="AH333" s="18" t="n"/>
      <c r="AI333" s="18" t="n"/>
    </row>
    <row r="334">
      <c r="A334" s="9" t="inlineStr">
        <is>
          <t>2021--</t>
        </is>
      </c>
      <c r="B334" s="10">
        <f>LEFT(creditcard[[#This Row],[YYYYMM]],4)</f>
        <v/>
      </c>
      <c r="C334" s="10">
        <f>RIGHT(creditcard[[#This Row],[YYYYMM]],2)</f>
        <v/>
      </c>
      <c r="D334" s="10">
        <f>IF(RIGHT(creditcard[[#This Row],[YYYYMM]],2)="--","--","Q"&amp;ROUNDUP(VALUE(RIGHT(creditcard[[#This Row],[YYYYMM]],2))/3,0))</f>
        <v/>
      </c>
      <c r="E334" s="10" t="n">
        <v>3</v>
      </c>
      <c r="F334" s="151" t="inlineStr">
        <is>
          <t>國泰</t>
        </is>
      </c>
      <c r="G334" s="152" t="inlineStr">
        <is>
          <t>03 國泰</t>
        </is>
      </c>
      <c r="H334" s="153" t="n">
        <v>7604456</v>
      </c>
      <c r="I334" s="153" t="n">
        <v>5431713</v>
      </c>
      <c r="J334" s="153" t="n">
        <v>939246</v>
      </c>
      <c r="K334" s="153" t="n">
        <v>450227</v>
      </c>
      <c r="L334" s="153" t="n">
        <v>17985</v>
      </c>
      <c r="M334" s="11" t="n"/>
      <c r="N334" s="153" t="n">
        <v>504779.062</v>
      </c>
      <c r="O334" s="11" t="n"/>
      <c r="P334" s="11" t="n"/>
      <c r="Q334" s="12" t="n"/>
      <c r="R334" s="11" t="n"/>
      <c r="S334" s="11" t="n"/>
      <c r="T334" s="11" t="n"/>
      <c r="U334" s="11" t="n"/>
      <c r="V334" s="154" t="n"/>
      <c r="W334" s="11" t="n"/>
      <c r="X334" s="13" t="n"/>
      <c r="Y334" s="13" t="n"/>
      <c r="Z334" s="13" t="n"/>
      <c r="AA334" s="13" t="n"/>
      <c r="AB334" s="13" t="n"/>
      <c r="AC334" s="13" t="n"/>
      <c r="AD334" s="13" t="n"/>
      <c r="AE334" s="13" t="n"/>
      <c r="AF334" s="13" t="n"/>
      <c r="AG334" s="13" t="n"/>
      <c r="AH334" s="13" t="n"/>
      <c r="AI334" s="13" t="n"/>
    </row>
    <row r="335">
      <c r="A335" s="14" t="inlineStr">
        <is>
          <t>2021--</t>
        </is>
      </c>
      <c r="B335" s="15">
        <f>LEFT(creditcard[[#This Row],[YYYYMM]],4)</f>
        <v/>
      </c>
      <c r="C335" s="15">
        <f>RIGHT(creditcard[[#This Row],[YYYYMM]],2)</f>
        <v/>
      </c>
      <c r="D335" s="15">
        <f>IF(RIGHT(creditcard[[#This Row],[YYYYMM]],2)="--","--","Q"&amp;ROUNDUP(VALUE(RIGHT(creditcard[[#This Row],[YYYYMM]],2))/3,0))</f>
        <v/>
      </c>
      <c r="E335" s="15" t="n">
        <v>4</v>
      </c>
      <c r="F335" s="155" t="inlineStr">
        <is>
          <t>玉山</t>
        </is>
      </c>
      <c r="G335" s="156" t="inlineStr">
        <is>
          <t>04 玉山</t>
        </is>
      </c>
      <c r="H335" s="157" t="n">
        <v>6624086</v>
      </c>
      <c r="I335" s="157" t="n">
        <v>4531414</v>
      </c>
      <c r="J335" s="157" t="n">
        <v>529032</v>
      </c>
      <c r="K335" s="157" t="n">
        <v>251229</v>
      </c>
      <c r="L335" s="157" t="n">
        <v>12349</v>
      </c>
      <c r="M335" s="16" t="n"/>
      <c r="N335" s="157" t="n">
        <v>452905.724</v>
      </c>
      <c r="O335" s="16" t="n"/>
      <c r="P335" s="16" t="n"/>
      <c r="Q335" s="17" t="n"/>
      <c r="R335" s="16" t="n"/>
      <c r="S335" s="16" t="n"/>
      <c r="T335" s="16" t="n"/>
      <c r="U335" s="16" t="n"/>
      <c r="V335" s="158" t="n"/>
      <c r="W335" s="16" t="n"/>
      <c r="X335" s="18" t="n"/>
      <c r="Y335" s="18" t="n"/>
      <c r="Z335" s="18" t="n"/>
      <c r="AA335" s="18" t="n"/>
      <c r="AB335" s="18" t="n"/>
      <c r="AC335" s="18" t="n"/>
      <c r="AD335" s="18" t="n"/>
      <c r="AE335" s="18" t="n"/>
      <c r="AF335" s="18" t="n"/>
      <c r="AG335" s="18" t="n"/>
      <c r="AH335" s="18" t="n"/>
      <c r="AI335" s="18" t="n"/>
    </row>
    <row r="336">
      <c r="A336" s="9" t="inlineStr">
        <is>
          <t>2021--</t>
        </is>
      </c>
      <c r="B336" s="10">
        <f>LEFT(creditcard[[#This Row],[YYYYMM]],4)</f>
        <v/>
      </c>
      <c r="C336" s="10">
        <f>RIGHT(creditcard[[#This Row],[YYYYMM]],2)</f>
        <v/>
      </c>
      <c r="D336" s="10">
        <f>IF(RIGHT(creditcard[[#This Row],[YYYYMM]],2)="--","--","Q"&amp;ROUNDUP(VALUE(RIGHT(creditcard[[#This Row],[YYYYMM]],2))/3,0))</f>
        <v/>
      </c>
      <c r="E336" s="10" t="n">
        <v>5</v>
      </c>
      <c r="F336" s="151" t="inlineStr">
        <is>
          <t>台新</t>
        </is>
      </c>
      <c r="G336" s="152" t="inlineStr">
        <is>
          <t>05 台新</t>
        </is>
      </c>
      <c r="H336" s="153" t="n">
        <v>6058070</v>
      </c>
      <c r="I336" s="153" t="n">
        <v>4067592</v>
      </c>
      <c r="J336" s="153" t="n">
        <v>654845</v>
      </c>
      <c r="K336" s="153" t="n">
        <v>327543</v>
      </c>
      <c r="L336" s="153" t="n">
        <v>10066</v>
      </c>
      <c r="M336" s="11" t="n"/>
      <c r="N336" s="153" t="n">
        <v>349067.182</v>
      </c>
      <c r="O336" s="11" t="n"/>
      <c r="P336" s="11" t="n"/>
      <c r="Q336" s="12" t="n"/>
      <c r="R336" s="11" t="n"/>
      <c r="S336" s="11" t="n"/>
      <c r="T336" s="11" t="n"/>
      <c r="U336" s="11" t="n"/>
      <c r="V336" s="154" t="n"/>
      <c r="W336" s="11" t="n"/>
      <c r="X336" s="13" t="n"/>
      <c r="Y336" s="13" t="n"/>
      <c r="Z336" s="13" t="n"/>
      <c r="AA336" s="13" t="n"/>
      <c r="AB336" s="13" t="n"/>
      <c r="AC336" s="13" t="n"/>
      <c r="AD336" s="13" t="n"/>
      <c r="AE336" s="13" t="n"/>
      <c r="AF336" s="13" t="n"/>
      <c r="AG336" s="13" t="n"/>
      <c r="AH336" s="13" t="n"/>
      <c r="AI336" s="13" t="n"/>
    </row>
    <row r="337">
      <c r="A337" s="9" t="inlineStr">
        <is>
          <t>2021--</t>
        </is>
      </c>
      <c r="B337" s="10">
        <f>LEFT(creditcard[[#This Row],[YYYYMM]],4)</f>
        <v/>
      </c>
      <c r="C337" s="10">
        <f>RIGHT(creditcard[[#This Row],[YYYYMM]],2)</f>
        <v/>
      </c>
      <c r="D337" s="10">
        <f>IF(RIGHT(creditcard[[#This Row],[YYYYMM]],2)="--","--","Q"&amp;ROUNDUP(VALUE(RIGHT(creditcard[[#This Row],[YYYYMM]],2))/3,0))</f>
        <v/>
      </c>
      <c r="E337" s="15" t="n">
        <v>6</v>
      </c>
      <c r="F337" s="155" t="inlineStr">
        <is>
          <t>星展</t>
        </is>
      </c>
      <c r="G337" s="156" t="inlineStr">
        <is>
          <t>06 星展</t>
        </is>
      </c>
      <c r="H337" s="157" t="n">
        <v>622454</v>
      </c>
      <c r="I337" s="157" t="n">
        <v>318185</v>
      </c>
      <c r="J337" s="157" t="n">
        <v>48262</v>
      </c>
      <c r="K337" s="157" t="n">
        <v>59814</v>
      </c>
      <c r="L337" s="157" t="n">
        <v>1299</v>
      </c>
      <c r="M337" s="16" t="n"/>
      <c r="N337" s="157" t="n">
        <v>34742</v>
      </c>
      <c r="O337" s="16" t="n"/>
      <c r="P337" s="16" t="n"/>
      <c r="Q337" s="17" t="n"/>
      <c r="R337" s="16" t="n"/>
      <c r="S337" s="16" t="n"/>
      <c r="T337" s="16" t="n"/>
      <c r="U337" s="16" t="n"/>
      <c r="V337" s="158" t="n"/>
      <c r="W337" s="16" t="n"/>
      <c r="X337" s="18" t="n"/>
      <c r="Y337" s="18" t="n"/>
      <c r="Z337" s="18" t="n"/>
      <c r="AA337" s="18" t="n"/>
      <c r="AB337" s="18" t="n"/>
      <c r="AC337" s="18" t="n"/>
      <c r="AD337" s="18" t="n"/>
      <c r="AE337" s="18" t="n"/>
      <c r="AF337" s="18" t="n"/>
      <c r="AG337" s="18" t="n"/>
      <c r="AH337" s="18" t="n"/>
      <c r="AI337" s="18" t="n"/>
    </row>
    <row r="338">
      <c r="A338" s="14" t="inlineStr">
        <is>
          <t>2021--</t>
        </is>
      </c>
      <c r="B338" s="15">
        <f>LEFT(creditcard[[#This Row],[YYYYMM]],4)</f>
        <v/>
      </c>
      <c r="C338" s="15">
        <f>RIGHT(creditcard[[#This Row],[YYYYMM]],2)</f>
        <v/>
      </c>
      <c r="D338" s="15">
        <f>IF(RIGHT(creditcard[[#This Row],[YYYYMM]],2)="--","--","Q"&amp;ROUNDUP(VALUE(RIGHT(creditcard[[#This Row],[YYYYMM]],2))/3,0))</f>
        <v/>
      </c>
      <c r="E338" s="10" t="n">
        <v>7</v>
      </c>
      <c r="F338" s="151" t="inlineStr">
        <is>
          <t>聯邦</t>
        </is>
      </c>
      <c r="G338" s="152" t="inlineStr">
        <is>
          <t>07 聯邦</t>
        </is>
      </c>
      <c r="H338" s="153" t="n">
        <v>2255449</v>
      </c>
      <c r="I338" s="153" t="n">
        <v>1300127</v>
      </c>
      <c r="J338" s="153" t="n">
        <v>248291</v>
      </c>
      <c r="K338" s="153" t="n">
        <v>236507</v>
      </c>
      <c r="L338" s="153" t="n">
        <v>5349</v>
      </c>
      <c r="M338" s="11" t="n"/>
      <c r="N338" s="153" t="n">
        <v>101597.85</v>
      </c>
      <c r="O338" s="11" t="n"/>
      <c r="P338" s="11" t="n"/>
      <c r="Q338" s="12" t="n"/>
      <c r="R338" s="11" t="n"/>
      <c r="S338" s="11" t="n"/>
      <c r="T338" s="11" t="n"/>
      <c r="U338" s="11" t="n"/>
      <c r="V338" s="154" t="n"/>
      <c r="W338" s="11" t="n"/>
      <c r="X338" s="13" t="n"/>
      <c r="Y338" s="13" t="n"/>
      <c r="Z338" s="13" t="n"/>
      <c r="AA338" s="13" t="n"/>
      <c r="AB338" s="13" t="n"/>
      <c r="AC338" s="13" t="n"/>
      <c r="AD338" s="13" t="n"/>
      <c r="AE338" s="13" t="n"/>
      <c r="AF338" s="13" t="n"/>
      <c r="AG338" s="13" t="n"/>
      <c r="AH338" s="13" t="n"/>
      <c r="AI338" s="13" t="n"/>
    </row>
    <row r="339">
      <c r="A339" s="9" t="inlineStr">
        <is>
          <t>2021--</t>
        </is>
      </c>
      <c r="B339" s="10">
        <f>LEFT(creditcard[[#This Row],[YYYYMM]],4)</f>
        <v/>
      </c>
      <c r="C339" s="10">
        <f>RIGHT(creditcard[[#This Row],[YYYYMM]],2)</f>
        <v/>
      </c>
      <c r="D339" s="10">
        <f>IF(RIGHT(creditcard[[#This Row],[YYYYMM]],2)="--","--","Q"&amp;ROUNDUP(VALUE(RIGHT(creditcard[[#This Row],[YYYYMM]],2))/3,0))</f>
        <v/>
      </c>
      <c r="E339" s="15" t="n">
        <v>8</v>
      </c>
      <c r="F339" s="155" t="inlineStr">
        <is>
          <t>永豐</t>
        </is>
      </c>
      <c r="G339" s="156" t="inlineStr">
        <is>
          <t>08 永豐</t>
        </is>
      </c>
      <c r="H339" s="157" t="n">
        <v>2170771</v>
      </c>
      <c r="I339" s="157" t="n">
        <v>1166125</v>
      </c>
      <c r="J339" s="157" t="n">
        <v>267601</v>
      </c>
      <c r="K339" s="157" t="n">
        <v>162067</v>
      </c>
      <c r="L339" s="157" t="n">
        <v>4003</v>
      </c>
      <c r="M339" s="16" t="n"/>
      <c r="N339" s="157" t="n">
        <v>119935.707</v>
      </c>
      <c r="O339" s="16" t="n"/>
      <c r="P339" s="16" t="n"/>
      <c r="Q339" s="17" t="n"/>
      <c r="R339" s="16" t="n"/>
      <c r="S339" s="16" t="n"/>
      <c r="T339" s="16" t="n"/>
      <c r="U339" s="16" t="n"/>
      <c r="V339" s="158" t="n"/>
      <c r="W339" s="16" t="n"/>
      <c r="X339" s="18" t="n"/>
      <c r="Y339" s="18" t="n"/>
      <c r="Z339" s="18" t="n"/>
      <c r="AA339" s="18" t="n"/>
      <c r="AB339" s="18" t="n"/>
      <c r="AC339" s="18" t="n"/>
      <c r="AD339" s="18" t="n"/>
      <c r="AE339" s="18" t="n"/>
      <c r="AF339" s="18" t="n"/>
      <c r="AG339" s="18" t="n"/>
      <c r="AH339" s="18" t="n"/>
      <c r="AI339" s="18" t="n"/>
    </row>
    <row r="340">
      <c r="A340" s="14" t="inlineStr">
        <is>
          <t>2021--</t>
        </is>
      </c>
      <c r="B340" s="15">
        <f>LEFT(creditcard[[#This Row],[YYYYMM]],4)</f>
        <v/>
      </c>
      <c r="C340" s="15">
        <f>RIGHT(creditcard[[#This Row],[YYYYMM]],2)</f>
        <v/>
      </c>
      <c r="D340" s="15">
        <f>IF(RIGHT(creditcard[[#This Row],[YYYYMM]],2)="--","--","Q"&amp;ROUNDUP(VALUE(RIGHT(creditcard[[#This Row],[YYYYMM]],2))/3,0))</f>
        <v/>
      </c>
      <c r="E340" s="10" t="n">
        <v>9</v>
      </c>
      <c r="F340" s="151" t="inlineStr">
        <is>
          <t>第一</t>
        </is>
      </c>
      <c r="G340" s="152" t="inlineStr">
        <is>
          <t>09 第一</t>
        </is>
      </c>
      <c r="H340" s="153" t="n">
        <v>1413713</v>
      </c>
      <c r="I340" s="153" t="n">
        <v>848636</v>
      </c>
      <c r="J340" s="153" t="n">
        <v>235268</v>
      </c>
      <c r="K340" s="153" t="n">
        <v>135920</v>
      </c>
      <c r="L340" s="153" t="n">
        <v>1503</v>
      </c>
      <c r="M340" s="11" t="n"/>
      <c r="N340" s="153" t="n">
        <v>56429</v>
      </c>
      <c r="O340" s="11" t="n"/>
      <c r="P340" s="11" t="n"/>
      <c r="Q340" s="12" t="n"/>
      <c r="R340" s="11" t="n"/>
      <c r="S340" s="11" t="n"/>
      <c r="T340" s="11" t="n"/>
      <c r="U340" s="11" t="n"/>
      <c r="V340" s="154" t="n"/>
      <c r="W340" s="11" t="n"/>
      <c r="X340" s="13" t="n"/>
      <c r="Y340" s="13" t="n"/>
      <c r="Z340" s="13" t="n"/>
      <c r="AA340" s="13" t="n"/>
      <c r="AB340" s="13" t="n"/>
      <c r="AC340" s="13" t="n"/>
      <c r="AD340" s="13" t="n"/>
      <c r="AE340" s="13" t="n"/>
      <c r="AF340" s="13" t="n"/>
      <c r="AG340" s="13" t="n"/>
      <c r="AH340" s="13" t="n"/>
      <c r="AI340" s="13" t="n"/>
    </row>
    <row r="341">
      <c r="A341" s="9" t="inlineStr">
        <is>
          <t>2021--</t>
        </is>
      </c>
      <c r="B341" s="10">
        <f>LEFT(creditcard[[#This Row],[YYYYMM]],4)</f>
        <v/>
      </c>
      <c r="C341" s="10">
        <f>RIGHT(creditcard[[#This Row],[YYYYMM]],2)</f>
        <v/>
      </c>
      <c r="D341" s="10">
        <f>IF(RIGHT(creditcard[[#This Row],[YYYYMM]],2)="--","--","Q"&amp;ROUNDUP(VALUE(RIGHT(creditcard[[#This Row],[YYYYMM]],2))/3,0))</f>
        <v/>
      </c>
      <c r="E341" s="15" t="n">
        <v>10</v>
      </c>
      <c r="F341" s="155" t="inlineStr">
        <is>
          <t>遠東</t>
        </is>
      </c>
      <c r="G341" s="156" t="inlineStr">
        <is>
          <t>10 遠東</t>
        </is>
      </c>
      <c r="H341" s="157" t="n">
        <v>1547948</v>
      </c>
      <c r="I341" s="157" t="n">
        <v>994110</v>
      </c>
      <c r="J341" s="157" t="n">
        <v>97792</v>
      </c>
      <c r="K341" s="157" t="n">
        <v>177983</v>
      </c>
      <c r="L341" s="157" t="n">
        <v>3775</v>
      </c>
      <c r="M341" s="16" t="n"/>
      <c r="N341" s="157" t="n">
        <v>48651.731</v>
      </c>
      <c r="O341" s="16" t="n"/>
      <c r="P341" s="16" t="n"/>
      <c r="Q341" s="17" t="n"/>
      <c r="R341" s="16" t="n"/>
      <c r="S341" s="16" t="n"/>
      <c r="T341" s="16" t="n"/>
      <c r="U341" s="16" t="n"/>
      <c r="V341" s="158" t="n"/>
      <c r="W341" s="16" t="n"/>
      <c r="X341" s="18" t="n"/>
      <c r="Y341" s="18" t="n"/>
      <c r="Z341" s="18" t="n"/>
      <c r="AA341" s="18" t="n"/>
      <c r="AB341" s="18" t="n"/>
      <c r="AC341" s="18" t="n"/>
      <c r="AD341" s="18" t="n"/>
      <c r="AE341" s="18" t="n"/>
      <c r="AF341" s="18" t="n"/>
      <c r="AG341" s="18" t="n"/>
      <c r="AH341" s="18" t="n"/>
      <c r="AI341" s="18" t="n"/>
    </row>
    <row r="342">
      <c r="A342" s="9" t="inlineStr">
        <is>
          <t>2021--</t>
        </is>
      </c>
      <c r="B342" s="10">
        <f>LEFT(creditcard[[#This Row],[YYYYMM]],4)</f>
        <v/>
      </c>
      <c r="C342" s="10">
        <f>RIGHT(creditcard[[#This Row],[YYYYMM]],2)</f>
        <v/>
      </c>
      <c r="D342" s="10">
        <f>IF(RIGHT(creditcard[[#This Row],[YYYYMM]],2)="--","--","Q"&amp;ROUNDUP(VALUE(RIGHT(creditcard[[#This Row],[YYYYMM]],2))/3,0))</f>
        <v/>
      </c>
      <c r="E342" s="10" t="n">
        <v>11</v>
      </c>
      <c r="F342" s="151" t="inlineStr">
        <is>
          <t>市場總計</t>
        </is>
      </c>
      <c r="G342" s="152" t="inlineStr">
        <is>
          <t>11 市場總計</t>
        </is>
      </c>
      <c r="H342" s="153" t="n">
        <v>52629916</v>
      </c>
      <c r="I342" s="153" t="n">
        <v>33794844</v>
      </c>
      <c r="J342" s="153" t="n">
        <v>5897094</v>
      </c>
      <c r="K342" s="153" t="n">
        <v>3586776</v>
      </c>
      <c r="L342" s="153" t="n">
        <v>101157</v>
      </c>
      <c r="M342" s="11" t="n"/>
      <c r="N342" s="153" t="n">
        <v>3107705.562</v>
      </c>
      <c r="O342" s="11" t="n"/>
      <c r="P342" s="11" t="n"/>
      <c r="Q342" s="12" t="n"/>
      <c r="R342" s="11" t="n"/>
      <c r="S342" s="11" t="n"/>
      <c r="T342" s="11" t="n"/>
      <c r="U342" s="11" t="n"/>
      <c r="V342" s="154" t="n">
        <v>4.4</v>
      </c>
      <c r="W342" s="11">
        <f>SUMIFS(H:H,A:A,creditcard[[#This Row],[YYYYMM]],G:G,creditcard[[#This Row],[Item]])</f>
        <v/>
      </c>
      <c r="X342" s="4">
        <f>IFERROR(SUMIFS(H:H,A:A,creditcard[[#This Row],[YYYYMM]],E:E,"&lt;=5")/creditcard[[#This Row],[市場總計]],"")</f>
        <v/>
      </c>
      <c r="Y342" s="4">
        <f>IFERROR(SUMIFS(H:H,A:A,creditcard[[#This Row],[YYYYMM]],E:E,"&lt;=10")/creditcard[[#This Row],[市場總計]],"")</f>
        <v/>
      </c>
      <c r="Z342" s="4">
        <f>IFERROR(SUMIFS(I:I,A:A,creditcard[[#This Row],[YYYYMM]],E:E,"&lt;=5")/creditcard[[#This Row],[有效卡數]],"")</f>
        <v/>
      </c>
      <c r="AA342" s="4">
        <f>IFERROR(SUMIFS(I:I,A:A,creditcard[[#This Row],[YYYYMM]],E:E,"&lt;=10")/creditcard[[#This Row],[有效卡數]],"")</f>
        <v/>
      </c>
      <c r="AB342" s="4">
        <f>IFERROR(SUMIFS(J:J,A:A,creditcard[[#This Row],[YYYYMM]],E:E,"&lt;=5")/creditcard[[#This Row],[當月發卡數]],"")</f>
        <v/>
      </c>
      <c r="AC342" s="4">
        <f>IFERROR(SUMIFS(J:J,A:A,creditcard[[#This Row],[YYYYMM]],E:E,"&lt;=10")/creditcard[[#This Row],[當月發卡數]],"")</f>
        <v/>
      </c>
      <c r="AD342" s="4">
        <f>IFERROR(SUMIFS(K:K,A:A,creditcard[[#This Row],[YYYYMM]],E:E,"&lt;=5")/creditcard[[#This Row],[當月停卡數]],"")</f>
        <v/>
      </c>
      <c r="AE342" s="4">
        <f>IFERROR(SUMIFS(K:K,A:A,creditcard[[#This Row],[YYYYMM]],E:E,"&lt;=10")/creditcard[[#This Row],[當月停卡數]],"")</f>
        <v/>
      </c>
      <c r="AF342" s="4">
        <f>IFERROR(SUMIFS(L:L,A:A,creditcard[[#This Row],[YYYYMM]],E:E,"&lt;=5")/creditcard[[#This Row],[循環信用餘額]],"")</f>
        <v/>
      </c>
      <c r="AG342" s="4">
        <f>IFERROR(SUMIFS(L:L,A:A,creditcard[[#This Row],[YYYYMM]],E:E,"&lt;=10")/creditcard[[#This Row],[循環信用餘額]],"")</f>
        <v/>
      </c>
      <c r="AH342" s="4">
        <f>IFERROR(SUMIFS(N:N,A:A,creditcard[[#This Row],[YYYYMM]],E:E,"&lt;=5")/creditcard[[#This Row],[當月簽帳金額]],"")</f>
        <v/>
      </c>
      <c r="AI342" s="4">
        <f>IFERROR(SUMIFS(N:N,A:A,creditcard[[#This Row],[YYYYMM]],E:E,"&lt;=10")/creditcard[[#This Row],[當月簽帳金額]],"")</f>
        <v/>
      </c>
    </row>
    <row r="343">
      <c r="A343" s="14" t="n">
        <v>202201</v>
      </c>
      <c r="B343" s="15">
        <f>LEFT(creditcard[[#This Row],[YYYYMM]],4)</f>
        <v/>
      </c>
      <c r="C343" s="15">
        <f>RIGHT(creditcard[[#This Row],[YYYYMM]],2)</f>
        <v/>
      </c>
      <c r="D343" s="15">
        <f>IF(RIGHT(creditcard[[#This Row],[YYYYMM]],2)="--","--","Q"&amp;ROUNDUP(VALUE(RIGHT(creditcard[[#This Row],[YYYYMM]],2))/3,0))</f>
        <v/>
      </c>
      <c r="E343" s="15" t="n">
        <v>1</v>
      </c>
      <c r="F343" s="155" t="inlineStr">
        <is>
          <t>中信</t>
        </is>
      </c>
      <c r="G343" s="156" t="inlineStr">
        <is>
          <t>01 中信</t>
        </is>
      </c>
      <c r="H343" s="157" t="n">
        <v>7892089</v>
      </c>
      <c r="I343" s="157" t="n">
        <v>4970945</v>
      </c>
      <c r="J343" s="157" t="n">
        <v>93720</v>
      </c>
      <c r="K343" s="157" t="n">
        <v>39200</v>
      </c>
      <c r="L343" s="157" t="n">
        <v>15185</v>
      </c>
      <c r="M343" s="16" t="n"/>
      <c r="N343" s="157" t="n">
        <v>40696</v>
      </c>
      <c r="O343" s="16" t="n"/>
      <c r="P343" s="16" t="n"/>
      <c r="Q343" s="17" t="n"/>
      <c r="R343" s="16" t="n"/>
      <c r="S343" s="16" t="n"/>
      <c r="T343" s="16" t="n"/>
      <c r="U343" s="16" t="n"/>
      <c r="V343" s="158" t="n"/>
      <c r="W343" s="16" t="n"/>
      <c r="X343" s="18" t="n"/>
      <c r="Y343" s="18" t="n"/>
      <c r="Z343" s="18" t="n"/>
      <c r="AA343" s="18" t="n"/>
      <c r="AB343" s="18" t="n"/>
      <c r="AC343" s="18" t="n"/>
      <c r="AD343" s="18" t="n"/>
      <c r="AE343" s="18" t="n"/>
      <c r="AF343" s="18" t="n"/>
      <c r="AG343" s="18" t="n"/>
      <c r="AH343" s="18" t="n"/>
      <c r="AI343" s="18" t="n"/>
    </row>
    <row r="344">
      <c r="A344" s="9" t="n">
        <v>202201</v>
      </c>
      <c r="B344" s="10">
        <f>LEFT(creditcard[[#This Row],[YYYYMM]],4)</f>
        <v/>
      </c>
      <c r="C344" s="10">
        <f>RIGHT(creditcard[[#This Row],[YYYYMM]],2)</f>
        <v/>
      </c>
      <c r="D344" s="10">
        <f>IF(RIGHT(creditcard[[#This Row],[YYYYMM]],2)="--","--","Q"&amp;ROUNDUP(VALUE(RIGHT(creditcard[[#This Row],[YYYYMM]],2))/3,0))</f>
        <v/>
      </c>
      <c r="E344" s="10" t="n">
        <v>2</v>
      </c>
      <c r="F344" s="151" t="inlineStr">
        <is>
          <t>富邦</t>
        </is>
      </c>
      <c r="G344" s="152" t="inlineStr">
        <is>
          <t>02 富邦</t>
        </is>
      </c>
      <c r="H344" s="153" t="n">
        <v>4302518</v>
      </c>
      <c r="I344" s="153" t="n">
        <v>2884044</v>
      </c>
      <c r="J344" s="153" t="n">
        <v>78954</v>
      </c>
      <c r="K344" s="153" t="n">
        <v>17883</v>
      </c>
      <c r="L344" s="153" t="n">
        <v>5861</v>
      </c>
      <c r="M344" s="11" t="n"/>
      <c r="N344" s="153" t="n">
        <v>28015</v>
      </c>
      <c r="O344" s="11" t="n"/>
      <c r="P344" s="11" t="n"/>
      <c r="Q344" s="12" t="n"/>
      <c r="R344" s="11" t="n"/>
      <c r="S344" s="11" t="n"/>
      <c r="T344" s="11" t="n"/>
      <c r="U344" s="11" t="n"/>
      <c r="V344" s="154" t="n"/>
      <c r="W344" s="11" t="n"/>
      <c r="X344" s="13" t="n"/>
      <c r="Y344" s="13" t="n"/>
      <c r="Z344" s="13" t="n"/>
      <c r="AA344" s="13" t="n"/>
      <c r="AB344" s="13" t="n"/>
      <c r="AC344" s="13" t="n"/>
      <c r="AD344" s="13" t="n"/>
      <c r="AE344" s="13" t="n"/>
      <c r="AF344" s="13" t="n"/>
      <c r="AG344" s="13" t="n"/>
      <c r="AH344" s="13" t="n"/>
      <c r="AI344" s="13" t="n"/>
    </row>
    <row r="345">
      <c r="A345" s="14" t="n">
        <v>202201</v>
      </c>
      <c r="B345" s="15">
        <f>LEFT(creditcard[[#This Row],[YYYYMM]],4)</f>
        <v/>
      </c>
      <c r="C345" s="15">
        <f>RIGHT(creditcard[[#This Row],[YYYYMM]],2)</f>
        <v/>
      </c>
      <c r="D345" s="15">
        <f>IF(RIGHT(creditcard[[#This Row],[YYYYMM]],2)="--","--","Q"&amp;ROUNDUP(VALUE(RIGHT(creditcard[[#This Row],[YYYYMM]],2))/3,0))</f>
        <v/>
      </c>
      <c r="E345" s="15" t="n">
        <v>3</v>
      </c>
      <c r="F345" s="155" t="inlineStr">
        <is>
          <t>國泰</t>
        </is>
      </c>
      <c r="G345" s="156" t="inlineStr">
        <is>
          <t>03 國泰</t>
        </is>
      </c>
      <c r="H345" s="157" t="n">
        <v>7632939</v>
      </c>
      <c r="I345" s="157" t="n">
        <v>5473151</v>
      </c>
      <c r="J345" s="157" t="n">
        <v>62701</v>
      </c>
      <c r="K345" s="157" t="n">
        <v>34218</v>
      </c>
      <c r="L345" s="157" t="n">
        <v>18304</v>
      </c>
      <c r="M345" s="16" t="n"/>
      <c r="N345" s="157" t="n">
        <v>42185</v>
      </c>
      <c r="O345" s="16" t="n"/>
      <c r="P345" s="16" t="n"/>
      <c r="Q345" s="17" t="n"/>
      <c r="R345" s="16" t="n"/>
      <c r="S345" s="16" t="n"/>
      <c r="T345" s="16" t="n"/>
      <c r="U345" s="16" t="n"/>
      <c r="V345" s="158" t="n"/>
      <c r="W345" s="16" t="n"/>
      <c r="X345" s="18" t="n"/>
      <c r="Y345" s="18" t="n"/>
      <c r="Z345" s="18" t="n"/>
      <c r="AA345" s="18" t="n"/>
      <c r="AB345" s="18" t="n"/>
      <c r="AC345" s="18" t="n"/>
      <c r="AD345" s="18" t="n"/>
      <c r="AE345" s="18" t="n"/>
      <c r="AF345" s="18" t="n"/>
      <c r="AG345" s="18" t="n"/>
      <c r="AH345" s="18" t="n"/>
      <c r="AI345" s="18" t="n"/>
    </row>
    <row r="346">
      <c r="A346" s="9" t="n">
        <v>202201</v>
      </c>
      <c r="B346" s="10">
        <f>LEFT(creditcard[[#This Row],[YYYYMM]],4)</f>
        <v/>
      </c>
      <c r="C346" s="10">
        <f>RIGHT(creditcard[[#This Row],[YYYYMM]],2)</f>
        <v/>
      </c>
      <c r="D346" s="10">
        <f>IF(RIGHT(creditcard[[#This Row],[YYYYMM]],2)="--","--","Q"&amp;ROUNDUP(VALUE(RIGHT(creditcard[[#This Row],[YYYYMM]],2))/3,0))</f>
        <v/>
      </c>
      <c r="E346" s="10" t="n">
        <v>4</v>
      </c>
      <c r="F346" s="151" t="inlineStr">
        <is>
          <t>玉山</t>
        </is>
      </c>
      <c r="G346" s="152" t="inlineStr">
        <is>
          <t>04 玉山</t>
        </is>
      </c>
      <c r="H346" s="153" t="n">
        <v>6642488</v>
      </c>
      <c r="I346" s="153" t="n">
        <v>4546221</v>
      </c>
      <c r="J346" s="153" t="n">
        <v>39663</v>
      </c>
      <c r="K346" s="153" t="n">
        <v>21261</v>
      </c>
      <c r="L346" s="153" t="n">
        <v>12586</v>
      </c>
      <c r="M346" s="11" t="n"/>
      <c r="N346" s="153" t="n">
        <v>38403</v>
      </c>
      <c r="O346" s="11" t="n"/>
      <c r="P346" s="11" t="n"/>
      <c r="Q346" s="12" t="n"/>
      <c r="R346" s="11" t="n"/>
      <c r="S346" s="11" t="n"/>
      <c r="T346" s="11" t="n"/>
      <c r="U346" s="11" t="n"/>
      <c r="V346" s="154" t="n"/>
      <c r="W346" s="11" t="n"/>
      <c r="X346" s="13" t="n"/>
      <c r="Y346" s="13" t="n"/>
      <c r="Z346" s="13" t="n"/>
      <c r="AA346" s="13" t="n"/>
      <c r="AB346" s="13" t="n"/>
      <c r="AC346" s="13" t="n"/>
      <c r="AD346" s="13" t="n"/>
      <c r="AE346" s="13" t="n"/>
      <c r="AF346" s="13" t="n"/>
      <c r="AG346" s="13" t="n"/>
      <c r="AH346" s="13" t="n"/>
      <c r="AI346" s="13" t="n"/>
    </row>
    <row r="347">
      <c r="A347" s="14" t="n">
        <v>202201</v>
      </c>
      <c r="B347" s="15">
        <f>LEFT(creditcard[[#This Row],[YYYYMM]],4)</f>
        <v/>
      </c>
      <c r="C347" s="15">
        <f>RIGHT(creditcard[[#This Row],[YYYYMM]],2)</f>
        <v/>
      </c>
      <c r="D347" s="15">
        <f>IF(RIGHT(creditcard[[#This Row],[YYYYMM]],2)="--","--","Q"&amp;ROUNDUP(VALUE(RIGHT(creditcard[[#This Row],[YYYYMM]],2))/3,0))</f>
        <v/>
      </c>
      <c r="E347" s="15" t="n">
        <v>5</v>
      </c>
      <c r="F347" s="155" t="inlineStr">
        <is>
          <t>台新</t>
        </is>
      </c>
      <c r="G347" s="156" t="inlineStr">
        <is>
          <t>05 台新</t>
        </is>
      </c>
      <c r="H347" s="157" t="n">
        <v>6078645</v>
      </c>
      <c r="I347" s="157" t="n">
        <v>4091774</v>
      </c>
      <c r="J347" s="157" t="n">
        <v>57429</v>
      </c>
      <c r="K347" s="157" t="n">
        <v>36854</v>
      </c>
      <c r="L347" s="157" t="n">
        <v>9981</v>
      </c>
      <c r="M347" s="16" t="n"/>
      <c r="N347" s="157" t="n">
        <v>30989</v>
      </c>
      <c r="O347" s="16" t="n"/>
      <c r="P347" s="16" t="n"/>
      <c r="Q347" s="17" t="n"/>
      <c r="R347" s="16" t="n"/>
      <c r="S347" s="16" t="n"/>
      <c r="T347" s="16" t="n"/>
      <c r="U347" s="16" t="n"/>
      <c r="V347" s="158" t="n"/>
      <c r="W347" s="16" t="n"/>
      <c r="X347" s="18" t="n"/>
      <c r="Y347" s="18" t="n"/>
      <c r="Z347" s="18" t="n"/>
      <c r="AA347" s="18" t="n"/>
      <c r="AB347" s="18" t="n"/>
      <c r="AC347" s="18" t="n"/>
      <c r="AD347" s="18" t="n"/>
      <c r="AE347" s="18" t="n"/>
      <c r="AF347" s="18" t="n"/>
      <c r="AG347" s="18" t="n"/>
      <c r="AH347" s="18" t="n"/>
      <c r="AI347" s="18" t="n"/>
    </row>
    <row r="348">
      <c r="A348" s="9" t="n">
        <v>202201</v>
      </c>
      <c r="B348" s="10">
        <f>LEFT(creditcard[[#This Row],[YYYYMM]],4)</f>
        <v/>
      </c>
      <c r="C348" s="10">
        <f>RIGHT(creditcard[[#This Row],[YYYYMM]],2)</f>
        <v/>
      </c>
      <c r="D348" s="10">
        <f>IF(RIGHT(creditcard[[#This Row],[YYYYMM]],2)="--","--","Q"&amp;ROUNDUP(VALUE(RIGHT(creditcard[[#This Row],[YYYYMM]],2))/3,0))</f>
        <v/>
      </c>
      <c r="E348" s="10" t="n">
        <v>6</v>
      </c>
      <c r="F348" s="151" t="inlineStr">
        <is>
          <t>星展</t>
        </is>
      </c>
      <c r="G348" s="152" t="inlineStr">
        <is>
          <t>06 星展</t>
        </is>
      </c>
      <c r="H348" s="153" t="n">
        <v>623023</v>
      </c>
      <c r="I348" s="153" t="n">
        <v>319111</v>
      </c>
      <c r="J348" s="153" t="n">
        <v>3624</v>
      </c>
      <c r="K348" s="153" t="n">
        <v>4109</v>
      </c>
      <c r="L348" s="153" t="n">
        <v>1278</v>
      </c>
      <c r="M348" s="11" t="n"/>
      <c r="N348" s="153" t="n">
        <v>3121</v>
      </c>
      <c r="O348" s="11" t="n"/>
      <c r="P348" s="11" t="n"/>
      <c r="Q348" s="12" t="n"/>
      <c r="R348" s="11" t="n"/>
      <c r="S348" s="11" t="n"/>
      <c r="T348" s="11" t="n"/>
      <c r="U348" s="11" t="n"/>
      <c r="V348" s="154" t="n"/>
      <c r="W348" s="11" t="n"/>
      <c r="X348" s="13" t="n"/>
      <c r="Y348" s="13" t="n"/>
      <c r="Z348" s="13" t="n"/>
      <c r="AA348" s="13" t="n"/>
      <c r="AB348" s="13" t="n"/>
      <c r="AC348" s="13" t="n"/>
      <c r="AD348" s="13" t="n"/>
      <c r="AE348" s="13" t="n"/>
      <c r="AF348" s="13" t="n"/>
      <c r="AG348" s="13" t="n"/>
      <c r="AH348" s="13" t="n"/>
      <c r="AI348" s="13" t="n"/>
    </row>
    <row r="349">
      <c r="A349" s="14" t="n">
        <v>202201</v>
      </c>
      <c r="B349" s="15">
        <f>LEFT(creditcard[[#This Row],[YYYYMM]],4)</f>
        <v/>
      </c>
      <c r="C349" s="15">
        <f>RIGHT(creditcard[[#This Row],[YYYYMM]],2)</f>
        <v/>
      </c>
      <c r="D349" s="15">
        <f>IF(RIGHT(creditcard[[#This Row],[YYYYMM]],2)="--","--","Q"&amp;ROUNDUP(VALUE(RIGHT(creditcard[[#This Row],[YYYYMM]],2))/3,0))</f>
        <v/>
      </c>
      <c r="E349" s="15" t="n">
        <v>7</v>
      </c>
      <c r="F349" s="155" t="inlineStr">
        <is>
          <t>聯邦</t>
        </is>
      </c>
      <c r="G349" s="156" t="inlineStr">
        <is>
          <t>07 聯邦</t>
        </is>
      </c>
      <c r="H349" s="157" t="n">
        <v>2272852</v>
      </c>
      <c r="I349" s="157" t="n">
        <v>1316680</v>
      </c>
      <c r="J349" s="157" t="n">
        <v>35129</v>
      </c>
      <c r="K349" s="157" t="n">
        <v>17726</v>
      </c>
      <c r="L349" s="157" t="n">
        <v>5257</v>
      </c>
      <c r="M349" s="16" t="n"/>
      <c r="N349" s="157" t="n">
        <v>9185</v>
      </c>
      <c r="O349" s="16" t="n"/>
      <c r="P349" s="16" t="n"/>
      <c r="Q349" s="17" t="n"/>
      <c r="R349" s="16" t="n"/>
      <c r="S349" s="16" t="n"/>
      <c r="T349" s="16" t="n"/>
      <c r="U349" s="16" t="n"/>
      <c r="V349" s="158" t="n"/>
      <c r="W349" s="16" t="n"/>
      <c r="X349" s="18" t="n"/>
      <c r="Y349" s="18" t="n"/>
      <c r="Z349" s="18" t="n"/>
      <c r="AA349" s="18" t="n"/>
      <c r="AB349" s="18" t="n"/>
      <c r="AC349" s="18" t="n"/>
      <c r="AD349" s="18" t="n"/>
      <c r="AE349" s="18" t="n"/>
      <c r="AF349" s="18" t="n"/>
      <c r="AG349" s="18" t="n"/>
      <c r="AH349" s="18" t="n"/>
      <c r="AI349" s="18" t="n"/>
    </row>
    <row r="350">
      <c r="A350" s="9" t="n">
        <v>202201</v>
      </c>
      <c r="B350" s="10">
        <f>LEFT(creditcard[[#This Row],[YYYYMM]],4)</f>
        <v/>
      </c>
      <c r="C350" s="10">
        <f>RIGHT(creditcard[[#This Row],[YYYYMM]],2)</f>
        <v/>
      </c>
      <c r="D350" s="10">
        <f>IF(RIGHT(creditcard[[#This Row],[YYYYMM]],2)="--","--","Q"&amp;ROUNDUP(VALUE(RIGHT(creditcard[[#This Row],[YYYYMM]],2))/3,0))</f>
        <v/>
      </c>
      <c r="E350" s="10" t="n">
        <v>8</v>
      </c>
      <c r="F350" s="151" t="inlineStr">
        <is>
          <t>永豐</t>
        </is>
      </c>
      <c r="G350" s="152" t="inlineStr">
        <is>
          <t>08 永豐</t>
        </is>
      </c>
      <c r="H350" s="153" t="n">
        <v>2181934</v>
      </c>
      <c r="I350" s="153" t="n">
        <v>1176951</v>
      </c>
      <c r="J350" s="153" t="n">
        <v>17712</v>
      </c>
      <c r="K350" s="153" t="n">
        <v>6675</v>
      </c>
      <c r="L350" s="153" t="n">
        <v>3996</v>
      </c>
      <c r="M350" s="11" t="n"/>
      <c r="N350" s="153" t="n">
        <v>11318</v>
      </c>
      <c r="O350" s="11" t="n"/>
      <c r="P350" s="11" t="n"/>
      <c r="Q350" s="12" t="n"/>
      <c r="R350" s="11" t="n"/>
      <c r="S350" s="11" t="n"/>
      <c r="T350" s="11" t="n"/>
      <c r="U350" s="11" t="n"/>
      <c r="V350" s="154" t="n"/>
      <c r="W350" s="11" t="n"/>
      <c r="X350" s="13" t="n"/>
      <c r="Y350" s="13" t="n"/>
      <c r="Z350" s="13" t="n"/>
      <c r="AA350" s="13" t="n"/>
      <c r="AB350" s="13" t="n"/>
      <c r="AC350" s="13" t="n"/>
      <c r="AD350" s="13" t="n"/>
      <c r="AE350" s="13" t="n"/>
      <c r="AF350" s="13" t="n"/>
      <c r="AG350" s="13" t="n"/>
      <c r="AH350" s="13" t="n"/>
      <c r="AI350" s="13" t="n"/>
    </row>
    <row r="351">
      <c r="A351" s="14" t="n">
        <v>202201</v>
      </c>
      <c r="B351" s="15">
        <f>LEFT(creditcard[[#This Row],[YYYYMM]],4)</f>
        <v/>
      </c>
      <c r="C351" s="15">
        <f>RIGHT(creditcard[[#This Row],[YYYYMM]],2)</f>
        <v/>
      </c>
      <c r="D351" s="15">
        <f>IF(RIGHT(creditcard[[#This Row],[YYYYMM]],2)="--","--","Q"&amp;ROUNDUP(VALUE(RIGHT(creditcard[[#This Row],[YYYYMM]],2))/3,0))</f>
        <v/>
      </c>
      <c r="E351" s="15" t="n">
        <v>9</v>
      </c>
      <c r="F351" s="155" t="inlineStr">
        <is>
          <t>第一</t>
        </is>
      </c>
      <c r="G351" s="156" t="inlineStr">
        <is>
          <t>09 第一</t>
        </is>
      </c>
      <c r="H351" s="157" t="n">
        <v>1427069</v>
      </c>
      <c r="I351" s="157" t="n">
        <v>861934</v>
      </c>
      <c r="J351" s="157" t="n">
        <v>20896</v>
      </c>
      <c r="K351" s="157" t="n">
        <v>10455</v>
      </c>
      <c r="L351" s="157" t="n">
        <v>1496</v>
      </c>
      <c r="M351" s="16" t="n"/>
      <c r="N351" s="157" t="n">
        <v>5102</v>
      </c>
      <c r="O351" s="16" t="n"/>
      <c r="P351" s="16" t="n"/>
      <c r="Q351" s="17" t="n"/>
      <c r="R351" s="16" t="n"/>
      <c r="S351" s="16" t="n"/>
      <c r="T351" s="16" t="n"/>
      <c r="U351" s="16" t="n"/>
      <c r="V351" s="158" t="n"/>
      <c r="W351" s="16" t="n"/>
      <c r="X351" s="18" t="n"/>
      <c r="Y351" s="18" t="n"/>
      <c r="Z351" s="18" t="n"/>
      <c r="AA351" s="18" t="n"/>
      <c r="AB351" s="18" t="n"/>
      <c r="AC351" s="18" t="n"/>
      <c r="AD351" s="18" t="n"/>
      <c r="AE351" s="18" t="n"/>
      <c r="AF351" s="18" t="n"/>
      <c r="AG351" s="18" t="n"/>
      <c r="AH351" s="18" t="n"/>
      <c r="AI351" s="18" t="n"/>
    </row>
    <row r="352">
      <c r="A352" s="9" t="n">
        <v>202201</v>
      </c>
      <c r="B352" s="10">
        <f>LEFT(creditcard[[#This Row],[YYYYMM]],4)</f>
        <v/>
      </c>
      <c r="C352" s="10">
        <f>RIGHT(creditcard[[#This Row],[YYYYMM]],2)</f>
        <v/>
      </c>
      <c r="D352" s="10">
        <f>IF(RIGHT(creditcard[[#This Row],[YYYYMM]],2)="--","--","Q"&amp;ROUNDUP(VALUE(RIGHT(creditcard[[#This Row],[YYYYMM]],2))/3,0))</f>
        <v/>
      </c>
      <c r="E352" s="10" t="n">
        <v>10</v>
      </c>
      <c r="F352" s="151" t="inlineStr">
        <is>
          <t>遠東</t>
        </is>
      </c>
      <c r="G352" s="152" t="inlineStr">
        <is>
          <t>10 遠東</t>
        </is>
      </c>
      <c r="H352" s="153" t="n">
        <v>1550073</v>
      </c>
      <c r="I352" s="153" t="n">
        <v>1003215</v>
      </c>
      <c r="J352" s="153" t="n">
        <v>9204</v>
      </c>
      <c r="K352" s="153" t="n">
        <v>7092</v>
      </c>
      <c r="L352" s="153" t="n">
        <v>3984</v>
      </c>
      <c r="M352" s="11" t="n"/>
      <c r="N352" s="153" t="n">
        <v>4388</v>
      </c>
      <c r="O352" s="11" t="n"/>
      <c r="P352" s="11" t="n"/>
      <c r="Q352" s="12" t="n"/>
      <c r="R352" s="11" t="n"/>
      <c r="S352" s="11" t="n"/>
      <c r="T352" s="11" t="n"/>
      <c r="U352" s="11" t="n"/>
      <c r="V352" s="154" t="n"/>
      <c r="W352" s="11" t="n"/>
      <c r="X352" s="13" t="n"/>
      <c r="Y352" s="13" t="n"/>
      <c r="Z352" s="13" t="n"/>
      <c r="AA352" s="13" t="n"/>
      <c r="AB352" s="13" t="n"/>
      <c r="AC352" s="13" t="n"/>
      <c r="AD352" s="13" t="n"/>
      <c r="AE352" s="13" t="n"/>
      <c r="AF352" s="13" t="n"/>
      <c r="AG352" s="13" t="n"/>
      <c r="AH352" s="13" t="n"/>
      <c r="AI352" s="13" t="n"/>
    </row>
    <row r="353">
      <c r="A353" s="14" t="n">
        <v>202201</v>
      </c>
      <c r="B353" s="15">
        <f>LEFT(creditcard[[#This Row],[YYYYMM]],4)</f>
        <v/>
      </c>
      <c r="C353" s="15">
        <f>RIGHT(creditcard[[#This Row],[YYYYMM]],2)</f>
        <v/>
      </c>
      <c r="D353" s="15">
        <f>IF(RIGHT(creditcard[[#This Row],[YYYYMM]],2)="--","--","Q"&amp;ROUNDUP(VALUE(RIGHT(creditcard[[#This Row],[YYYYMM]],2))/3,0))</f>
        <v/>
      </c>
      <c r="E353" s="15" t="n">
        <v>11</v>
      </c>
      <c r="F353" s="155" t="inlineStr">
        <is>
          <t>市場總計</t>
        </is>
      </c>
      <c r="G353" s="156" t="inlineStr">
        <is>
          <t>11 市場總計</t>
        </is>
      </c>
      <c r="H353" s="157" t="n">
        <v>52853092</v>
      </c>
      <c r="I353" s="157" t="n">
        <v>33973211</v>
      </c>
      <c r="J353" s="157" t="n">
        <v>517610</v>
      </c>
      <c r="K353" s="157" t="n">
        <v>304454</v>
      </c>
      <c r="L353" s="157" t="n">
        <v>101535</v>
      </c>
      <c r="M353" s="16" t="n"/>
      <c r="N353" s="157" t="n">
        <v>272108</v>
      </c>
      <c r="O353" s="16" t="n"/>
      <c r="P353" s="16" t="n"/>
      <c r="Q353" s="17" t="n"/>
      <c r="R353" s="16" t="n"/>
      <c r="S353" s="16" t="n"/>
      <c r="T353" s="16" t="n"/>
      <c r="U353" s="16" t="n"/>
      <c r="V353" s="158" t="n">
        <v>4.41</v>
      </c>
      <c r="W353" s="16">
        <f>SUMIFS(H:H,A:A,creditcard[[#This Row],[YYYYMM]],G:G,creditcard[[#This Row],[Item]])</f>
        <v/>
      </c>
      <c r="X353" s="4">
        <f>IFERROR(SUMIFS(H:H,A:A,creditcard[[#This Row],[YYYYMM]],E:E,"&lt;=5")/creditcard[[#This Row],[市場總計]],"")</f>
        <v/>
      </c>
      <c r="Y353" s="4">
        <f>IFERROR(SUMIFS(H:H,A:A,creditcard[[#This Row],[YYYYMM]],E:E,"&lt;=10")/creditcard[[#This Row],[市場總計]],"")</f>
        <v/>
      </c>
      <c r="Z353" s="4">
        <f>IFERROR(SUMIFS(I:I,A:A,creditcard[[#This Row],[YYYYMM]],E:E,"&lt;=5")/creditcard[[#This Row],[有效卡數]],"")</f>
        <v/>
      </c>
      <c r="AA353" s="4">
        <f>IFERROR(SUMIFS(I:I,A:A,creditcard[[#This Row],[YYYYMM]],E:E,"&lt;=10")/creditcard[[#This Row],[有效卡數]],"")</f>
        <v/>
      </c>
      <c r="AB353" s="4">
        <f>IFERROR(SUMIFS(J:J,A:A,creditcard[[#This Row],[YYYYMM]],E:E,"&lt;=5")/creditcard[[#This Row],[當月發卡數]],"")</f>
        <v/>
      </c>
      <c r="AC353" s="4">
        <f>IFERROR(SUMIFS(J:J,A:A,creditcard[[#This Row],[YYYYMM]],E:E,"&lt;=10")/creditcard[[#This Row],[當月發卡數]],"")</f>
        <v/>
      </c>
      <c r="AD353" s="4">
        <f>IFERROR(SUMIFS(K:K,A:A,creditcard[[#This Row],[YYYYMM]],E:E,"&lt;=5")/creditcard[[#This Row],[當月停卡數]],"")</f>
        <v/>
      </c>
      <c r="AE353" s="4">
        <f>IFERROR(SUMIFS(K:K,A:A,creditcard[[#This Row],[YYYYMM]],E:E,"&lt;=10")/creditcard[[#This Row],[當月停卡數]],"")</f>
        <v/>
      </c>
      <c r="AF353" s="4">
        <f>IFERROR(SUMIFS(L:L,A:A,creditcard[[#This Row],[YYYYMM]],E:E,"&lt;=5")/creditcard[[#This Row],[循環信用餘額]],"")</f>
        <v/>
      </c>
      <c r="AG353" s="4">
        <f>IFERROR(SUMIFS(L:L,A:A,creditcard[[#This Row],[YYYYMM]],E:E,"&lt;=10")/creditcard[[#This Row],[循環信用餘額]],"")</f>
        <v/>
      </c>
      <c r="AH353" s="4">
        <f>IFERROR(SUMIFS(N:N,A:A,creditcard[[#This Row],[YYYYMM]],E:E,"&lt;=5")/creditcard[[#This Row],[當月簽帳金額]],"")</f>
        <v/>
      </c>
      <c r="AI353" s="4">
        <f>IFERROR(SUMIFS(N:N,A:A,creditcard[[#This Row],[YYYYMM]],E:E,"&lt;=10")/creditcard[[#This Row],[當月簽帳金額]],"")</f>
        <v/>
      </c>
    </row>
    <row r="354">
      <c r="A354" s="9" t="n">
        <v>202202</v>
      </c>
      <c r="B354" s="10">
        <f>LEFT(creditcard[[#This Row],[YYYYMM]],4)</f>
        <v/>
      </c>
      <c r="C354" s="10">
        <f>RIGHT(creditcard[[#This Row],[YYYYMM]],2)</f>
        <v/>
      </c>
      <c r="D354" s="10">
        <f>IF(RIGHT(creditcard[[#This Row],[YYYYMM]],2)="--","--","Q"&amp;ROUNDUP(VALUE(RIGHT(creditcard[[#This Row],[YYYYMM]],2))/3,0))</f>
        <v/>
      </c>
      <c r="E354" s="10" t="n">
        <v>1</v>
      </c>
      <c r="F354" s="151" t="inlineStr">
        <is>
          <t>中信</t>
        </is>
      </c>
      <c r="G354" s="152" t="inlineStr">
        <is>
          <t>01 中信</t>
        </is>
      </c>
      <c r="H354" s="153" t="n">
        <v>7924984</v>
      </c>
      <c r="I354" s="153" t="n">
        <v>4975985</v>
      </c>
      <c r="J354" s="153" t="n">
        <v>72212</v>
      </c>
      <c r="K354" s="153" t="n">
        <v>39317</v>
      </c>
      <c r="L354" s="153" t="n">
        <v>15048</v>
      </c>
      <c r="M354" s="11" t="n"/>
      <c r="N354" s="153" t="n">
        <v>36799</v>
      </c>
      <c r="O354" s="11" t="n"/>
      <c r="P354" s="11" t="n"/>
      <c r="Q354" s="12" t="n"/>
      <c r="R354" s="11" t="n"/>
      <c r="S354" s="11" t="n"/>
      <c r="T354" s="11" t="n"/>
      <c r="U354" s="11" t="n"/>
      <c r="V354" s="154" t="n"/>
      <c r="W354" s="11" t="n"/>
      <c r="X354" s="13" t="n"/>
      <c r="Y354" s="13" t="n"/>
      <c r="Z354" s="13" t="n"/>
      <c r="AA354" s="13" t="n"/>
      <c r="AB354" s="13" t="n"/>
      <c r="AC354" s="13" t="n"/>
      <c r="AD354" s="13" t="n"/>
      <c r="AE354" s="13" t="n"/>
      <c r="AF354" s="13" t="n"/>
      <c r="AG354" s="13" t="n"/>
      <c r="AH354" s="13" t="n"/>
      <c r="AI354" s="13" t="n"/>
    </row>
    <row r="355">
      <c r="A355" s="14" t="n">
        <v>202202</v>
      </c>
      <c r="B355" s="15">
        <f>LEFT(creditcard[[#This Row],[YYYYMM]],4)</f>
        <v/>
      </c>
      <c r="C355" s="15">
        <f>RIGHT(creditcard[[#This Row],[YYYYMM]],2)</f>
        <v/>
      </c>
      <c r="D355" s="15">
        <f>IF(RIGHT(creditcard[[#This Row],[YYYYMM]],2)="--","--","Q"&amp;ROUNDUP(VALUE(RIGHT(creditcard[[#This Row],[YYYYMM]],2))/3,0))</f>
        <v/>
      </c>
      <c r="E355" s="15" t="n">
        <v>2</v>
      </c>
      <c r="F355" s="155" t="inlineStr">
        <is>
          <t>富邦</t>
        </is>
      </c>
      <c r="G355" s="156" t="inlineStr">
        <is>
          <t>02 富邦</t>
        </is>
      </c>
      <c r="H355" s="157" t="n">
        <v>4353406</v>
      </c>
      <c r="I355" s="157" t="n">
        <v>2913295</v>
      </c>
      <c r="J355" s="157" t="n">
        <v>64693</v>
      </c>
      <c r="K355" s="157" t="n">
        <v>13805</v>
      </c>
      <c r="L355" s="157" t="n">
        <v>5760</v>
      </c>
      <c r="M355" s="16" t="n"/>
      <c r="N355" s="157" t="n">
        <v>21464</v>
      </c>
      <c r="O355" s="16" t="n"/>
      <c r="P355" s="16" t="n"/>
      <c r="Q355" s="17" t="n"/>
      <c r="R355" s="16" t="n"/>
      <c r="S355" s="16" t="n"/>
      <c r="T355" s="16" t="n"/>
      <c r="U355" s="16" t="n"/>
      <c r="V355" s="158" t="n"/>
      <c r="W355" s="16" t="n"/>
      <c r="X355" s="18" t="n"/>
      <c r="Y355" s="18" t="n"/>
      <c r="Z355" s="18" t="n"/>
      <c r="AA355" s="18" t="n"/>
      <c r="AB355" s="18" t="n"/>
      <c r="AC355" s="18" t="n"/>
      <c r="AD355" s="18" t="n"/>
      <c r="AE355" s="18" t="n"/>
      <c r="AF355" s="18" t="n"/>
      <c r="AG355" s="18" t="n"/>
      <c r="AH355" s="18" t="n"/>
      <c r="AI355" s="18" t="n"/>
    </row>
    <row r="356">
      <c r="A356" s="9" t="n">
        <v>202202</v>
      </c>
      <c r="B356" s="10">
        <f>LEFT(creditcard[[#This Row],[YYYYMM]],4)</f>
        <v/>
      </c>
      <c r="C356" s="10">
        <f>RIGHT(creditcard[[#This Row],[YYYYMM]],2)</f>
        <v/>
      </c>
      <c r="D356" s="10">
        <f>IF(RIGHT(creditcard[[#This Row],[YYYYMM]],2)="--","--","Q"&amp;ROUNDUP(VALUE(RIGHT(creditcard[[#This Row],[YYYYMM]],2))/3,0))</f>
        <v/>
      </c>
      <c r="E356" s="10" t="n">
        <v>3</v>
      </c>
      <c r="F356" s="151" t="inlineStr">
        <is>
          <t>國泰</t>
        </is>
      </c>
      <c r="G356" s="152" t="inlineStr">
        <is>
          <t>03 國泰</t>
        </is>
      </c>
      <c r="H356" s="153" t="n">
        <v>7654624</v>
      </c>
      <c r="I356" s="153" t="n">
        <v>5467813</v>
      </c>
      <c r="J356" s="153" t="n">
        <v>49233</v>
      </c>
      <c r="K356" s="153" t="n">
        <v>27548</v>
      </c>
      <c r="L356" s="153" t="n">
        <v>17766</v>
      </c>
      <c r="M356" s="11" t="n"/>
      <c r="N356" s="153" t="n">
        <v>37315</v>
      </c>
      <c r="O356" s="11" t="n"/>
      <c r="P356" s="11" t="n"/>
      <c r="Q356" s="12" t="n"/>
      <c r="R356" s="11" t="n"/>
      <c r="S356" s="11" t="n"/>
      <c r="T356" s="11" t="n"/>
      <c r="U356" s="11" t="n"/>
      <c r="V356" s="154" t="n"/>
      <c r="W356" s="11" t="n"/>
      <c r="X356" s="13" t="n"/>
      <c r="Y356" s="13" t="n"/>
      <c r="Z356" s="13" t="n"/>
      <c r="AA356" s="13" t="n"/>
      <c r="AB356" s="13" t="n"/>
      <c r="AC356" s="13" t="n"/>
      <c r="AD356" s="13" t="n"/>
      <c r="AE356" s="13" t="n"/>
      <c r="AF356" s="13" t="n"/>
      <c r="AG356" s="13" t="n"/>
      <c r="AH356" s="13" t="n"/>
      <c r="AI356" s="13" t="n"/>
    </row>
    <row r="357">
      <c r="A357" s="14" t="n">
        <v>202202</v>
      </c>
      <c r="B357" s="15">
        <f>LEFT(creditcard[[#This Row],[YYYYMM]],4)</f>
        <v/>
      </c>
      <c r="C357" s="15">
        <f>RIGHT(creditcard[[#This Row],[YYYYMM]],2)</f>
        <v/>
      </c>
      <c r="D357" s="15">
        <f>IF(RIGHT(creditcard[[#This Row],[YYYYMM]],2)="--","--","Q"&amp;ROUNDUP(VALUE(RIGHT(creditcard[[#This Row],[YYYYMM]],2))/3,0))</f>
        <v/>
      </c>
      <c r="E357" s="15" t="n">
        <v>4</v>
      </c>
      <c r="F357" s="155" t="inlineStr">
        <is>
          <t>玉山</t>
        </is>
      </c>
      <c r="G357" s="156" t="inlineStr">
        <is>
          <t>04 玉山</t>
        </is>
      </c>
      <c r="H357" s="157" t="n">
        <v>6651751</v>
      </c>
      <c r="I357" s="157" t="n">
        <v>4539338</v>
      </c>
      <c r="J357" s="157" t="n">
        <v>27888</v>
      </c>
      <c r="K357" s="157" t="n">
        <v>18625</v>
      </c>
      <c r="L357" s="157" t="n">
        <v>12178</v>
      </c>
      <c r="M357" s="16" t="n"/>
      <c r="N357" s="157" t="n">
        <v>32133</v>
      </c>
      <c r="O357" s="16" t="n"/>
      <c r="P357" s="16" t="n"/>
      <c r="Q357" s="17" t="n"/>
      <c r="R357" s="16" t="n"/>
      <c r="S357" s="16" t="n"/>
      <c r="T357" s="16" t="n"/>
      <c r="U357" s="16" t="n"/>
      <c r="V357" s="158" t="n"/>
      <c r="W357" s="16" t="n"/>
      <c r="X357" s="18" t="n"/>
      <c r="Y357" s="18" t="n"/>
      <c r="Z357" s="18" t="n"/>
      <c r="AA357" s="18" t="n"/>
      <c r="AB357" s="18" t="n"/>
      <c r="AC357" s="18" t="n"/>
      <c r="AD357" s="18" t="n"/>
      <c r="AE357" s="18" t="n"/>
      <c r="AF357" s="18" t="n"/>
      <c r="AG357" s="18" t="n"/>
      <c r="AH357" s="18" t="n"/>
      <c r="AI357" s="18" t="n"/>
    </row>
    <row r="358">
      <c r="A358" s="9" t="n">
        <v>202202</v>
      </c>
      <c r="B358" s="10">
        <f>LEFT(creditcard[[#This Row],[YYYYMM]],4)</f>
        <v/>
      </c>
      <c r="C358" s="10">
        <f>RIGHT(creditcard[[#This Row],[YYYYMM]],2)</f>
        <v/>
      </c>
      <c r="D358" s="10">
        <f>IF(RIGHT(creditcard[[#This Row],[YYYYMM]],2)="--","--","Q"&amp;ROUNDUP(VALUE(RIGHT(creditcard[[#This Row],[YYYYMM]],2))/3,0))</f>
        <v/>
      </c>
      <c r="E358" s="10" t="n">
        <v>5</v>
      </c>
      <c r="F358" s="151" t="inlineStr">
        <is>
          <t>台新</t>
        </is>
      </c>
      <c r="G358" s="152" t="inlineStr">
        <is>
          <t>05 台新</t>
        </is>
      </c>
      <c r="H358" s="153" t="n">
        <v>6081682</v>
      </c>
      <c r="I358" s="153" t="n">
        <v>4088018</v>
      </c>
      <c r="J358" s="153" t="n">
        <v>43068</v>
      </c>
      <c r="K358" s="153" t="n">
        <v>40031</v>
      </c>
      <c r="L358" s="153" t="n">
        <v>9931</v>
      </c>
      <c r="M358" s="11" t="n"/>
      <c r="N358" s="153" t="n">
        <v>25950</v>
      </c>
      <c r="O358" s="11" t="n"/>
      <c r="P358" s="11" t="n"/>
      <c r="Q358" s="12" t="n"/>
      <c r="R358" s="11" t="n"/>
      <c r="S358" s="11" t="n"/>
      <c r="T358" s="11" t="n"/>
      <c r="U358" s="11" t="n"/>
      <c r="V358" s="154" t="n"/>
      <c r="W358" s="11" t="n"/>
      <c r="X358" s="13" t="n"/>
      <c r="Y358" s="13" t="n"/>
      <c r="Z358" s="13" t="n"/>
      <c r="AA358" s="13" t="n"/>
      <c r="AB358" s="13" t="n"/>
      <c r="AC358" s="13" t="n"/>
      <c r="AD358" s="13" t="n"/>
      <c r="AE358" s="13" t="n"/>
      <c r="AF358" s="13" t="n"/>
      <c r="AG358" s="13" t="n"/>
      <c r="AH358" s="13" t="n"/>
      <c r="AI358" s="13" t="n"/>
    </row>
    <row r="359">
      <c r="A359" s="14" t="n">
        <v>202202</v>
      </c>
      <c r="B359" s="15">
        <f>LEFT(creditcard[[#This Row],[YYYYMM]],4)</f>
        <v/>
      </c>
      <c r="C359" s="15">
        <f>RIGHT(creditcard[[#This Row],[YYYYMM]],2)</f>
        <v/>
      </c>
      <c r="D359" s="15">
        <f>IF(RIGHT(creditcard[[#This Row],[YYYYMM]],2)="--","--","Q"&amp;ROUNDUP(VALUE(RIGHT(creditcard[[#This Row],[YYYYMM]],2))/3,0))</f>
        <v/>
      </c>
      <c r="E359" s="15" t="n">
        <v>6</v>
      </c>
      <c r="F359" s="155" t="inlineStr">
        <is>
          <t>星展</t>
        </is>
      </c>
      <c r="G359" s="156" t="inlineStr">
        <is>
          <t>06 星展</t>
        </is>
      </c>
      <c r="H359" s="157" t="n">
        <v>624813</v>
      </c>
      <c r="I359" s="157" t="n">
        <v>319011</v>
      </c>
      <c r="J359" s="157" t="n">
        <v>5051</v>
      </c>
      <c r="K359" s="157" t="n">
        <v>2942</v>
      </c>
      <c r="L359" s="157" t="n">
        <v>1326</v>
      </c>
      <c r="M359" s="16" t="n"/>
      <c r="N359" s="157" t="n">
        <v>2586</v>
      </c>
      <c r="O359" s="16" t="n"/>
      <c r="P359" s="16" t="n"/>
      <c r="Q359" s="17" t="n"/>
      <c r="R359" s="16" t="n"/>
      <c r="S359" s="16" t="n"/>
      <c r="T359" s="16" t="n"/>
      <c r="U359" s="16" t="n"/>
      <c r="V359" s="158" t="n"/>
      <c r="W359" s="16" t="n"/>
      <c r="X359" s="18" t="n"/>
      <c r="Y359" s="18" t="n"/>
      <c r="Z359" s="18" t="n"/>
      <c r="AA359" s="18" t="n"/>
      <c r="AB359" s="18" t="n"/>
      <c r="AC359" s="18" t="n"/>
      <c r="AD359" s="18" t="n"/>
      <c r="AE359" s="18" t="n"/>
      <c r="AF359" s="18" t="n"/>
      <c r="AG359" s="18" t="n"/>
      <c r="AH359" s="18" t="n"/>
      <c r="AI359" s="18" t="n"/>
    </row>
    <row r="360">
      <c r="A360" s="9" t="n">
        <v>202202</v>
      </c>
      <c r="B360" s="10">
        <f>LEFT(creditcard[[#This Row],[YYYYMM]],4)</f>
        <v/>
      </c>
      <c r="C360" s="10">
        <f>RIGHT(creditcard[[#This Row],[YYYYMM]],2)</f>
        <v/>
      </c>
      <c r="D360" s="10">
        <f>IF(RIGHT(creditcard[[#This Row],[YYYYMM]],2)="--","--","Q"&amp;ROUNDUP(VALUE(RIGHT(creditcard[[#This Row],[YYYYMM]],2))/3,0))</f>
        <v/>
      </c>
      <c r="E360" s="10" t="n">
        <v>7</v>
      </c>
      <c r="F360" s="151" t="inlineStr">
        <is>
          <t>聯邦</t>
        </is>
      </c>
      <c r="G360" s="152" t="inlineStr">
        <is>
          <t>07 聯邦</t>
        </is>
      </c>
      <c r="H360" s="153" t="n">
        <v>2282444</v>
      </c>
      <c r="I360" s="153" t="n">
        <v>1327664</v>
      </c>
      <c r="J360" s="153" t="n">
        <v>23031</v>
      </c>
      <c r="K360" s="153" t="n">
        <v>13439</v>
      </c>
      <c r="L360" s="153" t="n">
        <v>5225</v>
      </c>
      <c r="M360" s="11" t="n"/>
      <c r="N360" s="153" t="n">
        <v>7673</v>
      </c>
      <c r="O360" s="11" t="n"/>
      <c r="P360" s="11" t="n"/>
      <c r="Q360" s="12" t="n"/>
      <c r="R360" s="11" t="n"/>
      <c r="S360" s="11" t="n"/>
      <c r="T360" s="11" t="n"/>
      <c r="U360" s="11" t="n"/>
      <c r="V360" s="154" t="n"/>
      <c r="W360" s="11" t="n"/>
      <c r="X360" s="13" t="n"/>
      <c r="Y360" s="13" t="n"/>
      <c r="Z360" s="13" t="n"/>
      <c r="AA360" s="13" t="n"/>
      <c r="AB360" s="13" t="n"/>
      <c r="AC360" s="13" t="n"/>
      <c r="AD360" s="13" t="n"/>
      <c r="AE360" s="13" t="n"/>
      <c r="AF360" s="13" t="n"/>
      <c r="AG360" s="13" t="n"/>
      <c r="AH360" s="13" t="n"/>
      <c r="AI360" s="13" t="n"/>
    </row>
    <row r="361">
      <c r="A361" s="14" t="n">
        <v>202202</v>
      </c>
      <c r="B361" s="15">
        <f>LEFT(creditcard[[#This Row],[YYYYMM]],4)</f>
        <v/>
      </c>
      <c r="C361" s="15">
        <f>RIGHT(creditcard[[#This Row],[YYYYMM]],2)</f>
        <v/>
      </c>
      <c r="D361" s="15">
        <f>IF(RIGHT(creditcard[[#This Row],[YYYYMM]],2)="--","--","Q"&amp;ROUNDUP(VALUE(RIGHT(creditcard[[#This Row],[YYYYMM]],2))/3,0))</f>
        <v/>
      </c>
      <c r="E361" s="15" t="n">
        <v>8</v>
      </c>
      <c r="F361" s="155" t="inlineStr">
        <is>
          <t>永豐</t>
        </is>
      </c>
      <c r="G361" s="156" t="inlineStr">
        <is>
          <t>08 永豐</t>
        </is>
      </c>
      <c r="H361" s="157" t="n">
        <v>2193650</v>
      </c>
      <c r="I361" s="157" t="n">
        <v>1175117</v>
      </c>
      <c r="J361" s="157" t="n">
        <v>17119</v>
      </c>
      <c r="K361" s="157" t="n">
        <v>5540</v>
      </c>
      <c r="L361" s="157" t="n">
        <v>3955</v>
      </c>
      <c r="M361" s="16" t="n"/>
      <c r="N361" s="157" t="n">
        <v>8757</v>
      </c>
      <c r="O361" s="16" t="n"/>
      <c r="P361" s="16" t="n"/>
      <c r="Q361" s="17" t="n"/>
      <c r="R361" s="16" t="n"/>
      <c r="S361" s="16" t="n"/>
      <c r="T361" s="16" t="n"/>
      <c r="U361" s="16" t="n"/>
      <c r="V361" s="158" t="n"/>
      <c r="W361" s="16" t="n"/>
      <c r="X361" s="18" t="n"/>
      <c r="Y361" s="18" t="n"/>
      <c r="Z361" s="18" t="n"/>
      <c r="AA361" s="18" t="n"/>
      <c r="AB361" s="18" t="n"/>
      <c r="AC361" s="18" t="n"/>
      <c r="AD361" s="18" t="n"/>
      <c r="AE361" s="18" t="n"/>
      <c r="AF361" s="18" t="n"/>
      <c r="AG361" s="18" t="n"/>
      <c r="AH361" s="18" t="n"/>
      <c r="AI361" s="18" t="n"/>
    </row>
    <row r="362">
      <c r="A362" s="9" t="n">
        <v>202202</v>
      </c>
      <c r="B362" s="10">
        <f>LEFT(creditcard[[#This Row],[YYYYMM]],4)</f>
        <v/>
      </c>
      <c r="C362" s="10">
        <f>RIGHT(creditcard[[#This Row],[YYYYMM]],2)</f>
        <v/>
      </c>
      <c r="D362" s="10">
        <f>IF(RIGHT(creditcard[[#This Row],[YYYYMM]],2)="--","--","Q"&amp;ROUNDUP(VALUE(RIGHT(creditcard[[#This Row],[YYYYMM]],2))/3,0))</f>
        <v/>
      </c>
      <c r="E362" s="10" t="n">
        <v>9</v>
      </c>
      <c r="F362" s="151" t="inlineStr">
        <is>
          <t>第一</t>
        </is>
      </c>
      <c r="G362" s="152" t="inlineStr">
        <is>
          <t>09 第一</t>
        </is>
      </c>
      <c r="H362" s="153" t="n">
        <v>1435184</v>
      </c>
      <c r="I362" s="153" t="n">
        <v>864745</v>
      </c>
      <c r="J362" s="153" t="n">
        <v>13892</v>
      </c>
      <c r="K362" s="153" t="n">
        <v>8121</v>
      </c>
      <c r="L362" s="153" t="n">
        <v>1488</v>
      </c>
      <c r="M362" s="11" t="n"/>
      <c r="N362" s="153" t="n">
        <v>4401</v>
      </c>
      <c r="O362" s="11" t="n"/>
      <c r="P362" s="11" t="n"/>
      <c r="Q362" s="12" t="n"/>
      <c r="R362" s="11" t="n"/>
      <c r="S362" s="11" t="n"/>
      <c r="T362" s="11" t="n"/>
      <c r="U362" s="11" t="n"/>
      <c r="V362" s="154" t="n"/>
      <c r="W362" s="11" t="n"/>
      <c r="X362" s="13" t="n"/>
      <c r="Y362" s="13" t="n"/>
      <c r="Z362" s="13" t="n"/>
      <c r="AA362" s="13" t="n"/>
      <c r="AB362" s="13" t="n"/>
      <c r="AC362" s="13" t="n"/>
      <c r="AD362" s="13" t="n"/>
      <c r="AE362" s="13" t="n"/>
      <c r="AF362" s="13" t="n"/>
      <c r="AG362" s="13" t="n"/>
      <c r="AH362" s="13" t="n"/>
      <c r="AI362" s="13" t="n"/>
    </row>
    <row r="363">
      <c r="A363" s="14" t="n">
        <v>202202</v>
      </c>
      <c r="B363" s="15">
        <f>LEFT(creditcard[[#This Row],[YYYYMM]],4)</f>
        <v/>
      </c>
      <c r="C363" s="15">
        <f>RIGHT(creditcard[[#This Row],[YYYYMM]],2)</f>
        <v/>
      </c>
      <c r="D363" s="15">
        <f>IF(RIGHT(creditcard[[#This Row],[YYYYMM]],2)="--","--","Q"&amp;ROUNDUP(VALUE(RIGHT(creditcard[[#This Row],[YYYYMM]],2))/3,0))</f>
        <v/>
      </c>
      <c r="E363" s="15" t="n">
        <v>10</v>
      </c>
      <c r="F363" s="155" t="inlineStr">
        <is>
          <t>遠東</t>
        </is>
      </c>
      <c r="G363" s="156" t="inlineStr">
        <is>
          <t>10 遠東</t>
        </is>
      </c>
      <c r="H363" s="157" t="n">
        <v>1554848</v>
      </c>
      <c r="I363" s="157" t="n">
        <v>1002306</v>
      </c>
      <c r="J363" s="157" t="n">
        <v>10302</v>
      </c>
      <c r="K363" s="157" t="n">
        <v>5543</v>
      </c>
      <c r="L363" s="157" t="n">
        <v>3794</v>
      </c>
      <c r="M363" s="16" t="n"/>
      <c r="N363" s="157" t="n">
        <v>3683</v>
      </c>
      <c r="O363" s="16" t="n"/>
      <c r="P363" s="16" t="n"/>
      <c r="Q363" s="17" t="n"/>
      <c r="R363" s="16" t="n"/>
      <c r="S363" s="16" t="n"/>
      <c r="T363" s="16" t="n"/>
      <c r="U363" s="16" t="n"/>
      <c r="V363" s="158" t="n"/>
      <c r="W363" s="16" t="n"/>
      <c r="X363" s="18" t="n"/>
      <c r="Y363" s="18" t="n"/>
      <c r="Z363" s="18" t="n"/>
      <c r="AA363" s="18" t="n"/>
      <c r="AB363" s="18" t="n"/>
      <c r="AC363" s="18" t="n"/>
      <c r="AD363" s="18" t="n"/>
      <c r="AE363" s="18" t="n"/>
      <c r="AF363" s="18" t="n"/>
      <c r="AG363" s="18" t="n"/>
      <c r="AH363" s="18" t="n"/>
      <c r="AI363" s="18" t="n"/>
    </row>
    <row r="364">
      <c r="A364" s="9" t="n">
        <v>202202</v>
      </c>
      <c r="B364" s="10">
        <f>LEFT(creditcard[[#This Row],[YYYYMM]],4)</f>
        <v/>
      </c>
      <c r="C364" s="10">
        <f>RIGHT(creditcard[[#This Row],[YYYYMM]],2)</f>
        <v/>
      </c>
      <c r="D364" s="10">
        <f>IF(RIGHT(creditcard[[#This Row],[YYYYMM]],2)="--","--","Q"&amp;ROUNDUP(VALUE(RIGHT(creditcard[[#This Row],[YYYYMM]],2))/3,0))</f>
        <v/>
      </c>
      <c r="E364" s="10" t="n">
        <v>11</v>
      </c>
      <c r="F364" s="151" t="inlineStr">
        <is>
          <t>市場總計</t>
        </is>
      </c>
      <c r="G364" s="152" t="inlineStr">
        <is>
          <t>11 市場總計</t>
        </is>
      </c>
      <c r="H364" s="153" t="n">
        <v>53010452</v>
      </c>
      <c r="I364" s="153" t="n">
        <v>33976443</v>
      </c>
      <c r="J364" s="153" t="n">
        <v>401979</v>
      </c>
      <c r="K364" s="153" t="n">
        <v>255429</v>
      </c>
      <c r="L364" s="153" t="n">
        <v>99536</v>
      </c>
      <c r="M364" s="11" t="n"/>
      <c r="N364" s="153" t="n">
        <v>228355</v>
      </c>
      <c r="O364" s="11" t="n"/>
      <c r="P364" s="11" t="n"/>
      <c r="Q364" s="12" t="n"/>
      <c r="R364" s="11" t="n"/>
      <c r="S364" s="11" t="n"/>
      <c r="T364" s="11" t="n"/>
      <c r="U364" s="11" t="n"/>
      <c r="V364" s="154" t="n">
        <v>4.41</v>
      </c>
      <c r="W364" s="11">
        <f>SUMIFS(H:H,A:A,creditcard[[#This Row],[YYYYMM]],G:G,creditcard[[#This Row],[Item]])</f>
        <v/>
      </c>
      <c r="X364" s="4">
        <f>IFERROR(SUMIFS(H:H,A:A,creditcard[[#This Row],[YYYYMM]],E:E,"&lt;=5")/creditcard[[#This Row],[市場總計]],"")</f>
        <v/>
      </c>
      <c r="Y364" s="4">
        <f>IFERROR(SUMIFS(H:H,A:A,creditcard[[#This Row],[YYYYMM]],E:E,"&lt;=10")/creditcard[[#This Row],[市場總計]],"")</f>
        <v/>
      </c>
      <c r="Z364" s="4">
        <f>IFERROR(SUMIFS(I:I,A:A,creditcard[[#This Row],[YYYYMM]],E:E,"&lt;=5")/creditcard[[#This Row],[有效卡數]],"")</f>
        <v/>
      </c>
      <c r="AA364" s="4">
        <f>IFERROR(SUMIFS(I:I,A:A,creditcard[[#This Row],[YYYYMM]],E:E,"&lt;=10")/creditcard[[#This Row],[有效卡數]],"")</f>
        <v/>
      </c>
      <c r="AB364" s="4">
        <f>IFERROR(SUMIFS(J:J,A:A,creditcard[[#This Row],[YYYYMM]],E:E,"&lt;=5")/creditcard[[#This Row],[當月發卡數]],"")</f>
        <v/>
      </c>
      <c r="AC364" s="4">
        <f>IFERROR(SUMIFS(J:J,A:A,creditcard[[#This Row],[YYYYMM]],E:E,"&lt;=10")/creditcard[[#This Row],[當月發卡數]],"")</f>
        <v/>
      </c>
      <c r="AD364" s="4">
        <f>IFERROR(SUMIFS(K:K,A:A,creditcard[[#This Row],[YYYYMM]],E:E,"&lt;=5")/creditcard[[#This Row],[當月停卡數]],"")</f>
        <v/>
      </c>
      <c r="AE364" s="4">
        <f>IFERROR(SUMIFS(K:K,A:A,creditcard[[#This Row],[YYYYMM]],E:E,"&lt;=10")/creditcard[[#This Row],[當月停卡數]],"")</f>
        <v/>
      </c>
      <c r="AF364" s="4">
        <f>IFERROR(SUMIFS(L:L,A:A,creditcard[[#This Row],[YYYYMM]],E:E,"&lt;=5")/creditcard[[#This Row],[循環信用餘額]],"")</f>
        <v/>
      </c>
      <c r="AG364" s="4">
        <f>IFERROR(SUMIFS(L:L,A:A,creditcard[[#This Row],[YYYYMM]],E:E,"&lt;=10")/creditcard[[#This Row],[循環信用餘額]],"")</f>
        <v/>
      </c>
      <c r="AH364" s="4">
        <f>IFERROR(SUMIFS(N:N,A:A,creditcard[[#This Row],[YYYYMM]],E:E,"&lt;=5")/creditcard[[#This Row],[當月簽帳金額]],"")</f>
        <v/>
      </c>
      <c r="AI364" s="4">
        <f>IFERROR(SUMIFS(N:N,A:A,creditcard[[#This Row],[YYYYMM]],E:E,"&lt;=10")/creditcard[[#This Row],[當月簽帳金額]],"")</f>
        <v/>
      </c>
    </row>
    <row r="365">
      <c r="A365" s="14" t="n">
        <v>202203</v>
      </c>
      <c r="B365" s="15">
        <f>LEFT(creditcard[[#This Row],[YYYYMM]],4)</f>
        <v/>
      </c>
      <c r="C365" s="15">
        <f>RIGHT(creditcard[[#This Row],[YYYYMM]],2)</f>
        <v/>
      </c>
      <c r="D365" s="15">
        <f>IF(RIGHT(creditcard[[#This Row],[YYYYMM]],2)="--","--","Q"&amp;ROUNDUP(VALUE(RIGHT(creditcard[[#This Row],[YYYYMM]],2))/3,0))</f>
        <v/>
      </c>
      <c r="E365" s="15" t="n">
        <v>1</v>
      </c>
      <c r="F365" s="155" t="inlineStr">
        <is>
          <t>中信</t>
        </is>
      </c>
      <c r="G365" s="156" t="inlineStr">
        <is>
          <t>01 中信</t>
        </is>
      </c>
      <c r="H365" s="157" t="n">
        <v>7970761</v>
      </c>
      <c r="I365" s="157" t="n">
        <v>5016910</v>
      </c>
      <c r="J365" s="157" t="n">
        <v>108913</v>
      </c>
      <c r="K365" s="157" t="n">
        <v>63136</v>
      </c>
      <c r="L365" s="157" t="n">
        <v>15052</v>
      </c>
      <c r="M365" s="16" t="n"/>
      <c r="N365" s="157" t="n">
        <v>44780</v>
      </c>
      <c r="O365" s="16" t="n"/>
      <c r="P365" s="16" t="n"/>
      <c r="Q365" s="17" t="n"/>
      <c r="R365" s="16" t="n"/>
      <c r="S365" s="16" t="n"/>
      <c r="T365" s="16" t="n"/>
      <c r="U365" s="16" t="n"/>
      <c r="V365" s="158" t="n"/>
      <c r="W365" s="16" t="n"/>
      <c r="X365" s="18" t="n"/>
      <c r="Y365" s="18" t="n"/>
      <c r="Z365" s="18" t="n"/>
      <c r="AA365" s="18" t="n"/>
      <c r="AB365" s="18" t="n"/>
      <c r="AC365" s="18" t="n"/>
      <c r="AD365" s="18" t="n"/>
      <c r="AE365" s="18" t="n"/>
      <c r="AF365" s="18" t="n"/>
      <c r="AG365" s="18" t="n"/>
      <c r="AH365" s="18" t="n"/>
      <c r="AI365" s="18" t="n"/>
    </row>
    <row r="366">
      <c r="A366" s="9" t="n">
        <v>202203</v>
      </c>
      <c r="B366" s="10">
        <f>LEFT(creditcard[[#This Row],[YYYYMM]],4)</f>
        <v/>
      </c>
      <c r="C366" s="10">
        <f>RIGHT(creditcard[[#This Row],[YYYYMM]],2)</f>
        <v/>
      </c>
      <c r="D366" s="10">
        <f>IF(RIGHT(creditcard[[#This Row],[YYYYMM]],2)="--","--","Q"&amp;ROUNDUP(VALUE(RIGHT(creditcard[[#This Row],[YYYYMM]],2))/3,0))</f>
        <v/>
      </c>
      <c r="E366" s="10" t="n">
        <v>2</v>
      </c>
      <c r="F366" s="151" t="inlineStr">
        <is>
          <t>富邦</t>
        </is>
      </c>
      <c r="G366" s="152" t="inlineStr">
        <is>
          <t>02 富邦</t>
        </is>
      </c>
      <c r="H366" s="153" t="n">
        <v>4402105</v>
      </c>
      <c r="I366" s="153" t="n">
        <v>2966488</v>
      </c>
      <c r="J366" s="153" t="n">
        <v>66733</v>
      </c>
      <c r="K366" s="153" t="n">
        <v>18034</v>
      </c>
      <c r="L366" s="153" t="n">
        <v>5599</v>
      </c>
      <c r="M366" s="11" t="n"/>
      <c r="N366" s="153" t="n">
        <v>28719</v>
      </c>
      <c r="O366" s="11" t="n"/>
      <c r="P366" s="11" t="n"/>
      <c r="Q366" s="12" t="n"/>
      <c r="R366" s="11" t="n"/>
      <c r="S366" s="11" t="n"/>
      <c r="T366" s="11" t="n"/>
      <c r="U366" s="11" t="n"/>
      <c r="V366" s="154" t="n"/>
      <c r="W366" s="11" t="n"/>
      <c r="X366" s="13" t="n"/>
      <c r="Y366" s="13" t="n"/>
      <c r="Z366" s="13" t="n"/>
      <c r="AA366" s="13" t="n"/>
      <c r="AB366" s="13" t="n"/>
      <c r="AC366" s="13" t="n"/>
      <c r="AD366" s="13" t="n"/>
      <c r="AE366" s="13" t="n"/>
      <c r="AF366" s="13" t="n"/>
      <c r="AG366" s="13" t="n"/>
      <c r="AH366" s="13" t="n"/>
      <c r="AI366" s="13" t="n"/>
    </row>
    <row r="367">
      <c r="A367" s="14" t="n">
        <v>202203</v>
      </c>
      <c r="B367" s="15">
        <f>LEFT(creditcard[[#This Row],[YYYYMM]],4)</f>
        <v/>
      </c>
      <c r="C367" s="15">
        <f>RIGHT(creditcard[[#This Row],[YYYYMM]],2)</f>
        <v/>
      </c>
      <c r="D367" s="15">
        <f>IF(RIGHT(creditcard[[#This Row],[YYYYMM]],2)="--","--","Q"&amp;ROUNDUP(VALUE(RIGHT(creditcard[[#This Row],[YYYYMM]],2))/3,0))</f>
        <v/>
      </c>
      <c r="E367" s="15" t="n">
        <v>3</v>
      </c>
      <c r="F367" s="155" t="inlineStr">
        <is>
          <t>國泰</t>
        </is>
      </c>
      <c r="G367" s="156" t="inlineStr">
        <is>
          <t>03 國泰</t>
        </is>
      </c>
      <c r="H367" s="157" t="n">
        <v>7691312</v>
      </c>
      <c r="I367" s="157" t="n">
        <v>5461352</v>
      </c>
      <c r="J367" s="157" t="n">
        <v>71826</v>
      </c>
      <c r="K367" s="157" t="n">
        <v>35138</v>
      </c>
      <c r="L367" s="157" t="n">
        <v>17107</v>
      </c>
      <c r="M367" s="16" t="n"/>
      <c r="N367" s="157" t="n">
        <v>47877</v>
      </c>
      <c r="O367" s="16" t="n"/>
      <c r="P367" s="16" t="n"/>
      <c r="Q367" s="17" t="n"/>
      <c r="R367" s="16" t="n"/>
      <c r="S367" s="16" t="n"/>
      <c r="T367" s="16" t="n"/>
      <c r="U367" s="16" t="n"/>
      <c r="V367" s="158" t="n"/>
      <c r="W367" s="16" t="n"/>
      <c r="X367" s="18" t="n"/>
      <c r="Y367" s="18" t="n"/>
      <c r="Z367" s="18" t="n"/>
      <c r="AA367" s="18" t="n"/>
      <c r="AB367" s="18" t="n"/>
      <c r="AC367" s="18" t="n"/>
      <c r="AD367" s="18" t="n"/>
      <c r="AE367" s="18" t="n"/>
      <c r="AF367" s="18" t="n"/>
      <c r="AG367" s="18" t="n"/>
      <c r="AH367" s="18" t="n"/>
      <c r="AI367" s="18" t="n"/>
    </row>
    <row r="368">
      <c r="A368" s="9" t="n">
        <v>202203</v>
      </c>
      <c r="B368" s="10">
        <f>LEFT(creditcard[[#This Row],[YYYYMM]],4)</f>
        <v/>
      </c>
      <c r="C368" s="10">
        <f>RIGHT(creditcard[[#This Row],[YYYYMM]],2)</f>
        <v/>
      </c>
      <c r="D368" s="10">
        <f>IF(RIGHT(creditcard[[#This Row],[YYYYMM]],2)="--","--","Q"&amp;ROUNDUP(VALUE(RIGHT(creditcard[[#This Row],[YYYYMM]],2))/3,0))</f>
        <v/>
      </c>
      <c r="E368" s="10" t="n">
        <v>4</v>
      </c>
      <c r="F368" s="151" t="inlineStr">
        <is>
          <t>玉山</t>
        </is>
      </c>
      <c r="G368" s="152" t="inlineStr">
        <is>
          <t>04 玉山</t>
        </is>
      </c>
      <c r="H368" s="153" t="n">
        <v>6669031</v>
      </c>
      <c r="I368" s="153" t="n">
        <v>4533343</v>
      </c>
      <c r="J368" s="153" t="n">
        <v>39491</v>
      </c>
      <c r="K368" s="153" t="n">
        <v>22211</v>
      </c>
      <c r="L368" s="153" t="n">
        <v>12221</v>
      </c>
      <c r="M368" s="11" t="n"/>
      <c r="N368" s="153" t="n">
        <v>37221</v>
      </c>
      <c r="O368" s="11" t="n"/>
      <c r="P368" s="11" t="n"/>
      <c r="Q368" s="12" t="n"/>
      <c r="R368" s="11" t="n"/>
      <c r="S368" s="11" t="n"/>
      <c r="T368" s="11" t="n"/>
      <c r="U368" s="11" t="n"/>
      <c r="V368" s="154" t="n"/>
      <c r="W368" s="11" t="n"/>
      <c r="X368" s="13" t="n"/>
      <c r="Y368" s="13" t="n"/>
      <c r="Z368" s="13" t="n"/>
      <c r="AA368" s="13" t="n"/>
      <c r="AB368" s="13" t="n"/>
      <c r="AC368" s="13" t="n"/>
      <c r="AD368" s="13" t="n"/>
      <c r="AE368" s="13" t="n"/>
      <c r="AF368" s="13" t="n"/>
      <c r="AG368" s="13" t="n"/>
      <c r="AH368" s="13" t="n"/>
      <c r="AI368" s="13" t="n"/>
    </row>
    <row r="369">
      <c r="A369" s="14" t="n">
        <v>202203</v>
      </c>
      <c r="B369" s="15">
        <f>LEFT(creditcard[[#This Row],[YYYYMM]],4)</f>
        <v/>
      </c>
      <c r="C369" s="15">
        <f>RIGHT(creditcard[[#This Row],[YYYYMM]],2)</f>
        <v/>
      </c>
      <c r="D369" s="15">
        <f>IF(RIGHT(creditcard[[#This Row],[YYYYMM]],2)="--","--","Q"&amp;ROUNDUP(VALUE(RIGHT(creditcard[[#This Row],[YYYYMM]],2))/3,0))</f>
        <v/>
      </c>
      <c r="E369" s="15" t="n">
        <v>5</v>
      </c>
      <c r="F369" s="155" t="inlineStr">
        <is>
          <t>台新</t>
        </is>
      </c>
      <c r="G369" s="156" t="inlineStr">
        <is>
          <t>05 台新</t>
        </is>
      </c>
      <c r="H369" s="157" t="n">
        <v>6099318</v>
      </c>
      <c r="I369" s="157" t="n">
        <v>4100790</v>
      </c>
      <c r="J369" s="157" t="n">
        <v>55408</v>
      </c>
      <c r="K369" s="157" t="n">
        <v>37772</v>
      </c>
      <c r="L369" s="157" t="n">
        <v>9756</v>
      </c>
      <c r="M369" s="16" t="n"/>
      <c r="N369" s="157" t="n">
        <v>31665</v>
      </c>
      <c r="O369" s="16" t="n"/>
      <c r="P369" s="16" t="n"/>
      <c r="Q369" s="17" t="n"/>
      <c r="R369" s="16" t="n"/>
      <c r="S369" s="16" t="n"/>
      <c r="T369" s="16" t="n"/>
      <c r="U369" s="16" t="n"/>
      <c r="V369" s="158" t="n"/>
      <c r="W369" s="16" t="n"/>
      <c r="X369" s="18" t="n"/>
      <c r="Y369" s="18" t="n"/>
      <c r="Z369" s="18" t="n"/>
      <c r="AA369" s="18" t="n"/>
      <c r="AB369" s="18" t="n"/>
      <c r="AC369" s="18" t="n"/>
      <c r="AD369" s="18" t="n"/>
      <c r="AE369" s="18" t="n"/>
      <c r="AF369" s="18" t="n"/>
      <c r="AG369" s="18" t="n"/>
      <c r="AH369" s="18" t="n"/>
      <c r="AI369" s="18" t="n"/>
    </row>
    <row r="370">
      <c r="A370" s="9" t="n">
        <v>202203</v>
      </c>
      <c r="B370" s="10">
        <f>LEFT(creditcard[[#This Row],[YYYYMM]],4)</f>
        <v/>
      </c>
      <c r="C370" s="10">
        <f>RIGHT(creditcard[[#This Row],[YYYYMM]],2)</f>
        <v/>
      </c>
      <c r="D370" s="10">
        <f>IF(RIGHT(creditcard[[#This Row],[YYYYMM]],2)="--","--","Q"&amp;ROUNDUP(VALUE(RIGHT(creditcard[[#This Row],[YYYYMM]],2))/3,0))</f>
        <v/>
      </c>
      <c r="E370" s="10" t="n">
        <v>6</v>
      </c>
      <c r="F370" s="151" t="inlineStr">
        <is>
          <t>星展</t>
        </is>
      </c>
      <c r="G370" s="152" t="inlineStr">
        <is>
          <t>06 星展</t>
        </is>
      </c>
      <c r="H370" s="153" t="n">
        <v>626007</v>
      </c>
      <c r="I370" s="153" t="n">
        <v>320552</v>
      </c>
      <c r="J370" s="153" t="n">
        <v>5897</v>
      </c>
      <c r="K370" s="153" t="n">
        <v>6250</v>
      </c>
      <c r="L370" s="153" t="n">
        <v>1276</v>
      </c>
      <c r="M370" s="11" t="n"/>
      <c r="N370" s="153" t="n">
        <v>3425</v>
      </c>
      <c r="O370" s="11" t="n"/>
      <c r="P370" s="11" t="n"/>
      <c r="Q370" s="12" t="n"/>
      <c r="R370" s="11" t="n"/>
      <c r="S370" s="11" t="n"/>
      <c r="T370" s="11" t="n"/>
      <c r="U370" s="11" t="n"/>
      <c r="V370" s="154" t="n"/>
      <c r="W370" s="11" t="n"/>
      <c r="X370" s="13" t="n"/>
      <c r="Y370" s="13" t="n"/>
      <c r="Z370" s="13" t="n"/>
      <c r="AA370" s="13" t="n"/>
      <c r="AB370" s="13" t="n"/>
      <c r="AC370" s="13" t="n"/>
      <c r="AD370" s="13" t="n"/>
      <c r="AE370" s="13" t="n"/>
      <c r="AF370" s="13" t="n"/>
      <c r="AG370" s="13" t="n"/>
      <c r="AH370" s="13" t="n"/>
      <c r="AI370" s="13" t="n"/>
    </row>
    <row r="371">
      <c r="A371" s="14" t="n">
        <v>202203</v>
      </c>
      <c r="B371" s="15">
        <f>LEFT(creditcard[[#This Row],[YYYYMM]],4)</f>
        <v/>
      </c>
      <c r="C371" s="15">
        <f>RIGHT(creditcard[[#This Row],[YYYYMM]],2)</f>
        <v/>
      </c>
      <c r="D371" s="15">
        <f>IF(RIGHT(creditcard[[#This Row],[YYYYMM]],2)="--","--","Q"&amp;ROUNDUP(VALUE(RIGHT(creditcard[[#This Row],[YYYYMM]],2))/3,0))</f>
        <v/>
      </c>
      <c r="E371" s="15" t="n">
        <v>7</v>
      </c>
      <c r="F371" s="155" t="inlineStr">
        <is>
          <t>聯邦</t>
        </is>
      </c>
      <c r="G371" s="156" t="inlineStr">
        <is>
          <t>07 聯邦</t>
        </is>
      </c>
      <c r="H371" s="157" t="n">
        <v>2295174</v>
      </c>
      <c r="I371" s="157" t="n">
        <v>1332043</v>
      </c>
      <c r="J371" s="157" t="n">
        <v>30299</v>
      </c>
      <c r="K371" s="157" t="n">
        <v>17569</v>
      </c>
      <c r="L371" s="157" t="n">
        <v>5299</v>
      </c>
      <c r="M371" s="16" t="n"/>
      <c r="N371" s="157" t="n">
        <v>8751</v>
      </c>
      <c r="O371" s="16" t="n"/>
      <c r="P371" s="16" t="n"/>
      <c r="Q371" s="17" t="n"/>
      <c r="R371" s="16" t="n"/>
      <c r="S371" s="16" t="n"/>
      <c r="T371" s="16" t="n"/>
      <c r="U371" s="16" t="n"/>
      <c r="V371" s="158" t="n"/>
      <c r="W371" s="16" t="n"/>
      <c r="X371" s="18" t="n"/>
      <c r="Y371" s="18" t="n"/>
      <c r="Z371" s="18" t="n"/>
      <c r="AA371" s="18" t="n"/>
      <c r="AB371" s="18" t="n"/>
      <c r="AC371" s="18" t="n"/>
      <c r="AD371" s="18" t="n"/>
      <c r="AE371" s="18" t="n"/>
      <c r="AF371" s="18" t="n"/>
      <c r="AG371" s="18" t="n"/>
      <c r="AH371" s="18" t="n"/>
      <c r="AI371" s="18" t="n"/>
    </row>
    <row r="372">
      <c r="A372" s="9" t="n">
        <v>202203</v>
      </c>
      <c r="B372" s="10">
        <f>LEFT(creditcard[[#This Row],[YYYYMM]],4)</f>
        <v/>
      </c>
      <c r="C372" s="10">
        <f>RIGHT(creditcard[[#This Row],[YYYYMM]],2)</f>
        <v/>
      </c>
      <c r="D372" s="10">
        <f>IF(RIGHT(creditcard[[#This Row],[YYYYMM]],2)="--","--","Q"&amp;ROUNDUP(VALUE(RIGHT(creditcard[[#This Row],[YYYYMM]],2))/3,0))</f>
        <v/>
      </c>
      <c r="E372" s="10" t="n">
        <v>8</v>
      </c>
      <c r="F372" s="151" t="inlineStr">
        <is>
          <t>永豐</t>
        </is>
      </c>
      <c r="G372" s="152" t="inlineStr">
        <is>
          <t>08 永豐</t>
        </is>
      </c>
      <c r="H372" s="153" t="n">
        <v>2218092</v>
      </c>
      <c r="I372" s="153" t="n">
        <v>1194091</v>
      </c>
      <c r="J372" s="153" t="n">
        <v>32596</v>
      </c>
      <c r="K372" s="153" t="n">
        <v>8399</v>
      </c>
      <c r="L372" s="153" t="n">
        <v>3911</v>
      </c>
      <c r="M372" s="11" t="n"/>
      <c r="N372" s="153" t="n">
        <v>11330</v>
      </c>
      <c r="O372" s="11" t="n"/>
      <c r="P372" s="11" t="n"/>
      <c r="Q372" s="12" t="n"/>
      <c r="R372" s="11" t="n"/>
      <c r="S372" s="11" t="n"/>
      <c r="T372" s="11" t="n"/>
      <c r="U372" s="11" t="n"/>
      <c r="V372" s="154" t="n"/>
      <c r="W372" s="11" t="n"/>
      <c r="X372" s="13" t="n"/>
      <c r="Y372" s="13" t="n"/>
      <c r="Z372" s="13" t="n"/>
      <c r="AA372" s="13" t="n"/>
      <c r="AB372" s="13" t="n"/>
      <c r="AC372" s="13" t="n"/>
      <c r="AD372" s="13" t="n"/>
      <c r="AE372" s="13" t="n"/>
      <c r="AF372" s="13" t="n"/>
      <c r="AG372" s="13" t="n"/>
      <c r="AH372" s="13" t="n"/>
      <c r="AI372" s="13" t="n"/>
    </row>
    <row r="373">
      <c r="A373" s="14" t="n">
        <v>202203</v>
      </c>
      <c r="B373" s="15">
        <f>LEFT(creditcard[[#This Row],[YYYYMM]],4)</f>
        <v/>
      </c>
      <c r="C373" s="15">
        <f>RIGHT(creditcard[[#This Row],[YYYYMM]],2)</f>
        <v/>
      </c>
      <c r="D373" s="15">
        <f>IF(RIGHT(creditcard[[#This Row],[YYYYMM]],2)="--","--","Q"&amp;ROUNDUP(VALUE(RIGHT(creditcard[[#This Row],[YYYYMM]],2))/3,0))</f>
        <v/>
      </c>
      <c r="E373" s="15" t="n">
        <v>9</v>
      </c>
      <c r="F373" s="155" t="inlineStr">
        <is>
          <t>第一</t>
        </is>
      </c>
      <c r="G373" s="156" t="inlineStr">
        <is>
          <t>09 第一</t>
        </is>
      </c>
      <c r="H373" s="157" t="n">
        <v>1448090</v>
      </c>
      <c r="I373" s="157" t="n">
        <v>876469</v>
      </c>
      <c r="J373" s="157" t="n">
        <v>21417</v>
      </c>
      <c r="K373" s="157" t="n">
        <v>11831</v>
      </c>
      <c r="L373" s="157" t="n">
        <v>1489</v>
      </c>
      <c r="M373" s="16" t="n"/>
      <c r="N373" s="157" t="n">
        <v>5628</v>
      </c>
      <c r="O373" s="16" t="n"/>
      <c r="P373" s="16" t="n"/>
      <c r="Q373" s="17" t="n"/>
      <c r="R373" s="16" t="n"/>
      <c r="S373" s="16" t="n"/>
      <c r="T373" s="16" t="n"/>
      <c r="U373" s="16" t="n"/>
      <c r="V373" s="158" t="n"/>
      <c r="W373" s="16" t="n"/>
      <c r="X373" s="18" t="n"/>
      <c r="Y373" s="18" t="n"/>
      <c r="Z373" s="18" t="n"/>
      <c r="AA373" s="18" t="n"/>
      <c r="AB373" s="18" t="n"/>
      <c r="AC373" s="18" t="n"/>
      <c r="AD373" s="18" t="n"/>
      <c r="AE373" s="18" t="n"/>
      <c r="AF373" s="18" t="n"/>
      <c r="AG373" s="18" t="n"/>
      <c r="AH373" s="18" t="n"/>
      <c r="AI373" s="18" t="n"/>
    </row>
    <row r="374">
      <c r="A374" s="9" t="n">
        <v>202203</v>
      </c>
      <c r="B374" s="10">
        <f>LEFT(creditcard[[#This Row],[YYYYMM]],4)</f>
        <v/>
      </c>
      <c r="C374" s="10">
        <f>RIGHT(creditcard[[#This Row],[YYYYMM]],2)</f>
        <v/>
      </c>
      <c r="D374" s="10">
        <f>IF(RIGHT(creditcard[[#This Row],[YYYYMM]],2)="--","--","Q"&amp;ROUNDUP(VALUE(RIGHT(creditcard[[#This Row],[YYYYMM]],2))/3,0))</f>
        <v/>
      </c>
      <c r="E374" s="10" t="n">
        <v>10</v>
      </c>
      <c r="F374" s="151" t="inlineStr">
        <is>
          <t>遠東</t>
        </is>
      </c>
      <c r="G374" s="152" t="inlineStr">
        <is>
          <t>10 遠東</t>
        </is>
      </c>
      <c r="H374" s="153" t="n">
        <v>1564401</v>
      </c>
      <c r="I374" s="153" t="n">
        <v>1011034</v>
      </c>
      <c r="J374" s="153" t="n">
        <v>16809</v>
      </c>
      <c r="K374" s="153" t="n">
        <v>7258</v>
      </c>
      <c r="L374" s="153" t="n">
        <v>3670</v>
      </c>
      <c r="M374" s="11" t="n"/>
      <c r="N374" s="153" t="n">
        <v>4555</v>
      </c>
      <c r="O374" s="11" t="n"/>
      <c r="P374" s="11" t="n"/>
      <c r="Q374" s="12" t="n"/>
      <c r="R374" s="11" t="n"/>
      <c r="S374" s="11" t="n"/>
      <c r="T374" s="11" t="n"/>
      <c r="U374" s="11" t="n"/>
      <c r="V374" s="154" t="n"/>
      <c r="W374" s="11" t="n"/>
      <c r="X374" s="13" t="n"/>
      <c r="Y374" s="13" t="n"/>
      <c r="Z374" s="13" t="n"/>
      <c r="AA374" s="13" t="n"/>
      <c r="AB374" s="13" t="n"/>
      <c r="AC374" s="13" t="n"/>
      <c r="AD374" s="13" t="n"/>
      <c r="AE374" s="13" t="n"/>
      <c r="AF374" s="13" t="n"/>
      <c r="AG374" s="13" t="n"/>
      <c r="AH374" s="13" t="n"/>
      <c r="AI374" s="13" t="n"/>
    </row>
    <row r="375">
      <c r="A375" s="14" t="n">
        <v>202203</v>
      </c>
      <c r="B375" s="15">
        <f>LEFT(creditcard[[#This Row],[YYYYMM]],4)</f>
        <v/>
      </c>
      <c r="C375" s="15">
        <f>RIGHT(creditcard[[#This Row],[YYYYMM]],2)</f>
        <v/>
      </c>
      <c r="D375" s="15">
        <f>IF(RIGHT(creditcard[[#This Row],[YYYYMM]],2)="--","--","Q"&amp;ROUNDUP(VALUE(RIGHT(creditcard[[#This Row],[YYYYMM]],2))/3,0))</f>
        <v/>
      </c>
      <c r="E375" s="15" t="n">
        <v>11</v>
      </c>
      <c r="F375" s="155" t="inlineStr">
        <is>
          <t>市場總計</t>
        </is>
      </c>
      <c r="G375" s="156" t="inlineStr">
        <is>
          <t>11 市場總計</t>
        </is>
      </c>
      <c r="H375" s="157" t="n">
        <v>53235175</v>
      </c>
      <c r="I375" s="157" t="n">
        <v>34122060</v>
      </c>
      <c r="J375" s="157" t="n">
        <v>564258</v>
      </c>
      <c r="K375" s="157" t="n">
        <v>353707</v>
      </c>
      <c r="L375" s="157" t="n">
        <v>98518</v>
      </c>
      <c r="M375" s="16" t="n"/>
      <c r="N375" s="157" t="n">
        <v>282198</v>
      </c>
      <c r="O375" s="16" t="n"/>
      <c r="P375" s="16" t="n"/>
      <c r="Q375" s="17" t="n"/>
      <c r="R375" s="16" t="n"/>
      <c r="S375" s="16" t="n"/>
      <c r="T375" s="16" t="n"/>
      <c r="U375" s="16" t="n"/>
      <c r="V375" s="158" t="n">
        <v>4.42</v>
      </c>
      <c r="W375" s="16">
        <f>SUMIFS(H:H,A:A,creditcard[[#This Row],[YYYYMM]],G:G,creditcard[[#This Row],[Item]])</f>
        <v/>
      </c>
      <c r="X375" s="4">
        <f>IFERROR(SUMIFS(H:H,A:A,creditcard[[#This Row],[YYYYMM]],E:E,"&lt;=5")/creditcard[[#This Row],[市場總計]],"")</f>
        <v/>
      </c>
      <c r="Y375" s="4">
        <f>IFERROR(SUMIFS(H:H,A:A,creditcard[[#This Row],[YYYYMM]],E:E,"&lt;=10")/creditcard[[#This Row],[市場總計]],"")</f>
        <v/>
      </c>
      <c r="Z375" s="4">
        <f>IFERROR(SUMIFS(I:I,A:A,creditcard[[#This Row],[YYYYMM]],E:E,"&lt;=5")/creditcard[[#This Row],[有效卡數]],"")</f>
        <v/>
      </c>
      <c r="AA375" s="4">
        <f>IFERROR(SUMIFS(I:I,A:A,creditcard[[#This Row],[YYYYMM]],E:E,"&lt;=10")/creditcard[[#This Row],[有效卡數]],"")</f>
        <v/>
      </c>
      <c r="AB375" s="4">
        <f>IFERROR(SUMIFS(J:J,A:A,creditcard[[#This Row],[YYYYMM]],E:E,"&lt;=5")/creditcard[[#This Row],[當月發卡數]],"")</f>
        <v/>
      </c>
      <c r="AC375" s="4">
        <f>IFERROR(SUMIFS(J:J,A:A,creditcard[[#This Row],[YYYYMM]],E:E,"&lt;=10")/creditcard[[#This Row],[當月發卡數]],"")</f>
        <v/>
      </c>
      <c r="AD375" s="4">
        <f>IFERROR(SUMIFS(K:K,A:A,creditcard[[#This Row],[YYYYMM]],E:E,"&lt;=5")/creditcard[[#This Row],[當月停卡數]],"")</f>
        <v/>
      </c>
      <c r="AE375" s="4">
        <f>IFERROR(SUMIFS(K:K,A:A,creditcard[[#This Row],[YYYYMM]],E:E,"&lt;=10")/creditcard[[#This Row],[當月停卡數]],"")</f>
        <v/>
      </c>
      <c r="AF375" s="4">
        <f>IFERROR(SUMIFS(L:L,A:A,creditcard[[#This Row],[YYYYMM]],E:E,"&lt;=5")/creditcard[[#This Row],[循環信用餘額]],"")</f>
        <v/>
      </c>
      <c r="AG375" s="4">
        <f>IFERROR(SUMIFS(L:L,A:A,creditcard[[#This Row],[YYYYMM]],E:E,"&lt;=10")/creditcard[[#This Row],[循環信用餘額]],"")</f>
        <v/>
      </c>
      <c r="AH375" s="4">
        <f>IFERROR(SUMIFS(N:N,A:A,creditcard[[#This Row],[YYYYMM]],E:E,"&lt;=5")/creditcard[[#This Row],[當月簽帳金額]],"")</f>
        <v/>
      </c>
      <c r="AI375" s="4">
        <f>IFERROR(SUMIFS(N:N,A:A,creditcard[[#This Row],[YYYYMM]],E:E,"&lt;=10")/creditcard[[#This Row],[當月簽帳金額]],"")</f>
        <v/>
      </c>
    </row>
    <row r="376">
      <c r="A376" s="9" t="n">
        <v>202204</v>
      </c>
      <c r="B376" s="10">
        <f>LEFT(creditcard[[#This Row],[YYYYMM]],4)</f>
        <v/>
      </c>
      <c r="C376" s="10">
        <f>RIGHT(creditcard[[#This Row],[YYYYMM]],2)</f>
        <v/>
      </c>
      <c r="D376" s="10">
        <f>IF(RIGHT(creditcard[[#This Row],[YYYYMM]],2)="--","--","Q"&amp;ROUNDUP(VALUE(RIGHT(creditcard[[#This Row],[YYYYMM]],2))/3,0))</f>
        <v/>
      </c>
      <c r="E376" s="10" t="n">
        <v>1</v>
      </c>
      <c r="F376" s="151" t="inlineStr">
        <is>
          <t>中信</t>
        </is>
      </c>
      <c r="G376" s="152" t="inlineStr">
        <is>
          <t>01 中信</t>
        </is>
      </c>
      <c r="H376" s="153" t="n">
        <v>8032424</v>
      </c>
      <c r="I376" s="153" t="n">
        <v>5045493</v>
      </c>
      <c r="J376" s="153" t="n">
        <v>91753</v>
      </c>
      <c r="K376" s="153" t="n">
        <v>30090</v>
      </c>
      <c r="L376" s="153" t="n">
        <v>14841.286</v>
      </c>
      <c r="M376" s="11" t="n"/>
      <c r="N376" s="153" t="n">
        <v>37528.241</v>
      </c>
      <c r="O376" s="11" t="n"/>
      <c r="P376" s="11" t="n"/>
      <c r="Q376" s="12" t="n"/>
      <c r="R376" s="11" t="n"/>
      <c r="S376" s="11" t="n"/>
      <c r="T376" s="11" t="n"/>
      <c r="U376" s="11" t="n"/>
      <c r="V376" s="154" t="n"/>
      <c r="W376" s="11" t="n"/>
      <c r="X376" s="13" t="n"/>
      <c r="Y376" s="13" t="n"/>
      <c r="Z376" s="13" t="n"/>
      <c r="AA376" s="13" t="n"/>
      <c r="AB376" s="13" t="n"/>
      <c r="AC376" s="13" t="n"/>
      <c r="AD376" s="13" t="n"/>
      <c r="AE376" s="13" t="n"/>
      <c r="AF376" s="13" t="n"/>
      <c r="AG376" s="13" t="n"/>
      <c r="AH376" s="13" t="n"/>
      <c r="AI376" s="13" t="n"/>
    </row>
    <row r="377">
      <c r="A377" s="14" t="n">
        <v>202204</v>
      </c>
      <c r="B377" s="15">
        <f>LEFT(creditcard[[#This Row],[YYYYMM]],4)</f>
        <v/>
      </c>
      <c r="C377" s="15">
        <f>RIGHT(creditcard[[#This Row],[YYYYMM]],2)</f>
        <v/>
      </c>
      <c r="D377" s="15">
        <f>IF(RIGHT(creditcard[[#This Row],[YYYYMM]],2)="--","--","Q"&amp;ROUNDUP(VALUE(RIGHT(creditcard[[#This Row],[YYYYMM]],2))/3,0))</f>
        <v/>
      </c>
      <c r="E377" s="15" t="n">
        <v>2</v>
      </c>
      <c r="F377" s="155" t="inlineStr">
        <is>
          <t>富邦</t>
        </is>
      </c>
      <c r="G377" s="156" t="inlineStr">
        <is>
          <t>02 富邦</t>
        </is>
      </c>
      <c r="H377" s="157" t="n">
        <v>4443162</v>
      </c>
      <c r="I377" s="157" t="n">
        <v>3001913</v>
      </c>
      <c r="J377" s="157" t="n">
        <v>55956</v>
      </c>
      <c r="K377" s="157" t="n">
        <v>14899</v>
      </c>
      <c r="L377" s="157" t="n">
        <v>5706.362</v>
      </c>
      <c r="M377" s="16" t="n"/>
      <c r="N377" s="157" t="n">
        <v>25223.085</v>
      </c>
      <c r="O377" s="16" t="n"/>
      <c r="P377" s="16" t="n"/>
      <c r="Q377" s="17" t="n"/>
      <c r="R377" s="16" t="n"/>
      <c r="S377" s="16" t="n"/>
      <c r="T377" s="16" t="n"/>
      <c r="U377" s="16" t="n"/>
      <c r="V377" s="158" t="n"/>
      <c r="W377" s="16" t="n"/>
      <c r="X377" s="18" t="n"/>
      <c r="Y377" s="18" t="n"/>
      <c r="Z377" s="18" t="n"/>
      <c r="AA377" s="18" t="n"/>
      <c r="AB377" s="18" t="n"/>
      <c r="AC377" s="18" t="n"/>
      <c r="AD377" s="18" t="n"/>
      <c r="AE377" s="18" t="n"/>
      <c r="AF377" s="18" t="n"/>
      <c r="AG377" s="18" t="n"/>
      <c r="AH377" s="18" t="n"/>
      <c r="AI377" s="18" t="n"/>
    </row>
    <row r="378">
      <c r="A378" s="9" t="n">
        <v>202204</v>
      </c>
      <c r="B378" s="10">
        <f>LEFT(creditcard[[#This Row],[YYYYMM]],4)</f>
        <v/>
      </c>
      <c r="C378" s="10">
        <f>RIGHT(creditcard[[#This Row],[YYYYMM]],2)</f>
        <v/>
      </c>
      <c r="D378" s="10">
        <f>IF(RIGHT(creditcard[[#This Row],[YYYYMM]],2)="--","--","Q"&amp;ROUNDUP(VALUE(RIGHT(creditcard[[#This Row],[YYYYMM]],2))/3,0))</f>
        <v/>
      </c>
      <c r="E378" s="10" t="n">
        <v>3</v>
      </c>
      <c r="F378" s="151" t="inlineStr">
        <is>
          <t>國泰</t>
        </is>
      </c>
      <c r="G378" s="152" t="inlineStr">
        <is>
          <t>03 國泰</t>
        </is>
      </c>
      <c r="H378" s="153" t="n">
        <v>7723573</v>
      </c>
      <c r="I378" s="153" t="n">
        <v>5474427</v>
      </c>
      <c r="J378" s="153" t="n">
        <v>62517</v>
      </c>
      <c r="K378" s="153" t="n">
        <v>30256</v>
      </c>
      <c r="L378" s="153" t="n">
        <v>17407.086</v>
      </c>
      <c r="M378" s="11" t="n"/>
      <c r="N378" s="153" t="n">
        <v>38262.3</v>
      </c>
      <c r="O378" s="11" t="n"/>
      <c r="P378" s="11" t="n"/>
      <c r="Q378" s="12" t="n"/>
      <c r="R378" s="11" t="n"/>
      <c r="S378" s="11" t="n"/>
      <c r="T378" s="11" t="n"/>
      <c r="U378" s="11" t="n"/>
      <c r="V378" s="154" t="n"/>
      <c r="W378" s="11" t="n"/>
      <c r="X378" s="13" t="n"/>
      <c r="Y378" s="13" t="n"/>
      <c r="Z378" s="13" t="n"/>
      <c r="AA378" s="13" t="n"/>
      <c r="AB378" s="13" t="n"/>
      <c r="AC378" s="13" t="n"/>
      <c r="AD378" s="13" t="n"/>
      <c r="AE378" s="13" t="n"/>
      <c r="AF378" s="13" t="n"/>
      <c r="AG378" s="13" t="n"/>
      <c r="AH378" s="13" t="n"/>
      <c r="AI378" s="13" t="n"/>
    </row>
    <row r="379">
      <c r="A379" s="14" t="n">
        <v>202204</v>
      </c>
      <c r="B379" s="15">
        <f>LEFT(creditcard[[#This Row],[YYYYMM]],4)</f>
        <v/>
      </c>
      <c r="C379" s="15">
        <f>RIGHT(creditcard[[#This Row],[YYYYMM]],2)</f>
        <v/>
      </c>
      <c r="D379" s="15">
        <f>IF(RIGHT(creditcard[[#This Row],[YYYYMM]],2)="--","--","Q"&amp;ROUNDUP(VALUE(RIGHT(creditcard[[#This Row],[YYYYMM]],2))/3,0))</f>
        <v/>
      </c>
      <c r="E379" s="15" t="n">
        <v>4</v>
      </c>
      <c r="F379" s="155" t="inlineStr">
        <is>
          <t>玉山</t>
        </is>
      </c>
      <c r="G379" s="156" t="inlineStr">
        <is>
          <t>04 玉山</t>
        </is>
      </c>
      <c r="H379" s="157" t="n">
        <v>6680972</v>
      </c>
      <c r="I379" s="157" t="n">
        <v>4532724</v>
      </c>
      <c r="J379" s="157" t="n">
        <v>32952</v>
      </c>
      <c r="K379" s="157" t="n">
        <v>21011</v>
      </c>
      <c r="L379" s="157" t="n">
        <v>12199.172</v>
      </c>
      <c r="M379" s="16" t="n"/>
      <c r="N379" s="157" t="n">
        <v>32820.369</v>
      </c>
      <c r="O379" s="16" t="n"/>
      <c r="P379" s="16" t="n"/>
      <c r="Q379" s="17" t="n"/>
      <c r="R379" s="16" t="n"/>
      <c r="S379" s="16" t="n"/>
      <c r="T379" s="16" t="n"/>
      <c r="U379" s="16" t="n"/>
      <c r="V379" s="158" t="n"/>
      <c r="W379" s="16" t="n"/>
      <c r="X379" s="18" t="n"/>
      <c r="Y379" s="18" t="n"/>
      <c r="Z379" s="18" t="n"/>
      <c r="AA379" s="18" t="n"/>
      <c r="AB379" s="18" t="n"/>
      <c r="AC379" s="18" t="n"/>
      <c r="AD379" s="18" t="n"/>
      <c r="AE379" s="18" t="n"/>
      <c r="AF379" s="18" t="n"/>
      <c r="AG379" s="18" t="n"/>
      <c r="AH379" s="18" t="n"/>
      <c r="AI379" s="18" t="n"/>
    </row>
    <row r="380">
      <c r="A380" s="9" t="n">
        <v>202204</v>
      </c>
      <c r="B380" s="10">
        <f>LEFT(creditcard[[#This Row],[YYYYMM]],4)</f>
        <v/>
      </c>
      <c r="C380" s="10">
        <f>RIGHT(creditcard[[#This Row],[YYYYMM]],2)</f>
        <v/>
      </c>
      <c r="D380" s="10">
        <f>IF(RIGHT(creditcard[[#This Row],[YYYYMM]],2)="--","--","Q"&amp;ROUNDUP(VALUE(RIGHT(creditcard[[#This Row],[YYYYMM]],2))/3,0))</f>
        <v/>
      </c>
      <c r="E380" s="10" t="n">
        <v>5</v>
      </c>
      <c r="F380" s="151" t="inlineStr">
        <is>
          <t>台新</t>
        </is>
      </c>
      <c r="G380" s="152" t="inlineStr">
        <is>
          <t>05 台新</t>
        </is>
      </c>
      <c r="H380" s="153" t="n">
        <v>6118889</v>
      </c>
      <c r="I380" s="153" t="n">
        <v>4111663</v>
      </c>
      <c r="J380" s="153" t="n">
        <v>48784</v>
      </c>
      <c r="K380" s="153" t="n">
        <v>29213</v>
      </c>
      <c r="L380" s="153" t="n">
        <v>9684.165000000001</v>
      </c>
      <c r="M380" s="11" t="n"/>
      <c r="N380" s="153" t="n">
        <v>26652.319</v>
      </c>
      <c r="O380" s="11" t="n"/>
      <c r="P380" s="11" t="n"/>
      <c r="Q380" s="12" t="n"/>
      <c r="R380" s="11" t="n"/>
      <c r="S380" s="11" t="n"/>
      <c r="T380" s="11" t="n"/>
      <c r="U380" s="11" t="n"/>
      <c r="V380" s="154" t="n"/>
      <c r="W380" s="11" t="n"/>
      <c r="X380" s="13" t="n"/>
      <c r="Y380" s="13" t="n"/>
      <c r="Z380" s="13" t="n"/>
      <c r="AA380" s="13" t="n"/>
      <c r="AB380" s="13" t="n"/>
      <c r="AC380" s="13" t="n"/>
      <c r="AD380" s="13" t="n"/>
      <c r="AE380" s="13" t="n"/>
      <c r="AF380" s="13" t="n"/>
      <c r="AG380" s="13" t="n"/>
      <c r="AH380" s="13" t="n"/>
      <c r="AI380" s="13" t="n"/>
    </row>
    <row r="381">
      <c r="A381" s="14" t="n">
        <v>202204</v>
      </c>
      <c r="B381" s="15">
        <f>LEFT(creditcard[[#This Row],[YYYYMM]],4)</f>
        <v/>
      </c>
      <c r="C381" s="15">
        <f>RIGHT(creditcard[[#This Row],[YYYYMM]],2)</f>
        <v/>
      </c>
      <c r="D381" s="15">
        <f>IF(RIGHT(creditcard[[#This Row],[YYYYMM]],2)="--","--","Q"&amp;ROUNDUP(VALUE(RIGHT(creditcard[[#This Row],[YYYYMM]],2))/3,0))</f>
        <v/>
      </c>
      <c r="E381" s="15" t="n">
        <v>6</v>
      </c>
      <c r="F381" s="155" t="inlineStr">
        <is>
          <t>星展</t>
        </is>
      </c>
      <c r="G381" s="156" t="inlineStr">
        <is>
          <t>06 星展</t>
        </is>
      </c>
      <c r="H381" s="157" t="n">
        <v>629801</v>
      </c>
      <c r="I381" s="157" t="n">
        <v>322132</v>
      </c>
      <c r="J381" s="157" t="n">
        <v>4438</v>
      </c>
      <c r="K381" s="157" t="n">
        <v>3272</v>
      </c>
      <c r="L381" s="157" t="n">
        <v>1252</v>
      </c>
      <c r="M381" s="16" t="n"/>
      <c r="N381" s="157" t="n">
        <v>2865</v>
      </c>
      <c r="O381" s="16" t="n"/>
      <c r="P381" s="16" t="n"/>
      <c r="Q381" s="17" t="n"/>
      <c r="R381" s="16" t="n"/>
      <c r="S381" s="16" t="n"/>
      <c r="T381" s="16" t="n"/>
      <c r="U381" s="16" t="n"/>
      <c r="V381" s="158" t="n"/>
      <c r="W381" s="16" t="n"/>
      <c r="X381" s="18" t="n"/>
      <c r="Y381" s="18" t="n"/>
      <c r="Z381" s="18" t="n"/>
      <c r="AA381" s="18" t="n"/>
      <c r="AB381" s="18" t="n"/>
      <c r="AC381" s="18" t="n"/>
      <c r="AD381" s="18" t="n"/>
      <c r="AE381" s="18" t="n"/>
      <c r="AF381" s="18" t="n"/>
      <c r="AG381" s="18" t="n"/>
      <c r="AH381" s="18" t="n"/>
      <c r="AI381" s="18" t="n"/>
    </row>
    <row r="382">
      <c r="A382" s="9" t="n">
        <v>202204</v>
      </c>
      <c r="B382" s="10">
        <f>LEFT(creditcard[[#This Row],[YYYYMM]],4)</f>
        <v/>
      </c>
      <c r="C382" s="10">
        <f>RIGHT(creditcard[[#This Row],[YYYYMM]],2)</f>
        <v/>
      </c>
      <c r="D382" s="10">
        <f>IF(RIGHT(creditcard[[#This Row],[YYYYMM]],2)="--","--","Q"&amp;ROUNDUP(VALUE(RIGHT(creditcard[[#This Row],[YYYYMM]],2))/3,0))</f>
        <v/>
      </c>
      <c r="E382" s="10" t="n">
        <v>7</v>
      </c>
      <c r="F382" s="151" t="inlineStr">
        <is>
          <t>聯邦</t>
        </is>
      </c>
      <c r="G382" s="152" t="inlineStr">
        <is>
          <t>07 聯邦</t>
        </is>
      </c>
      <c r="H382" s="153" t="n">
        <v>2303098</v>
      </c>
      <c r="I382" s="153" t="n">
        <v>1337384</v>
      </c>
      <c r="J382" s="153" t="n">
        <v>22206</v>
      </c>
      <c r="K382" s="153" t="n">
        <v>14282</v>
      </c>
      <c r="L382" s="153" t="n">
        <v>5213.914</v>
      </c>
      <c r="M382" s="11" t="n"/>
      <c r="N382" s="153" t="n">
        <v>8120.55</v>
      </c>
      <c r="O382" s="11" t="n"/>
      <c r="P382" s="11" t="n"/>
      <c r="Q382" s="12" t="n"/>
      <c r="R382" s="11" t="n"/>
      <c r="S382" s="11" t="n"/>
      <c r="T382" s="11" t="n"/>
      <c r="U382" s="11" t="n"/>
      <c r="V382" s="154" t="n"/>
      <c r="W382" s="11" t="n"/>
      <c r="X382" s="13" t="n"/>
      <c r="Y382" s="13" t="n"/>
      <c r="Z382" s="13" t="n"/>
      <c r="AA382" s="13" t="n"/>
      <c r="AB382" s="13" t="n"/>
      <c r="AC382" s="13" t="n"/>
      <c r="AD382" s="13" t="n"/>
      <c r="AE382" s="13" t="n"/>
      <c r="AF382" s="13" t="n"/>
      <c r="AG382" s="13" t="n"/>
      <c r="AH382" s="13" t="n"/>
      <c r="AI382" s="13" t="n"/>
    </row>
    <row r="383">
      <c r="A383" s="14" t="n">
        <v>202204</v>
      </c>
      <c r="B383" s="15">
        <f>LEFT(creditcard[[#This Row],[YYYYMM]],4)</f>
        <v/>
      </c>
      <c r="C383" s="15">
        <f>RIGHT(creditcard[[#This Row],[YYYYMM]],2)</f>
        <v/>
      </c>
      <c r="D383" s="15">
        <f>IF(RIGHT(creditcard[[#This Row],[YYYYMM]],2)="--","--","Q"&amp;ROUNDUP(VALUE(RIGHT(creditcard[[#This Row],[YYYYMM]],2))/3,0))</f>
        <v/>
      </c>
      <c r="E383" s="15" t="n">
        <v>8</v>
      </c>
      <c r="F383" s="155" t="inlineStr">
        <is>
          <t>永豐</t>
        </is>
      </c>
      <c r="G383" s="156" t="inlineStr">
        <is>
          <t>08 永豐</t>
        </is>
      </c>
      <c r="H383" s="157" t="n">
        <v>2227849</v>
      </c>
      <c r="I383" s="157" t="n">
        <v>1200309</v>
      </c>
      <c r="J383" s="157" t="n">
        <v>15803</v>
      </c>
      <c r="K383" s="157" t="n">
        <v>6452</v>
      </c>
      <c r="L383" s="157" t="n">
        <v>3871.653</v>
      </c>
      <c r="M383" s="16" t="n"/>
      <c r="N383" s="157" t="n">
        <v>9382.218000000001</v>
      </c>
      <c r="O383" s="16" t="n"/>
      <c r="P383" s="16" t="n"/>
      <c r="Q383" s="17" t="n"/>
      <c r="R383" s="16" t="n"/>
      <c r="S383" s="16" t="n"/>
      <c r="T383" s="16" t="n"/>
      <c r="U383" s="16" t="n"/>
      <c r="V383" s="158" t="n"/>
      <c r="W383" s="16" t="n"/>
      <c r="X383" s="18" t="n"/>
      <c r="Y383" s="18" t="n"/>
      <c r="Z383" s="18" t="n"/>
      <c r="AA383" s="18" t="n"/>
      <c r="AB383" s="18" t="n"/>
      <c r="AC383" s="18" t="n"/>
      <c r="AD383" s="18" t="n"/>
      <c r="AE383" s="18" t="n"/>
      <c r="AF383" s="18" t="n"/>
      <c r="AG383" s="18" t="n"/>
      <c r="AH383" s="18" t="n"/>
      <c r="AI383" s="18" t="n"/>
    </row>
    <row r="384">
      <c r="A384" s="9" t="n">
        <v>202204</v>
      </c>
      <c r="B384" s="10">
        <f>LEFT(creditcard[[#This Row],[YYYYMM]],4)</f>
        <v/>
      </c>
      <c r="C384" s="10">
        <f>RIGHT(creditcard[[#This Row],[YYYYMM]],2)</f>
        <v/>
      </c>
      <c r="D384" s="10">
        <f>IF(RIGHT(creditcard[[#This Row],[YYYYMM]],2)="--","--","Q"&amp;ROUNDUP(VALUE(RIGHT(creditcard[[#This Row],[YYYYMM]],2))/3,0))</f>
        <v/>
      </c>
      <c r="E384" s="10" t="n">
        <v>9</v>
      </c>
      <c r="F384" s="151" t="inlineStr">
        <is>
          <t>第一</t>
        </is>
      </c>
      <c r="G384" s="152" t="inlineStr">
        <is>
          <t>09 第一</t>
        </is>
      </c>
      <c r="H384" s="153" t="n">
        <v>1458140</v>
      </c>
      <c r="I384" s="153" t="n">
        <v>884665</v>
      </c>
      <c r="J384" s="153" t="n">
        <v>17015</v>
      </c>
      <c r="K384" s="153" t="n">
        <v>9655</v>
      </c>
      <c r="L384" s="153" t="n">
        <v>1487</v>
      </c>
      <c r="M384" s="11" t="n"/>
      <c r="N384" s="153" t="n">
        <v>4713</v>
      </c>
      <c r="O384" s="11" t="n"/>
      <c r="P384" s="11" t="n"/>
      <c r="Q384" s="12" t="n"/>
      <c r="R384" s="11" t="n"/>
      <c r="S384" s="11" t="n"/>
      <c r="T384" s="11" t="n"/>
      <c r="U384" s="11" t="n"/>
      <c r="V384" s="154" t="n"/>
      <c r="W384" s="11" t="n"/>
      <c r="X384" s="13" t="n"/>
      <c r="Y384" s="13" t="n"/>
      <c r="Z384" s="13" t="n"/>
      <c r="AA384" s="13" t="n"/>
      <c r="AB384" s="13" t="n"/>
      <c r="AC384" s="13" t="n"/>
      <c r="AD384" s="13" t="n"/>
      <c r="AE384" s="13" t="n"/>
      <c r="AF384" s="13" t="n"/>
      <c r="AG384" s="13" t="n"/>
      <c r="AH384" s="13" t="n"/>
      <c r="AI384" s="13" t="n"/>
    </row>
    <row r="385">
      <c r="A385" s="14" t="n">
        <v>202204</v>
      </c>
      <c r="B385" s="15">
        <f>LEFT(creditcard[[#This Row],[YYYYMM]],4)</f>
        <v/>
      </c>
      <c r="C385" s="15">
        <f>RIGHT(creditcard[[#This Row],[YYYYMM]],2)</f>
        <v/>
      </c>
      <c r="D385" s="15">
        <f>IF(RIGHT(creditcard[[#This Row],[YYYYMM]],2)="--","--","Q"&amp;ROUNDUP(VALUE(RIGHT(creditcard[[#This Row],[YYYYMM]],2))/3,0))</f>
        <v/>
      </c>
      <c r="E385" s="15" t="n">
        <v>10</v>
      </c>
      <c r="F385" s="155" t="inlineStr">
        <is>
          <t>遠東</t>
        </is>
      </c>
      <c r="G385" s="156" t="inlineStr">
        <is>
          <t>10 遠東</t>
        </is>
      </c>
      <c r="H385" s="157" t="n">
        <v>1566844</v>
      </c>
      <c r="I385" s="157" t="n">
        <v>1007260</v>
      </c>
      <c r="J385" s="157" t="n">
        <v>11717</v>
      </c>
      <c r="K385" s="157" t="n">
        <v>9293</v>
      </c>
      <c r="L385" s="157" t="n">
        <v>3716.967</v>
      </c>
      <c r="M385" s="16" t="n"/>
      <c r="N385" s="157" t="n">
        <v>3737.974</v>
      </c>
      <c r="O385" s="16" t="n"/>
      <c r="P385" s="16" t="n"/>
      <c r="Q385" s="17" t="n"/>
      <c r="R385" s="16" t="n"/>
      <c r="S385" s="16" t="n"/>
      <c r="T385" s="16" t="n"/>
      <c r="U385" s="16" t="n"/>
      <c r="V385" s="158" t="n"/>
      <c r="W385" s="16" t="n"/>
      <c r="X385" s="18" t="n"/>
      <c r="Y385" s="18" t="n"/>
      <c r="Z385" s="18" t="n"/>
      <c r="AA385" s="18" t="n"/>
      <c r="AB385" s="18" t="n"/>
      <c r="AC385" s="18" t="n"/>
      <c r="AD385" s="18" t="n"/>
      <c r="AE385" s="18" t="n"/>
      <c r="AF385" s="18" t="n"/>
      <c r="AG385" s="18" t="n"/>
      <c r="AH385" s="18" t="n"/>
      <c r="AI385" s="18" t="n"/>
    </row>
    <row r="386">
      <c r="A386" s="9" t="n">
        <v>202204</v>
      </c>
      <c r="B386" s="10">
        <f>LEFT(creditcard[[#This Row],[YYYYMM]],4)</f>
        <v/>
      </c>
      <c r="C386" s="10">
        <f>RIGHT(creditcard[[#This Row],[YYYYMM]],2)</f>
        <v/>
      </c>
      <c r="D386" s="10">
        <f>IF(RIGHT(creditcard[[#This Row],[YYYYMM]],2)="--","--","Q"&amp;ROUNDUP(VALUE(RIGHT(creditcard[[#This Row],[YYYYMM]],2))/3,0))</f>
        <v/>
      </c>
      <c r="E386" s="10" t="n">
        <v>11</v>
      </c>
      <c r="F386" s="151" t="inlineStr">
        <is>
          <t>市場總計</t>
        </is>
      </c>
      <c r="G386" s="152" t="inlineStr">
        <is>
          <t>11 市場總計</t>
        </is>
      </c>
      <c r="H386" s="153" t="n">
        <v>52688370</v>
      </c>
      <c r="I386" s="153" t="n">
        <v>33919801</v>
      </c>
      <c r="J386" s="153" t="n">
        <v>462804</v>
      </c>
      <c r="K386" s="153" t="n">
        <v>248952</v>
      </c>
      <c r="L386" s="153" t="n">
        <v>97645</v>
      </c>
      <c r="M386" s="11" t="n"/>
      <c r="N386" s="153" t="n">
        <v>235292</v>
      </c>
      <c r="O386" s="11" t="n"/>
      <c r="P386" s="11" t="n"/>
      <c r="Q386" s="12" t="n"/>
      <c r="R386" s="11" t="n"/>
      <c r="S386" s="11" t="n"/>
      <c r="T386" s="11" t="n"/>
      <c r="U386" s="11" t="n"/>
      <c r="V386" s="154" t="n">
        <v>4.43</v>
      </c>
      <c r="W386" s="11">
        <f>SUMIFS(H:H,A:A,creditcard[[#This Row],[YYYYMM]],G:G,creditcard[[#This Row],[Item]])</f>
        <v/>
      </c>
      <c r="X386" s="4">
        <f>IFERROR(SUMIFS(H:H,A:A,creditcard[[#This Row],[YYYYMM]],E:E,"&lt;=5")/creditcard[[#This Row],[市場總計]],"")</f>
        <v/>
      </c>
      <c r="Y386" s="4">
        <f>IFERROR(SUMIFS(H:H,A:A,creditcard[[#This Row],[YYYYMM]],E:E,"&lt;=10")/creditcard[[#This Row],[市場總計]],"")</f>
        <v/>
      </c>
      <c r="Z386" s="4">
        <f>IFERROR(SUMIFS(I:I,A:A,creditcard[[#This Row],[YYYYMM]],E:E,"&lt;=5")/creditcard[[#This Row],[有效卡數]],"")</f>
        <v/>
      </c>
      <c r="AA386" s="4">
        <f>IFERROR(SUMIFS(I:I,A:A,creditcard[[#This Row],[YYYYMM]],E:E,"&lt;=10")/creditcard[[#This Row],[有效卡數]],"")</f>
        <v/>
      </c>
      <c r="AB386" s="4">
        <f>IFERROR(SUMIFS(J:J,A:A,creditcard[[#This Row],[YYYYMM]],E:E,"&lt;=5")/creditcard[[#This Row],[當月發卡數]],"")</f>
        <v/>
      </c>
      <c r="AC386" s="4">
        <f>IFERROR(SUMIFS(J:J,A:A,creditcard[[#This Row],[YYYYMM]],E:E,"&lt;=10")/creditcard[[#This Row],[當月發卡數]],"")</f>
        <v/>
      </c>
      <c r="AD386" s="4">
        <f>IFERROR(SUMIFS(K:K,A:A,creditcard[[#This Row],[YYYYMM]],E:E,"&lt;=5")/creditcard[[#This Row],[當月停卡數]],"")</f>
        <v/>
      </c>
      <c r="AE386" s="4">
        <f>IFERROR(SUMIFS(K:K,A:A,creditcard[[#This Row],[YYYYMM]],E:E,"&lt;=10")/creditcard[[#This Row],[當月停卡數]],"")</f>
        <v/>
      </c>
      <c r="AF386" s="4">
        <f>IFERROR(SUMIFS(L:L,A:A,creditcard[[#This Row],[YYYYMM]],E:E,"&lt;=5")/creditcard[[#This Row],[循環信用餘額]],"")</f>
        <v/>
      </c>
      <c r="AG386" s="4">
        <f>IFERROR(SUMIFS(L:L,A:A,creditcard[[#This Row],[YYYYMM]],E:E,"&lt;=10")/creditcard[[#This Row],[循環信用餘額]],"")</f>
        <v/>
      </c>
      <c r="AH386" s="4">
        <f>IFERROR(SUMIFS(N:N,A:A,creditcard[[#This Row],[YYYYMM]],E:E,"&lt;=5")/creditcard[[#This Row],[當月簽帳金額]],"")</f>
        <v/>
      </c>
      <c r="AI386" s="4">
        <f>IFERROR(SUMIFS(N:N,A:A,creditcard[[#This Row],[YYYYMM]],E:E,"&lt;=10")/creditcard[[#This Row],[當月簽帳金額]],"")</f>
        <v/>
      </c>
    </row>
    <row r="387">
      <c r="A387" s="14" t="n">
        <v>202205</v>
      </c>
      <c r="B387" s="15">
        <f>LEFT(creditcard[[#This Row],[YYYYMM]],4)</f>
        <v/>
      </c>
      <c r="C387" s="15">
        <f>RIGHT(creditcard[[#This Row],[YYYYMM]],2)</f>
        <v/>
      </c>
      <c r="D387" s="15">
        <f>IF(RIGHT(creditcard[[#This Row],[YYYYMM]],2)="--","--","Q"&amp;ROUNDUP(VALUE(RIGHT(creditcard[[#This Row],[YYYYMM]],2))/3,0))</f>
        <v/>
      </c>
      <c r="E387" s="15" t="n">
        <v>1</v>
      </c>
      <c r="F387" s="155" t="inlineStr">
        <is>
          <t>中信</t>
        </is>
      </c>
      <c r="G387" s="156" t="inlineStr">
        <is>
          <t>01 中信</t>
        </is>
      </c>
      <c r="H387" s="157" t="n">
        <v>8070153</v>
      </c>
      <c r="I387" s="157" t="n">
        <v>5053460</v>
      </c>
      <c r="J387" s="157" t="n">
        <v>94611</v>
      </c>
      <c r="K387" s="157" t="n">
        <v>56882</v>
      </c>
      <c r="L387" s="157" t="n">
        <v>14939</v>
      </c>
      <c r="M387" s="16" t="n"/>
      <c r="N387" s="157" t="n">
        <v>40416</v>
      </c>
      <c r="O387" s="16" t="n"/>
      <c r="P387" s="16" t="n"/>
      <c r="Q387" s="17" t="n"/>
      <c r="R387" s="16" t="n"/>
      <c r="S387" s="16" t="n"/>
      <c r="T387" s="16" t="n"/>
      <c r="U387" s="16" t="n"/>
      <c r="V387" s="158" t="n"/>
      <c r="W387" s="16" t="n"/>
      <c r="X387" s="18" t="n"/>
      <c r="Y387" s="18" t="n"/>
      <c r="Z387" s="18" t="n"/>
      <c r="AA387" s="18" t="n"/>
      <c r="AB387" s="18" t="n"/>
      <c r="AC387" s="18" t="n"/>
      <c r="AD387" s="18" t="n"/>
      <c r="AE387" s="18" t="n"/>
      <c r="AF387" s="18" t="n"/>
      <c r="AG387" s="18" t="n"/>
      <c r="AH387" s="18" t="n"/>
      <c r="AI387" s="18" t="n"/>
    </row>
    <row r="388">
      <c r="A388" s="9" t="n">
        <v>202205</v>
      </c>
      <c r="B388" s="10">
        <f>LEFT(creditcard[[#This Row],[YYYYMM]],4)</f>
        <v/>
      </c>
      <c r="C388" s="10">
        <f>RIGHT(creditcard[[#This Row],[YYYYMM]],2)</f>
        <v/>
      </c>
      <c r="D388" s="10">
        <f>IF(RIGHT(creditcard[[#This Row],[YYYYMM]],2)="--","--","Q"&amp;ROUNDUP(VALUE(RIGHT(creditcard[[#This Row],[YYYYMM]],2))/3,0))</f>
        <v/>
      </c>
      <c r="E388" s="10" t="n">
        <v>2</v>
      </c>
      <c r="F388" s="151" t="inlineStr">
        <is>
          <t>富邦</t>
        </is>
      </c>
      <c r="G388" s="152" t="inlineStr">
        <is>
          <t>02 富邦</t>
        </is>
      </c>
      <c r="H388" s="153" t="n">
        <v>4484730</v>
      </c>
      <c r="I388" s="153" t="n">
        <v>3031911</v>
      </c>
      <c r="J388" s="153" t="n">
        <v>57811</v>
      </c>
      <c r="K388" s="153" t="n">
        <v>16243</v>
      </c>
      <c r="L388" s="153" t="n">
        <v>5741</v>
      </c>
      <c r="M388" s="11" t="n"/>
      <c r="N388" s="153" t="n">
        <v>28477</v>
      </c>
      <c r="O388" s="11" t="n"/>
      <c r="P388" s="11" t="n"/>
      <c r="Q388" s="12" t="n"/>
      <c r="R388" s="11" t="n"/>
      <c r="S388" s="11" t="n"/>
      <c r="T388" s="11" t="n"/>
      <c r="U388" s="11" t="n"/>
      <c r="V388" s="154" t="n"/>
      <c r="W388" s="11" t="n"/>
      <c r="X388" s="13" t="n"/>
      <c r="Y388" s="13" t="n"/>
      <c r="Z388" s="13" t="n"/>
      <c r="AA388" s="13" t="n"/>
      <c r="AB388" s="13" t="n"/>
      <c r="AC388" s="13" t="n"/>
      <c r="AD388" s="13" t="n"/>
      <c r="AE388" s="13" t="n"/>
      <c r="AF388" s="13" t="n"/>
      <c r="AG388" s="13" t="n"/>
      <c r="AH388" s="13" t="n"/>
      <c r="AI388" s="13" t="n"/>
    </row>
    <row r="389">
      <c r="A389" s="14" t="n">
        <v>202205</v>
      </c>
      <c r="B389" s="15">
        <f>LEFT(creditcard[[#This Row],[YYYYMM]],4)</f>
        <v/>
      </c>
      <c r="C389" s="15">
        <f>RIGHT(creditcard[[#This Row],[YYYYMM]],2)</f>
        <v/>
      </c>
      <c r="D389" s="15">
        <f>IF(RIGHT(creditcard[[#This Row],[YYYYMM]],2)="--","--","Q"&amp;ROUNDUP(VALUE(RIGHT(creditcard[[#This Row],[YYYYMM]],2))/3,0))</f>
        <v/>
      </c>
      <c r="E389" s="15" t="n">
        <v>3</v>
      </c>
      <c r="F389" s="155" t="inlineStr">
        <is>
          <t>國泰</t>
        </is>
      </c>
      <c r="G389" s="156" t="inlineStr">
        <is>
          <t>03 國泰</t>
        </is>
      </c>
      <c r="H389" s="157" t="n">
        <v>7750916</v>
      </c>
      <c r="I389" s="157" t="n">
        <v>5473447</v>
      </c>
      <c r="J389" s="157" t="n">
        <v>58691</v>
      </c>
      <c r="K389" s="157" t="n">
        <v>31348</v>
      </c>
      <c r="L389" s="157" t="n">
        <v>17302</v>
      </c>
      <c r="M389" s="16" t="n"/>
      <c r="N389" s="157" t="n">
        <v>43961</v>
      </c>
      <c r="O389" s="16" t="n"/>
      <c r="P389" s="16" t="n"/>
      <c r="Q389" s="17" t="n"/>
      <c r="R389" s="16" t="n"/>
      <c r="S389" s="16" t="n"/>
      <c r="T389" s="16" t="n"/>
      <c r="U389" s="16" t="n"/>
      <c r="V389" s="158" t="n"/>
      <c r="W389" s="16" t="n"/>
      <c r="X389" s="18" t="n"/>
      <c r="Y389" s="18" t="n"/>
      <c r="Z389" s="18" t="n"/>
      <c r="AA389" s="18" t="n"/>
      <c r="AB389" s="18" t="n"/>
      <c r="AC389" s="18" t="n"/>
      <c r="AD389" s="18" t="n"/>
      <c r="AE389" s="18" t="n"/>
      <c r="AF389" s="18" t="n"/>
      <c r="AG389" s="18" t="n"/>
      <c r="AH389" s="18" t="n"/>
      <c r="AI389" s="18" t="n"/>
    </row>
    <row r="390">
      <c r="A390" s="9" t="n">
        <v>202205</v>
      </c>
      <c r="B390" s="10">
        <f>LEFT(creditcard[[#This Row],[YYYYMM]],4)</f>
        <v/>
      </c>
      <c r="C390" s="10">
        <f>RIGHT(creditcard[[#This Row],[YYYYMM]],2)</f>
        <v/>
      </c>
      <c r="D390" s="10">
        <f>IF(RIGHT(creditcard[[#This Row],[YYYYMM]],2)="--","--","Q"&amp;ROUNDUP(VALUE(RIGHT(creditcard[[#This Row],[YYYYMM]],2))/3,0))</f>
        <v/>
      </c>
      <c r="E390" s="10" t="n">
        <v>4</v>
      </c>
      <c r="F390" s="151" t="inlineStr">
        <is>
          <t>玉山</t>
        </is>
      </c>
      <c r="G390" s="152" t="inlineStr">
        <is>
          <t>04 玉山</t>
        </is>
      </c>
      <c r="H390" s="153" t="n">
        <v>6704455</v>
      </c>
      <c r="I390" s="153" t="n">
        <v>4522803</v>
      </c>
      <c r="J390" s="153" t="n">
        <v>44190</v>
      </c>
      <c r="K390" s="153" t="n">
        <v>20707</v>
      </c>
      <c r="L390" s="153" t="n">
        <v>12238</v>
      </c>
      <c r="M390" s="11" t="n"/>
      <c r="N390" s="153" t="n">
        <v>35222</v>
      </c>
      <c r="O390" s="11" t="n"/>
      <c r="P390" s="11" t="n"/>
      <c r="Q390" s="12" t="n"/>
      <c r="R390" s="11" t="n"/>
      <c r="S390" s="11" t="n"/>
      <c r="T390" s="11" t="n"/>
      <c r="U390" s="11" t="n"/>
      <c r="V390" s="154" t="n"/>
      <c r="W390" s="11" t="n"/>
      <c r="X390" s="13" t="n"/>
      <c r="Y390" s="13" t="n"/>
      <c r="Z390" s="13" t="n"/>
      <c r="AA390" s="13" t="n"/>
      <c r="AB390" s="13" t="n"/>
      <c r="AC390" s="13" t="n"/>
      <c r="AD390" s="13" t="n"/>
      <c r="AE390" s="13" t="n"/>
      <c r="AF390" s="13" t="n"/>
      <c r="AG390" s="13" t="n"/>
      <c r="AH390" s="13" t="n"/>
      <c r="AI390" s="13" t="n"/>
    </row>
    <row r="391">
      <c r="A391" s="14" t="n">
        <v>202205</v>
      </c>
      <c r="B391" s="15">
        <f>LEFT(creditcard[[#This Row],[YYYYMM]],4)</f>
        <v/>
      </c>
      <c r="C391" s="15">
        <f>RIGHT(creditcard[[#This Row],[YYYYMM]],2)</f>
        <v/>
      </c>
      <c r="D391" s="15">
        <f>IF(RIGHT(creditcard[[#This Row],[YYYYMM]],2)="--","--","Q"&amp;ROUNDUP(VALUE(RIGHT(creditcard[[#This Row],[YYYYMM]],2))/3,0))</f>
        <v/>
      </c>
      <c r="E391" s="15" t="n">
        <v>5</v>
      </c>
      <c r="F391" s="155" t="inlineStr">
        <is>
          <t>台新</t>
        </is>
      </c>
      <c r="G391" s="156" t="inlineStr">
        <is>
          <t>05 台新</t>
        </is>
      </c>
      <c r="H391" s="157" t="n">
        <v>6142300</v>
      </c>
      <c r="I391" s="157" t="n">
        <v>4120744</v>
      </c>
      <c r="J391" s="157" t="n">
        <v>51824</v>
      </c>
      <c r="K391" s="157" t="n">
        <v>28413</v>
      </c>
      <c r="L391" s="157" t="n">
        <v>9682</v>
      </c>
      <c r="M391" s="16" t="n"/>
      <c r="N391" s="157" t="n">
        <v>27556</v>
      </c>
      <c r="O391" s="16" t="n"/>
      <c r="P391" s="16" t="n"/>
      <c r="Q391" s="17" t="n"/>
      <c r="R391" s="16" t="n"/>
      <c r="S391" s="16" t="n"/>
      <c r="T391" s="16" t="n"/>
      <c r="U391" s="16" t="n"/>
      <c r="V391" s="158" t="n"/>
      <c r="W391" s="16" t="n"/>
      <c r="X391" s="18" t="n"/>
      <c r="Y391" s="18" t="n"/>
      <c r="Z391" s="18" t="n"/>
      <c r="AA391" s="18" t="n"/>
      <c r="AB391" s="18" t="n"/>
      <c r="AC391" s="18" t="n"/>
      <c r="AD391" s="18" t="n"/>
      <c r="AE391" s="18" t="n"/>
      <c r="AF391" s="18" t="n"/>
      <c r="AG391" s="18" t="n"/>
      <c r="AH391" s="18" t="n"/>
      <c r="AI391" s="18" t="n"/>
    </row>
    <row r="392">
      <c r="A392" s="9" t="n">
        <v>202205</v>
      </c>
      <c r="B392" s="10">
        <f>LEFT(creditcard[[#This Row],[YYYYMM]],4)</f>
        <v/>
      </c>
      <c r="C392" s="10">
        <f>RIGHT(creditcard[[#This Row],[YYYYMM]],2)</f>
        <v/>
      </c>
      <c r="D392" s="10">
        <f>IF(RIGHT(creditcard[[#This Row],[YYYYMM]],2)="--","--","Q"&amp;ROUNDUP(VALUE(RIGHT(creditcard[[#This Row],[YYYYMM]],2))/3,0))</f>
        <v/>
      </c>
      <c r="E392" s="10" t="n">
        <v>6</v>
      </c>
      <c r="F392" s="151" t="inlineStr">
        <is>
          <t>星展</t>
        </is>
      </c>
      <c r="G392" s="152" t="inlineStr">
        <is>
          <t>06 星展</t>
        </is>
      </c>
      <c r="H392" s="153" t="n">
        <v>632114</v>
      </c>
      <c r="I392" s="153" t="n">
        <v>322861</v>
      </c>
      <c r="J392" s="153" t="n">
        <v>5511</v>
      </c>
      <c r="K392" s="153" t="n">
        <v>3419</v>
      </c>
      <c r="L392" s="153" t="n">
        <v>1245</v>
      </c>
      <c r="M392" s="11" t="n"/>
      <c r="N392" s="153" t="n">
        <v>2920</v>
      </c>
      <c r="O392" s="11" t="n"/>
      <c r="P392" s="11" t="n"/>
      <c r="Q392" s="12" t="n"/>
      <c r="R392" s="11" t="n"/>
      <c r="S392" s="11" t="n"/>
      <c r="T392" s="11" t="n"/>
      <c r="U392" s="11" t="n"/>
      <c r="V392" s="154" t="n"/>
      <c r="W392" s="11" t="n"/>
      <c r="X392" s="13" t="n"/>
      <c r="Y392" s="13" t="n"/>
      <c r="Z392" s="13" t="n"/>
      <c r="AA392" s="13" t="n"/>
      <c r="AB392" s="13" t="n"/>
      <c r="AC392" s="13" t="n"/>
      <c r="AD392" s="13" t="n"/>
      <c r="AE392" s="13" t="n"/>
      <c r="AF392" s="13" t="n"/>
      <c r="AG392" s="13" t="n"/>
      <c r="AH392" s="13" t="n"/>
      <c r="AI392" s="13" t="n"/>
    </row>
    <row r="393">
      <c r="A393" s="14" t="n">
        <v>202205</v>
      </c>
      <c r="B393" s="15">
        <f>LEFT(creditcard[[#This Row],[YYYYMM]],4)</f>
        <v/>
      </c>
      <c r="C393" s="15">
        <f>RIGHT(creditcard[[#This Row],[YYYYMM]],2)</f>
        <v/>
      </c>
      <c r="D393" s="15">
        <f>IF(RIGHT(creditcard[[#This Row],[YYYYMM]],2)="--","--","Q"&amp;ROUNDUP(VALUE(RIGHT(creditcard[[#This Row],[YYYYMM]],2))/3,0))</f>
        <v/>
      </c>
      <c r="E393" s="15" t="n">
        <v>7</v>
      </c>
      <c r="F393" s="155" t="inlineStr">
        <is>
          <t>聯邦</t>
        </is>
      </c>
      <c r="G393" s="156" t="inlineStr">
        <is>
          <t>07 聯邦</t>
        </is>
      </c>
      <c r="H393" s="157" t="n">
        <v>2308459</v>
      </c>
      <c r="I393" s="157" t="n">
        <v>1337769</v>
      </c>
      <c r="J393" s="157" t="n">
        <v>20600</v>
      </c>
      <c r="K393" s="157" t="n">
        <v>15239</v>
      </c>
      <c r="L393" s="157" t="n">
        <v>5282</v>
      </c>
      <c r="M393" s="16" t="n"/>
      <c r="N393" s="157" t="n">
        <v>8332</v>
      </c>
      <c r="O393" s="16" t="n"/>
      <c r="P393" s="16" t="n"/>
      <c r="Q393" s="17" t="n"/>
      <c r="R393" s="16" t="n"/>
      <c r="S393" s="16" t="n"/>
      <c r="T393" s="16" t="n"/>
      <c r="U393" s="16" t="n"/>
      <c r="V393" s="158" t="n"/>
      <c r="W393" s="16" t="n"/>
      <c r="X393" s="18" t="n"/>
      <c r="Y393" s="18" t="n"/>
      <c r="Z393" s="18" t="n"/>
      <c r="AA393" s="18" t="n"/>
      <c r="AB393" s="18" t="n"/>
      <c r="AC393" s="18" t="n"/>
      <c r="AD393" s="18" t="n"/>
      <c r="AE393" s="18" t="n"/>
      <c r="AF393" s="18" t="n"/>
      <c r="AG393" s="18" t="n"/>
      <c r="AH393" s="18" t="n"/>
      <c r="AI393" s="18" t="n"/>
    </row>
    <row r="394">
      <c r="A394" s="9" t="n">
        <v>202205</v>
      </c>
      <c r="B394" s="10">
        <f>LEFT(creditcard[[#This Row],[YYYYMM]],4)</f>
        <v/>
      </c>
      <c r="C394" s="10">
        <f>RIGHT(creditcard[[#This Row],[YYYYMM]],2)</f>
        <v/>
      </c>
      <c r="D394" s="10">
        <f>IF(RIGHT(creditcard[[#This Row],[YYYYMM]],2)="--","--","Q"&amp;ROUNDUP(VALUE(RIGHT(creditcard[[#This Row],[YYYYMM]],2))/3,0))</f>
        <v/>
      </c>
      <c r="E394" s="10" t="n">
        <v>8</v>
      </c>
      <c r="F394" s="151" t="inlineStr">
        <is>
          <t>永豐</t>
        </is>
      </c>
      <c r="G394" s="152" t="inlineStr">
        <is>
          <t>08 永豐</t>
        </is>
      </c>
      <c r="H394" s="153" t="n">
        <v>2234657</v>
      </c>
      <c r="I394" s="153" t="n">
        <v>1201339</v>
      </c>
      <c r="J394" s="153" t="n">
        <v>12594</v>
      </c>
      <c r="K394" s="153" t="n">
        <v>6102</v>
      </c>
      <c r="L394" s="153" t="n">
        <v>3863</v>
      </c>
      <c r="M394" s="11" t="n"/>
      <c r="N394" s="153" t="n">
        <v>9728</v>
      </c>
      <c r="O394" s="11" t="n"/>
      <c r="P394" s="11" t="n"/>
      <c r="Q394" s="12" t="n"/>
      <c r="R394" s="11" t="n"/>
      <c r="S394" s="11" t="n"/>
      <c r="T394" s="11" t="n"/>
      <c r="U394" s="11" t="n"/>
      <c r="V394" s="154" t="n"/>
      <c r="W394" s="11" t="n"/>
      <c r="X394" s="13" t="n"/>
      <c r="Y394" s="13" t="n"/>
      <c r="Z394" s="13" t="n"/>
      <c r="AA394" s="13" t="n"/>
      <c r="AB394" s="13" t="n"/>
      <c r="AC394" s="13" t="n"/>
      <c r="AD394" s="13" t="n"/>
      <c r="AE394" s="13" t="n"/>
      <c r="AF394" s="13" t="n"/>
      <c r="AG394" s="13" t="n"/>
      <c r="AH394" s="13" t="n"/>
      <c r="AI394" s="13" t="n"/>
    </row>
    <row r="395">
      <c r="A395" s="14" t="n">
        <v>202205</v>
      </c>
      <c r="B395" s="15">
        <f>LEFT(creditcard[[#This Row],[YYYYMM]],4)</f>
        <v/>
      </c>
      <c r="C395" s="15">
        <f>RIGHT(creditcard[[#This Row],[YYYYMM]],2)</f>
        <v/>
      </c>
      <c r="D395" s="15">
        <f>IF(RIGHT(creditcard[[#This Row],[YYYYMM]],2)="--","--","Q"&amp;ROUNDUP(VALUE(RIGHT(creditcard[[#This Row],[YYYYMM]],2))/3,0))</f>
        <v/>
      </c>
      <c r="E395" s="15" t="n">
        <v>9</v>
      </c>
      <c r="F395" s="155" t="inlineStr">
        <is>
          <t>第一</t>
        </is>
      </c>
      <c r="G395" s="156" t="inlineStr">
        <is>
          <t>09 第一</t>
        </is>
      </c>
      <c r="H395" s="157" t="n">
        <v>1466546</v>
      </c>
      <c r="I395" s="157" t="n">
        <v>888283</v>
      </c>
      <c r="J395" s="157" t="n">
        <v>15191</v>
      </c>
      <c r="K395" s="157" t="n">
        <v>7130</v>
      </c>
      <c r="L395" s="157" t="n">
        <v>1497</v>
      </c>
      <c r="M395" s="16" t="n"/>
      <c r="N395" s="157" t="n">
        <v>5065</v>
      </c>
      <c r="O395" s="16" t="n"/>
      <c r="P395" s="16" t="n"/>
      <c r="Q395" s="17" t="n"/>
      <c r="R395" s="16" t="n"/>
      <c r="S395" s="16" t="n"/>
      <c r="T395" s="16" t="n"/>
      <c r="U395" s="16" t="n"/>
      <c r="V395" s="158" t="n"/>
      <c r="W395" s="16" t="n"/>
      <c r="X395" s="18" t="n"/>
      <c r="Y395" s="18" t="n"/>
      <c r="Z395" s="18" t="n"/>
      <c r="AA395" s="18" t="n"/>
      <c r="AB395" s="18" t="n"/>
      <c r="AC395" s="18" t="n"/>
      <c r="AD395" s="18" t="n"/>
      <c r="AE395" s="18" t="n"/>
      <c r="AF395" s="18" t="n"/>
      <c r="AG395" s="18" t="n"/>
      <c r="AH395" s="18" t="n"/>
      <c r="AI395" s="18" t="n"/>
    </row>
    <row r="396">
      <c r="A396" s="9" t="n">
        <v>202205</v>
      </c>
      <c r="B396" s="10">
        <f>LEFT(creditcard[[#This Row],[YYYYMM]],4)</f>
        <v/>
      </c>
      <c r="C396" s="10">
        <f>RIGHT(creditcard[[#This Row],[YYYYMM]],2)</f>
        <v/>
      </c>
      <c r="D396" s="10">
        <f>IF(RIGHT(creditcard[[#This Row],[YYYYMM]],2)="--","--","Q"&amp;ROUNDUP(VALUE(RIGHT(creditcard[[#This Row],[YYYYMM]],2))/3,0))</f>
        <v/>
      </c>
      <c r="E396" s="10" t="n">
        <v>10</v>
      </c>
      <c r="F396" s="151" t="inlineStr">
        <is>
          <t>遠東</t>
        </is>
      </c>
      <c r="G396" s="152" t="inlineStr">
        <is>
          <t>10 遠東</t>
        </is>
      </c>
      <c r="H396" s="153" t="n">
        <v>1565813</v>
      </c>
      <c r="I396" s="153" t="n">
        <v>995762</v>
      </c>
      <c r="J396" s="153" t="n">
        <v>8752</v>
      </c>
      <c r="K396" s="153" t="n">
        <v>9787</v>
      </c>
      <c r="L396" s="153" t="n">
        <v>3654</v>
      </c>
      <c r="M396" s="11" t="n"/>
      <c r="N396" s="153" t="n">
        <v>3797</v>
      </c>
      <c r="O396" s="11" t="n"/>
      <c r="P396" s="11" t="n"/>
      <c r="Q396" s="12" t="n"/>
      <c r="R396" s="11" t="n"/>
      <c r="S396" s="11" t="n"/>
      <c r="T396" s="11" t="n"/>
      <c r="U396" s="11" t="n"/>
      <c r="V396" s="154" t="n"/>
      <c r="W396" s="11" t="n"/>
      <c r="X396" s="13" t="n"/>
      <c r="Y396" s="13" t="n"/>
      <c r="Z396" s="13" t="n"/>
      <c r="AA396" s="13" t="n"/>
      <c r="AB396" s="13" t="n"/>
      <c r="AC396" s="13" t="n"/>
      <c r="AD396" s="13" t="n"/>
      <c r="AE396" s="13" t="n"/>
      <c r="AF396" s="13" t="n"/>
      <c r="AG396" s="13" t="n"/>
      <c r="AH396" s="13" t="n"/>
      <c r="AI396" s="13" t="n"/>
    </row>
    <row r="397">
      <c r="A397" s="14" t="n">
        <v>202205</v>
      </c>
      <c r="B397" s="15">
        <f>LEFT(creditcard[[#This Row],[YYYYMM]],4)</f>
        <v/>
      </c>
      <c r="C397" s="15">
        <f>RIGHT(creditcard[[#This Row],[YYYYMM]],2)</f>
        <v/>
      </c>
      <c r="D397" s="15">
        <f>IF(RIGHT(creditcard[[#This Row],[YYYYMM]],2)="--","--","Q"&amp;ROUNDUP(VALUE(RIGHT(creditcard[[#This Row],[YYYYMM]],2))/3,0))</f>
        <v/>
      </c>
      <c r="E397" s="15" t="n">
        <v>11</v>
      </c>
      <c r="F397" s="155" t="inlineStr">
        <is>
          <t>市場總計</t>
        </is>
      </c>
      <c r="G397" s="156" t="inlineStr">
        <is>
          <t>11 市場總計</t>
        </is>
      </c>
      <c r="H397" s="157" t="n">
        <v>52888484</v>
      </c>
      <c r="I397" s="157" t="n">
        <v>33946889</v>
      </c>
      <c r="J397" s="157" t="n">
        <v>471313</v>
      </c>
      <c r="K397" s="157" t="n">
        <v>274248</v>
      </c>
      <c r="L397" s="157" t="n">
        <v>97446</v>
      </c>
      <c r="M397" s="16" t="n"/>
      <c r="N397" s="157" t="n">
        <v>254309</v>
      </c>
      <c r="O397" s="16" t="n"/>
      <c r="P397" s="16" t="n"/>
      <c r="Q397" s="17" t="n"/>
      <c r="R397" s="16" t="n"/>
      <c r="S397" s="16" t="n"/>
      <c r="T397" s="16" t="n"/>
      <c r="U397" s="16" t="n"/>
      <c r="V397" s="158" t="n">
        <v>4.44</v>
      </c>
      <c r="W397" s="16">
        <f>SUMIFS(H:H,A:A,creditcard[[#This Row],[YYYYMM]],G:G,creditcard[[#This Row],[Item]])</f>
        <v/>
      </c>
      <c r="X397" s="4">
        <f>IFERROR(SUMIFS(H:H,A:A,creditcard[[#This Row],[YYYYMM]],E:E,"&lt;=5")/creditcard[[#This Row],[市場總計]],"")</f>
        <v/>
      </c>
      <c r="Y397" s="4">
        <f>IFERROR(SUMIFS(H:H,A:A,creditcard[[#This Row],[YYYYMM]],E:E,"&lt;=10")/creditcard[[#This Row],[市場總計]],"")</f>
        <v/>
      </c>
      <c r="Z397" s="4">
        <f>IFERROR(SUMIFS(I:I,A:A,creditcard[[#This Row],[YYYYMM]],E:E,"&lt;=5")/creditcard[[#This Row],[有效卡數]],"")</f>
        <v/>
      </c>
      <c r="AA397" s="4">
        <f>IFERROR(SUMIFS(I:I,A:A,creditcard[[#This Row],[YYYYMM]],E:E,"&lt;=10")/creditcard[[#This Row],[有效卡數]],"")</f>
        <v/>
      </c>
      <c r="AB397" s="4">
        <f>IFERROR(SUMIFS(J:J,A:A,creditcard[[#This Row],[YYYYMM]],E:E,"&lt;=5")/creditcard[[#This Row],[當月發卡數]],"")</f>
        <v/>
      </c>
      <c r="AC397" s="4">
        <f>IFERROR(SUMIFS(J:J,A:A,creditcard[[#This Row],[YYYYMM]],E:E,"&lt;=10")/creditcard[[#This Row],[當月發卡數]],"")</f>
        <v/>
      </c>
      <c r="AD397" s="4">
        <f>IFERROR(SUMIFS(K:K,A:A,creditcard[[#This Row],[YYYYMM]],E:E,"&lt;=5")/creditcard[[#This Row],[當月停卡數]],"")</f>
        <v/>
      </c>
      <c r="AE397" s="4">
        <f>IFERROR(SUMIFS(K:K,A:A,creditcard[[#This Row],[YYYYMM]],E:E,"&lt;=10")/creditcard[[#This Row],[當月停卡數]],"")</f>
        <v/>
      </c>
      <c r="AF397" s="4">
        <f>IFERROR(SUMIFS(L:L,A:A,creditcard[[#This Row],[YYYYMM]],E:E,"&lt;=5")/creditcard[[#This Row],[循環信用餘額]],"")</f>
        <v/>
      </c>
      <c r="AG397" s="4">
        <f>IFERROR(SUMIFS(L:L,A:A,creditcard[[#This Row],[YYYYMM]],E:E,"&lt;=10")/creditcard[[#This Row],[循環信用餘額]],"")</f>
        <v/>
      </c>
      <c r="AH397" s="4">
        <f>IFERROR(SUMIFS(N:N,A:A,creditcard[[#This Row],[YYYYMM]],E:E,"&lt;=5")/creditcard[[#This Row],[當月簽帳金額]],"")</f>
        <v/>
      </c>
      <c r="AI397" s="4">
        <f>IFERROR(SUMIFS(N:N,A:A,creditcard[[#This Row],[YYYYMM]],E:E,"&lt;=10")/creditcard[[#This Row],[當月簽帳金額]],"")</f>
        <v/>
      </c>
    </row>
    <row r="398">
      <c r="A398" s="9" t="n">
        <v>202206</v>
      </c>
      <c r="B398" s="10">
        <f>LEFT(creditcard[[#This Row],[YYYYMM]],4)</f>
        <v/>
      </c>
      <c r="C398" s="10">
        <f>RIGHT(creditcard[[#This Row],[YYYYMM]],2)</f>
        <v/>
      </c>
      <c r="D398" s="10">
        <f>IF(RIGHT(creditcard[[#This Row],[YYYYMM]],2)="--","--","Q"&amp;ROUNDUP(VALUE(RIGHT(creditcard[[#This Row],[YYYYMM]],2))/3,0))</f>
        <v/>
      </c>
      <c r="E398" s="10" t="n">
        <v>1</v>
      </c>
      <c r="F398" s="151" t="inlineStr">
        <is>
          <t>中信</t>
        </is>
      </c>
      <c r="G398" s="152" t="inlineStr">
        <is>
          <t>01 中信</t>
        </is>
      </c>
      <c r="H398" s="153" t="n">
        <v>8125767</v>
      </c>
      <c r="I398" s="153" t="n">
        <v>5064932</v>
      </c>
      <c r="J398" s="153" t="n">
        <v>100879</v>
      </c>
      <c r="K398" s="153" t="n">
        <v>45265</v>
      </c>
      <c r="L398" s="153" t="n">
        <v>15109</v>
      </c>
      <c r="M398" s="11" t="n"/>
      <c r="N398" s="153" t="n">
        <v>41111</v>
      </c>
      <c r="O398" s="11" t="n"/>
      <c r="P398" s="11" t="n"/>
      <c r="Q398" s="12" t="n"/>
      <c r="R398" s="11" t="n"/>
      <c r="S398" s="11" t="n"/>
      <c r="T398" s="11" t="n"/>
      <c r="U398" s="11" t="n"/>
      <c r="V398" s="154" t="n"/>
      <c r="W398" s="11" t="n"/>
      <c r="X398" s="13" t="n"/>
      <c r="Y398" s="13" t="n"/>
      <c r="Z398" s="13" t="n"/>
      <c r="AA398" s="13" t="n"/>
      <c r="AB398" s="13" t="n"/>
      <c r="AC398" s="13" t="n"/>
      <c r="AD398" s="13" t="n"/>
      <c r="AE398" s="13" t="n"/>
      <c r="AF398" s="13" t="n"/>
      <c r="AG398" s="13" t="n"/>
      <c r="AH398" s="13" t="n"/>
      <c r="AI398" s="13" t="n"/>
    </row>
    <row r="399">
      <c r="A399" s="14" t="n">
        <v>202206</v>
      </c>
      <c r="B399" s="15">
        <f>LEFT(creditcard[[#This Row],[YYYYMM]],4)</f>
        <v/>
      </c>
      <c r="C399" s="15">
        <f>RIGHT(creditcard[[#This Row],[YYYYMM]],2)</f>
        <v/>
      </c>
      <c r="D399" s="15">
        <f>IF(RIGHT(creditcard[[#This Row],[YYYYMM]],2)="--","--","Q"&amp;ROUNDUP(VALUE(RIGHT(creditcard[[#This Row],[YYYYMM]],2))/3,0))</f>
        <v/>
      </c>
      <c r="E399" s="15" t="n">
        <v>2</v>
      </c>
      <c r="F399" s="155" t="inlineStr">
        <is>
          <t>富邦</t>
        </is>
      </c>
      <c r="G399" s="156" t="inlineStr">
        <is>
          <t>02 富邦</t>
        </is>
      </c>
      <c r="H399" s="157" t="n">
        <v>4516776</v>
      </c>
      <c r="I399" s="157" t="n">
        <v>3051037</v>
      </c>
      <c r="J399" s="157" t="n">
        <v>47425</v>
      </c>
      <c r="K399" s="157" t="n">
        <v>15379</v>
      </c>
      <c r="L399" s="157" t="n">
        <v>5869</v>
      </c>
      <c r="M399" s="16" t="n"/>
      <c r="N399" s="157" t="n">
        <v>29092</v>
      </c>
      <c r="O399" s="16" t="n"/>
      <c r="P399" s="16" t="n"/>
      <c r="Q399" s="17" t="n"/>
      <c r="R399" s="16" t="n"/>
      <c r="S399" s="16" t="n"/>
      <c r="T399" s="16" t="n"/>
      <c r="U399" s="16" t="n"/>
      <c r="V399" s="158" t="n"/>
      <c r="W399" s="16" t="n"/>
      <c r="X399" s="18" t="n"/>
      <c r="Y399" s="18" t="n"/>
      <c r="Z399" s="18" t="n"/>
      <c r="AA399" s="18" t="n"/>
      <c r="AB399" s="18" t="n"/>
      <c r="AC399" s="18" t="n"/>
      <c r="AD399" s="18" t="n"/>
      <c r="AE399" s="18" t="n"/>
      <c r="AF399" s="18" t="n"/>
      <c r="AG399" s="18" t="n"/>
      <c r="AH399" s="18" t="n"/>
      <c r="AI399" s="18" t="n"/>
    </row>
    <row r="400">
      <c r="A400" s="9" t="n">
        <v>202206</v>
      </c>
      <c r="B400" s="10">
        <f>LEFT(creditcard[[#This Row],[YYYYMM]],4)</f>
        <v/>
      </c>
      <c r="C400" s="10">
        <f>RIGHT(creditcard[[#This Row],[YYYYMM]],2)</f>
        <v/>
      </c>
      <c r="D400" s="10">
        <f>IF(RIGHT(creditcard[[#This Row],[YYYYMM]],2)="--","--","Q"&amp;ROUNDUP(VALUE(RIGHT(creditcard[[#This Row],[YYYYMM]],2))/3,0))</f>
        <v/>
      </c>
      <c r="E400" s="10" t="n">
        <v>3</v>
      </c>
      <c r="F400" s="151" t="inlineStr">
        <is>
          <t>國泰</t>
        </is>
      </c>
      <c r="G400" s="152" t="inlineStr">
        <is>
          <t>03 國泰</t>
        </is>
      </c>
      <c r="H400" s="153" t="n">
        <v>7779503</v>
      </c>
      <c r="I400" s="153" t="n">
        <v>5470466</v>
      </c>
      <c r="J400" s="153" t="n">
        <v>56491</v>
      </c>
      <c r="K400" s="153" t="n">
        <v>27904</v>
      </c>
      <c r="L400" s="153" t="n">
        <v>17541</v>
      </c>
      <c r="M400" s="11" t="n"/>
      <c r="N400" s="153" t="n">
        <v>43740</v>
      </c>
      <c r="O400" s="11" t="n"/>
      <c r="P400" s="11" t="n"/>
      <c r="Q400" s="12" t="n"/>
      <c r="R400" s="11" t="n"/>
      <c r="S400" s="11" t="n"/>
      <c r="T400" s="11" t="n"/>
      <c r="U400" s="11" t="n"/>
      <c r="V400" s="154" t="n"/>
      <c r="W400" s="11" t="n"/>
      <c r="X400" s="13" t="n"/>
      <c r="Y400" s="13" t="n"/>
      <c r="Z400" s="13" t="n"/>
      <c r="AA400" s="13" t="n"/>
      <c r="AB400" s="13" t="n"/>
      <c r="AC400" s="13" t="n"/>
      <c r="AD400" s="13" t="n"/>
      <c r="AE400" s="13" t="n"/>
      <c r="AF400" s="13" t="n"/>
      <c r="AG400" s="13" t="n"/>
      <c r="AH400" s="13" t="n"/>
      <c r="AI400" s="13" t="n"/>
    </row>
    <row r="401">
      <c r="A401" s="14" t="n">
        <v>202206</v>
      </c>
      <c r="B401" s="15">
        <f>LEFT(creditcard[[#This Row],[YYYYMM]],4)</f>
        <v/>
      </c>
      <c r="C401" s="15">
        <f>RIGHT(creditcard[[#This Row],[YYYYMM]],2)</f>
        <v/>
      </c>
      <c r="D401" s="15">
        <f>IF(RIGHT(creditcard[[#This Row],[YYYYMM]],2)="--","--","Q"&amp;ROUNDUP(VALUE(RIGHT(creditcard[[#This Row],[YYYYMM]],2))/3,0))</f>
        <v/>
      </c>
      <c r="E401" s="15" t="n">
        <v>4</v>
      </c>
      <c r="F401" s="155" t="inlineStr">
        <is>
          <t>玉山</t>
        </is>
      </c>
      <c r="G401" s="156" t="inlineStr">
        <is>
          <t>04 玉山</t>
        </is>
      </c>
      <c r="H401" s="157" t="n">
        <v>6763406</v>
      </c>
      <c r="I401" s="157" t="n">
        <v>4526110</v>
      </c>
      <c r="J401" s="157" t="n">
        <v>79688</v>
      </c>
      <c r="K401" s="157" t="n">
        <v>20737</v>
      </c>
      <c r="L401" s="157" t="n">
        <v>12386</v>
      </c>
      <c r="M401" s="16" t="n"/>
      <c r="N401" s="157" t="n">
        <v>36490</v>
      </c>
      <c r="O401" s="16" t="n"/>
      <c r="P401" s="16" t="n"/>
      <c r="Q401" s="17" t="n"/>
      <c r="R401" s="16" t="n"/>
      <c r="S401" s="16" t="n"/>
      <c r="T401" s="16" t="n"/>
      <c r="U401" s="16" t="n"/>
      <c r="V401" s="158" t="n"/>
      <c r="W401" s="16" t="n"/>
      <c r="X401" s="18" t="n"/>
      <c r="Y401" s="18" t="n"/>
      <c r="Z401" s="18" t="n"/>
      <c r="AA401" s="18" t="n"/>
      <c r="AB401" s="18" t="n"/>
      <c r="AC401" s="18" t="n"/>
      <c r="AD401" s="18" t="n"/>
      <c r="AE401" s="18" t="n"/>
      <c r="AF401" s="18" t="n"/>
      <c r="AG401" s="18" t="n"/>
      <c r="AH401" s="18" t="n"/>
      <c r="AI401" s="18" t="n"/>
    </row>
    <row r="402">
      <c r="A402" s="9" t="n">
        <v>202206</v>
      </c>
      <c r="B402" s="10">
        <f>LEFT(creditcard[[#This Row],[YYYYMM]],4)</f>
        <v/>
      </c>
      <c r="C402" s="10">
        <f>RIGHT(creditcard[[#This Row],[YYYYMM]],2)</f>
        <v/>
      </c>
      <c r="D402" s="10">
        <f>IF(RIGHT(creditcard[[#This Row],[YYYYMM]],2)="--","--","Q"&amp;ROUNDUP(VALUE(RIGHT(creditcard[[#This Row],[YYYYMM]],2))/3,0))</f>
        <v/>
      </c>
      <c r="E402" s="10" t="n">
        <v>5</v>
      </c>
      <c r="F402" s="151" t="inlineStr">
        <is>
          <t>台新</t>
        </is>
      </c>
      <c r="G402" s="152" t="inlineStr">
        <is>
          <t>05 台新</t>
        </is>
      </c>
      <c r="H402" s="153" t="n">
        <v>6162152</v>
      </c>
      <c r="I402" s="153" t="n">
        <v>4118540</v>
      </c>
      <c r="J402" s="153" t="n">
        <v>50970</v>
      </c>
      <c r="K402" s="153" t="n">
        <v>31118</v>
      </c>
      <c r="L402" s="153" t="n">
        <v>9744</v>
      </c>
      <c r="M402" s="11" t="n"/>
      <c r="N402" s="153" t="n">
        <v>28897</v>
      </c>
      <c r="O402" s="11" t="n"/>
      <c r="P402" s="11" t="n"/>
      <c r="Q402" s="12" t="n"/>
      <c r="R402" s="11" t="n"/>
      <c r="S402" s="11" t="n"/>
      <c r="T402" s="11" t="n"/>
      <c r="U402" s="11" t="n"/>
      <c r="V402" s="154" t="n"/>
      <c r="W402" s="11" t="n"/>
      <c r="X402" s="13" t="n"/>
      <c r="Y402" s="13" t="n"/>
      <c r="Z402" s="13" t="n"/>
      <c r="AA402" s="13" t="n"/>
      <c r="AB402" s="13" t="n"/>
      <c r="AC402" s="13" t="n"/>
      <c r="AD402" s="13" t="n"/>
      <c r="AE402" s="13" t="n"/>
      <c r="AF402" s="13" t="n"/>
      <c r="AG402" s="13" t="n"/>
      <c r="AH402" s="13" t="n"/>
      <c r="AI402" s="13" t="n"/>
    </row>
    <row r="403">
      <c r="A403" s="14" t="n">
        <v>202206</v>
      </c>
      <c r="B403" s="15">
        <f>LEFT(creditcard[[#This Row],[YYYYMM]],4)</f>
        <v/>
      </c>
      <c r="C403" s="15">
        <f>RIGHT(creditcard[[#This Row],[YYYYMM]],2)</f>
        <v/>
      </c>
      <c r="D403" s="15">
        <f>IF(RIGHT(creditcard[[#This Row],[YYYYMM]],2)="--","--","Q"&amp;ROUNDUP(VALUE(RIGHT(creditcard[[#This Row],[YYYYMM]],2))/3,0))</f>
        <v/>
      </c>
      <c r="E403" s="15" t="n">
        <v>6</v>
      </c>
      <c r="F403" s="155" t="inlineStr">
        <is>
          <t>星展</t>
        </is>
      </c>
      <c r="G403" s="156" t="inlineStr">
        <is>
          <t>06 星展</t>
        </is>
      </c>
      <c r="H403" s="157" t="n">
        <v>635238</v>
      </c>
      <c r="I403" s="157" t="n">
        <v>323981</v>
      </c>
      <c r="J403" s="157" t="n">
        <v>6427</v>
      </c>
      <c r="K403" s="157" t="n">
        <v>3962</v>
      </c>
      <c r="L403" s="157" t="n">
        <v>1245</v>
      </c>
      <c r="M403" s="16" t="n"/>
      <c r="N403" s="157" t="n">
        <v>3028</v>
      </c>
      <c r="O403" s="16" t="n"/>
      <c r="P403" s="16" t="n"/>
      <c r="Q403" s="17" t="n"/>
      <c r="R403" s="16" t="n"/>
      <c r="S403" s="16" t="n"/>
      <c r="T403" s="16" t="n"/>
      <c r="U403" s="16" t="n"/>
      <c r="V403" s="158" t="n"/>
      <c r="W403" s="16" t="n"/>
      <c r="X403" s="18" t="n"/>
      <c r="Y403" s="18" t="n"/>
      <c r="Z403" s="18" t="n"/>
      <c r="AA403" s="18" t="n"/>
      <c r="AB403" s="18" t="n"/>
      <c r="AC403" s="18" t="n"/>
      <c r="AD403" s="18" t="n"/>
      <c r="AE403" s="18" t="n"/>
      <c r="AF403" s="18" t="n"/>
      <c r="AG403" s="18" t="n"/>
      <c r="AH403" s="18" t="n"/>
      <c r="AI403" s="18" t="n"/>
    </row>
    <row r="404">
      <c r="A404" s="9" t="n">
        <v>202206</v>
      </c>
      <c r="B404" s="10">
        <f>LEFT(creditcard[[#This Row],[YYYYMM]],4)</f>
        <v/>
      </c>
      <c r="C404" s="10">
        <f>RIGHT(creditcard[[#This Row],[YYYYMM]],2)</f>
        <v/>
      </c>
      <c r="D404" s="10">
        <f>IF(RIGHT(creditcard[[#This Row],[YYYYMM]],2)="--","--","Q"&amp;ROUNDUP(VALUE(RIGHT(creditcard[[#This Row],[YYYYMM]],2))/3,0))</f>
        <v/>
      </c>
      <c r="E404" s="10" t="n">
        <v>7</v>
      </c>
      <c r="F404" s="151" t="inlineStr">
        <is>
          <t>聯邦</t>
        </is>
      </c>
      <c r="G404" s="152" t="inlineStr">
        <is>
          <t>07 聯邦</t>
        </is>
      </c>
      <c r="H404" s="153" t="n">
        <v>2315079</v>
      </c>
      <c r="I404" s="153" t="n">
        <v>1334741</v>
      </c>
      <c r="J404" s="153" t="n">
        <v>18710</v>
      </c>
      <c r="K404" s="153" t="n">
        <v>12090</v>
      </c>
      <c r="L404" s="153" t="n">
        <v>5309</v>
      </c>
      <c r="M404" s="11" t="n"/>
      <c r="N404" s="153" t="n">
        <v>8501</v>
      </c>
      <c r="O404" s="11" t="n"/>
      <c r="P404" s="11" t="n"/>
      <c r="Q404" s="12" t="n"/>
      <c r="R404" s="11" t="n"/>
      <c r="S404" s="11" t="n"/>
      <c r="T404" s="11" t="n"/>
      <c r="U404" s="11" t="n"/>
      <c r="V404" s="154" t="n"/>
      <c r="W404" s="11" t="n"/>
      <c r="X404" s="13" t="n"/>
      <c r="Y404" s="13" t="n"/>
      <c r="Z404" s="13" t="n"/>
      <c r="AA404" s="13" t="n"/>
      <c r="AB404" s="13" t="n"/>
      <c r="AC404" s="13" t="n"/>
      <c r="AD404" s="13" t="n"/>
      <c r="AE404" s="13" t="n"/>
      <c r="AF404" s="13" t="n"/>
      <c r="AG404" s="13" t="n"/>
      <c r="AH404" s="13" t="n"/>
      <c r="AI404" s="13" t="n"/>
    </row>
    <row r="405">
      <c r="A405" s="14" t="n">
        <v>202206</v>
      </c>
      <c r="B405" s="15">
        <f>LEFT(creditcard[[#This Row],[YYYYMM]],4)</f>
        <v/>
      </c>
      <c r="C405" s="15">
        <f>RIGHT(creditcard[[#This Row],[YYYYMM]],2)</f>
        <v/>
      </c>
      <c r="D405" s="15">
        <f>IF(RIGHT(creditcard[[#This Row],[YYYYMM]],2)="--","--","Q"&amp;ROUNDUP(VALUE(RIGHT(creditcard[[#This Row],[YYYYMM]],2))/3,0))</f>
        <v/>
      </c>
      <c r="E405" s="15" t="n">
        <v>8</v>
      </c>
      <c r="F405" s="155" t="inlineStr">
        <is>
          <t>永豐</t>
        </is>
      </c>
      <c r="G405" s="156" t="inlineStr">
        <is>
          <t>08 永豐</t>
        </is>
      </c>
      <c r="H405" s="157" t="n">
        <v>2242814</v>
      </c>
      <c r="I405" s="157" t="n">
        <v>1203192</v>
      </c>
      <c r="J405" s="157" t="n">
        <v>14305</v>
      </c>
      <c r="K405" s="157" t="n">
        <v>6251</v>
      </c>
      <c r="L405" s="157" t="n">
        <v>3853</v>
      </c>
      <c r="M405" s="16" t="n"/>
      <c r="N405" s="157" t="n">
        <v>10039</v>
      </c>
      <c r="O405" s="16" t="n"/>
      <c r="P405" s="16" t="n"/>
      <c r="Q405" s="17" t="n"/>
      <c r="R405" s="16" t="n"/>
      <c r="S405" s="16" t="n"/>
      <c r="T405" s="16" t="n"/>
      <c r="U405" s="16" t="n"/>
      <c r="V405" s="158" t="n"/>
      <c r="W405" s="16" t="n"/>
      <c r="X405" s="18" t="n"/>
      <c r="Y405" s="18" t="n"/>
      <c r="Z405" s="18" t="n"/>
      <c r="AA405" s="18" t="n"/>
      <c r="AB405" s="18" t="n"/>
      <c r="AC405" s="18" t="n"/>
      <c r="AD405" s="18" t="n"/>
      <c r="AE405" s="18" t="n"/>
      <c r="AF405" s="18" t="n"/>
      <c r="AG405" s="18" t="n"/>
      <c r="AH405" s="18" t="n"/>
      <c r="AI405" s="18" t="n"/>
    </row>
    <row r="406">
      <c r="A406" s="9" t="n">
        <v>202206</v>
      </c>
      <c r="B406" s="10">
        <f>LEFT(creditcard[[#This Row],[YYYYMM]],4)</f>
        <v/>
      </c>
      <c r="C406" s="10">
        <f>RIGHT(creditcard[[#This Row],[YYYYMM]],2)</f>
        <v/>
      </c>
      <c r="D406" s="10">
        <f>IF(RIGHT(creditcard[[#This Row],[YYYYMM]],2)="--","--","Q"&amp;ROUNDUP(VALUE(RIGHT(creditcard[[#This Row],[YYYYMM]],2))/3,0))</f>
        <v/>
      </c>
      <c r="E406" s="10" t="n">
        <v>9</v>
      </c>
      <c r="F406" s="151" t="inlineStr">
        <is>
          <t>第一</t>
        </is>
      </c>
      <c r="G406" s="152" t="inlineStr">
        <is>
          <t>09 第一</t>
        </is>
      </c>
      <c r="H406" s="153" t="n">
        <v>1473641</v>
      </c>
      <c r="I406" s="153" t="n">
        <v>889372</v>
      </c>
      <c r="J406" s="153" t="n">
        <v>14899</v>
      </c>
      <c r="K406" s="153" t="n">
        <v>7975</v>
      </c>
      <c r="L406" s="153" t="n">
        <v>1516</v>
      </c>
      <c r="M406" s="11" t="n"/>
      <c r="N406" s="153" t="n">
        <v>5171</v>
      </c>
      <c r="O406" s="11" t="n"/>
      <c r="P406" s="11" t="n"/>
      <c r="Q406" s="12" t="n"/>
      <c r="R406" s="11" t="n"/>
      <c r="S406" s="11" t="n"/>
      <c r="T406" s="11" t="n"/>
      <c r="U406" s="11" t="n"/>
      <c r="V406" s="154" t="n"/>
      <c r="W406" s="11" t="n"/>
      <c r="X406" s="13" t="n"/>
      <c r="Y406" s="13" t="n"/>
      <c r="Z406" s="13" t="n"/>
      <c r="AA406" s="13" t="n"/>
      <c r="AB406" s="13" t="n"/>
      <c r="AC406" s="13" t="n"/>
      <c r="AD406" s="13" t="n"/>
      <c r="AE406" s="13" t="n"/>
      <c r="AF406" s="13" t="n"/>
      <c r="AG406" s="13" t="n"/>
      <c r="AH406" s="13" t="n"/>
      <c r="AI406" s="13" t="n"/>
    </row>
    <row r="407">
      <c r="A407" s="14" t="n">
        <v>202206</v>
      </c>
      <c r="B407" s="15">
        <f>LEFT(creditcard[[#This Row],[YYYYMM]],4)</f>
        <v/>
      </c>
      <c r="C407" s="15">
        <f>RIGHT(creditcard[[#This Row],[YYYYMM]],2)</f>
        <v/>
      </c>
      <c r="D407" s="15">
        <f>IF(RIGHT(creditcard[[#This Row],[YYYYMM]],2)="--","--","Q"&amp;ROUNDUP(VALUE(RIGHT(creditcard[[#This Row],[YYYYMM]],2))/3,0))</f>
        <v/>
      </c>
      <c r="E407" s="15" t="n">
        <v>10</v>
      </c>
      <c r="F407" s="155" t="inlineStr">
        <is>
          <t>遠東</t>
        </is>
      </c>
      <c r="G407" s="156" t="inlineStr">
        <is>
          <t>10 遠東</t>
        </is>
      </c>
      <c r="H407" s="157" t="n">
        <v>1567118</v>
      </c>
      <c r="I407" s="157" t="n">
        <v>988328</v>
      </c>
      <c r="J407" s="157" t="n">
        <v>10786</v>
      </c>
      <c r="K407" s="157" t="n">
        <v>9514</v>
      </c>
      <c r="L407" s="157" t="n">
        <v>3642</v>
      </c>
      <c r="M407" s="16" t="n"/>
      <c r="N407" s="157" t="n">
        <v>3724</v>
      </c>
      <c r="O407" s="16" t="n"/>
      <c r="P407" s="16" t="n"/>
      <c r="Q407" s="17" t="n"/>
      <c r="R407" s="16" t="n"/>
      <c r="S407" s="16" t="n"/>
      <c r="T407" s="16" t="n"/>
      <c r="U407" s="16" t="n"/>
      <c r="V407" s="158" t="n"/>
      <c r="W407" s="16" t="n"/>
      <c r="X407" s="18" t="n"/>
      <c r="Y407" s="18" t="n"/>
      <c r="Z407" s="18" t="n"/>
      <c r="AA407" s="18" t="n"/>
      <c r="AB407" s="18" t="n"/>
      <c r="AC407" s="18" t="n"/>
      <c r="AD407" s="18" t="n"/>
      <c r="AE407" s="18" t="n"/>
      <c r="AF407" s="18" t="n"/>
      <c r="AG407" s="18" t="n"/>
      <c r="AH407" s="18" t="n"/>
      <c r="AI407" s="18" t="n"/>
    </row>
    <row r="408">
      <c r="A408" s="9" t="n">
        <v>202206</v>
      </c>
      <c r="B408" s="10">
        <f>LEFT(creditcard[[#This Row],[YYYYMM]],4)</f>
        <v/>
      </c>
      <c r="C408" s="10">
        <f>RIGHT(creditcard[[#This Row],[YYYYMM]],2)</f>
        <v/>
      </c>
      <c r="D408" s="10">
        <f>IF(RIGHT(creditcard[[#This Row],[YYYYMM]],2)="--","--","Q"&amp;ROUNDUP(VALUE(RIGHT(creditcard[[#This Row],[YYYYMM]],2))/3,0))</f>
        <v/>
      </c>
      <c r="E408" s="10" t="n">
        <v>11</v>
      </c>
      <c r="F408" s="151" t="inlineStr">
        <is>
          <t>市場總計</t>
        </is>
      </c>
      <c r="G408" s="152" t="inlineStr">
        <is>
          <t>11 市場總計</t>
        </is>
      </c>
      <c r="H408" s="153" t="n">
        <v>53131791</v>
      </c>
      <c r="I408" s="153" t="n">
        <v>33963815</v>
      </c>
      <c r="J408" s="153" t="n">
        <v>504832</v>
      </c>
      <c r="K408" s="153" t="n">
        <v>264362</v>
      </c>
      <c r="L408" s="153" t="n">
        <v>98645</v>
      </c>
      <c r="M408" s="11" t="n"/>
      <c r="N408" s="153" t="n">
        <v>260532</v>
      </c>
      <c r="O408" s="11" t="n"/>
      <c r="P408" s="11" t="n"/>
      <c r="Q408" s="12" t="n"/>
      <c r="R408" s="11" t="n"/>
      <c r="S408" s="11" t="n"/>
      <c r="T408" s="11" t="n"/>
      <c r="U408" s="11" t="n"/>
      <c r="V408" s="154" t="n">
        <v>4.45</v>
      </c>
      <c r="W408" s="11">
        <f>SUMIFS(H:H,A:A,creditcard[[#This Row],[YYYYMM]],G:G,creditcard[[#This Row],[Item]])</f>
        <v/>
      </c>
      <c r="X408" s="4">
        <f>IFERROR(SUMIFS(H:H,A:A,creditcard[[#This Row],[YYYYMM]],E:E,"&lt;=5")/creditcard[[#This Row],[市場總計]],"")</f>
        <v/>
      </c>
      <c r="Y408" s="4">
        <f>IFERROR(SUMIFS(H:H,A:A,creditcard[[#This Row],[YYYYMM]],E:E,"&lt;=10")/creditcard[[#This Row],[市場總計]],"")</f>
        <v/>
      </c>
      <c r="Z408" s="4">
        <f>IFERROR(SUMIFS(I:I,A:A,creditcard[[#This Row],[YYYYMM]],E:E,"&lt;=5")/creditcard[[#This Row],[有效卡數]],"")</f>
        <v/>
      </c>
      <c r="AA408" s="4">
        <f>IFERROR(SUMIFS(I:I,A:A,creditcard[[#This Row],[YYYYMM]],E:E,"&lt;=10")/creditcard[[#This Row],[有效卡數]],"")</f>
        <v/>
      </c>
      <c r="AB408" s="4">
        <f>IFERROR(SUMIFS(J:J,A:A,creditcard[[#This Row],[YYYYMM]],E:E,"&lt;=5")/creditcard[[#This Row],[當月發卡數]],"")</f>
        <v/>
      </c>
      <c r="AC408" s="4">
        <f>IFERROR(SUMIFS(J:J,A:A,creditcard[[#This Row],[YYYYMM]],E:E,"&lt;=10")/creditcard[[#This Row],[當月發卡數]],"")</f>
        <v/>
      </c>
      <c r="AD408" s="4">
        <f>IFERROR(SUMIFS(K:K,A:A,creditcard[[#This Row],[YYYYMM]],E:E,"&lt;=5")/creditcard[[#This Row],[當月停卡數]],"")</f>
        <v/>
      </c>
      <c r="AE408" s="4">
        <f>IFERROR(SUMIFS(K:K,A:A,creditcard[[#This Row],[YYYYMM]],E:E,"&lt;=10")/creditcard[[#This Row],[當月停卡數]],"")</f>
        <v/>
      </c>
      <c r="AF408" s="4">
        <f>IFERROR(SUMIFS(L:L,A:A,creditcard[[#This Row],[YYYYMM]],E:E,"&lt;=5")/creditcard[[#This Row],[循環信用餘額]],"")</f>
        <v/>
      </c>
      <c r="AG408" s="4">
        <f>IFERROR(SUMIFS(L:L,A:A,creditcard[[#This Row],[YYYYMM]],E:E,"&lt;=10")/creditcard[[#This Row],[循環信用餘額]],"")</f>
        <v/>
      </c>
      <c r="AH408" s="4">
        <f>IFERROR(SUMIFS(N:N,A:A,creditcard[[#This Row],[YYYYMM]],E:E,"&lt;=5")/creditcard[[#This Row],[當月簽帳金額]],"")</f>
        <v/>
      </c>
      <c r="AI408" s="4">
        <f>IFERROR(SUMIFS(N:N,A:A,creditcard[[#This Row],[YYYYMM]],E:E,"&lt;=10")/creditcard[[#This Row],[當月簽帳金額]],"")</f>
        <v/>
      </c>
    </row>
    <row r="409">
      <c r="A409" s="14" t="n">
        <v>202207</v>
      </c>
      <c r="B409" s="15">
        <f>LEFT(creditcard[[#This Row],[YYYYMM]],4)</f>
        <v/>
      </c>
      <c r="C409" s="15">
        <f>RIGHT(creditcard[[#This Row],[YYYYMM]],2)</f>
        <v/>
      </c>
      <c r="D409" s="15">
        <f>IF(RIGHT(creditcard[[#This Row],[YYYYMM]],2)="--","--","Q"&amp;ROUNDUP(VALUE(RIGHT(creditcard[[#This Row],[YYYYMM]],2))/3,0))</f>
        <v/>
      </c>
      <c r="E409" s="15" t="n">
        <v>1</v>
      </c>
      <c r="F409" s="155" t="inlineStr">
        <is>
          <t>中信</t>
        </is>
      </c>
      <c r="G409" s="156" t="inlineStr">
        <is>
          <t>01 中信</t>
        </is>
      </c>
      <c r="H409" s="157" t="n">
        <v>8210016</v>
      </c>
      <c r="I409" s="157" t="n">
        <v>5110392</v>
      </c>
      <c r="J409" s="157" t="n">
        <v>114897</v>
      </c>
      <c r="K409" s="157" t="n">
        <v>30648</v>
      </c>
      <c r="L409" s="157" t="n">
        <v>15102.058</v>
      </c>
      <c r="M409" s="16" t="n"/>
      <c r="N409" s="157" t="n">
        <v>86002.75199999999</v>
      </c>
      <c r="O409" s="16" t="n"/>
      <c r="P409" s="16" t="n"/>
      <c r="Q409" s="17" t="n"/>
      <c r="R409" s="16" t="n"/>
      <c r="S409" s="16" t="n"/>
      <c r="T409" s="16" t="n"/>
      <c r="U409" s="16" t="n"/>
      <c r="V409" s="158" t="n"/>
      <c r="W409" s="16" t="n"/>
      <c r="X409" s="18" t="n"/>
      <c r="Y409" s="18" t="n"/>
      <c r="Z409" s="18" t="n"/>
      <c r="AA409" s="18" t="n"/>
      <c r="AB409" s="18" t="n"/>
      <c r="AC409" s="18" t="n"/>
      <c r="AD409" s="18" t="n"/>
      <c r="AE409" s="18" t="n"/>
      <c r="AF409" s="18" t="n"/>
      <c r="AG409" s="18" t="n"/>
      <c r="AH409" s="18" t="n"/>
      <c r="AI409" s="18" t="n"/>
    </row>
    <row r="410">
      <c r="A410" s="9" t="n">
        <v>202207</v>
      </c>
      <c r="B410" s="10">
        <f>LEFT(creditcard[[#This Row],[YYYYMM]],4)</f>
        <v/>
      </c>
      <c r="C410" s="10">
        <f>RIGHT(creditcard[[#This Row],[YYYYMM]],2)</f>
        <v/>
      </c>
      <c r="D410" s="10">
        <f>IF(RIGHT(creditcard[[#This Row],[YYYYMM]],2)="--","--","Q"&amp;ROUNDUP(VALUE(RIGHT(creditcard[[#This Row],[YYYYMM]],2))/3,0))</f>
        <v/>
      </c>
      <c r="E410" s="10" t="n">
        <v>2</v>
      </c>
      <c r="F410" s="151" t="inlineStr">
        <is>
          <t>富邦</t>
        </is>
      </c>
      <c r="G410" s="152" t="inlineStr">
        <is>
          <t>02 富邦</t>
        </is>
      </c>
      <c r="H410" s="153" t="n">
        <v>4556235</v>
      </c>
      <c r="I410" s="153" t="n">
        <v>3075874</v>
      </c>
      <c r="J410" s="153" t="n">
        <v>56172</v>
      </c>
      <c r="K410" s="153" t="n">
        <v>16713</v>
      </c>
      <c r="L410" s="153" t="n">
        <v>6066.079</v>
      </c>
      <c r="M410" s="11" t="n"/>
      <c r="N410" s="153" t="n">
        <v>31642.03</v>
      </c>
      <c r="O410" s="11" t="n"/>
      <c r="P410" s="11" t="n"/>
      <c r="Q410" s="12" t="n"/>
      <c r="R410" s="11" t="n"/>
      <c r="S410" s="11" t="n"/>
      <c r="T410" s="11" t="n"/>
      <c r="U410" s="11" t="n"/>
      <c r="V410" s="154" t="n"/>
      <c r="W410" s="11" t="n"/>
      <c r="X410" s="13" t="n"/>
      <c r="Y410" s="13" t="n"/>
      <c r="Z410" s="13" t="n"/>
      <c r="AA410" s="13" t="n"/>
      <c r="AB410" s="13" t="n"/>
      <c r="AC410" s="13" t="n"/>
      <c r="AD410" s="13" t="n"/>
      <c r="AE410" s="13" t="n"/>
      <c r="AF410" s="13" t="n"/>
      <c r="AG410" s="13" t="n"/>
      <c r="AH410" s="13" t="n"/>
      <c r="AI410" s="13" t="n"/>
    </row>
    <row r="411">
      <c r="A411" s="14" t="n">
        <v>202207</v>
      </c>
      <c r="B411" s="15">
        <f>LEFT(creditcard[[#This Row],[YYYYMM]],4)</f>
        <v/>
      </c>
      <c r="C411" s="15">
        <f>RIGHT(creditcard[[#This Row],[YYYYMM]],2)</f>
        <v/>
      </c>
      <c r="D411" s="15">
        <f>IF(RIGHT(creditcard[[#This Row],[YYYYMM]],2)="--","--","Q"&amp;ROUNDUP(VALUE(RIGHT(creditcard[[#This Row],[YYYYMM]],2))/3,0))</f>
        <v/>
      </c>
      <c r="E411" s="15" t="n">
        <v>3</v>
      </c>
      <c r="F411" s="155" t="inlineStr">
        <is>
          <t>國泰</t>
        </is>
      </c>
      <c r="G411" s="156" t="inlineStr">
        <is>
          <t>03 國泰</t>
        </is>
      </c>
      <c r="H411" s="157" t="n">
        <v>7812552</v>
      </c>
      <c r="I411" s="157" t="n">
        <v>5487150</v>
      </c>
      <c r="J411" s="157" t="n">
        <v>61300</v>
      </c>
      <c r="K411" s="157" t="n">
        <v>28251</v>
      </c>
      <c r="L411" s="157" t="n">
        <v>18135.815</v>
      </c>
      <c r="M411" s="16" t="n"/>
      <c r="N411" s="157" t="n">
        <v>61155.805</v>
      </c>
      <c r="O411" s="16" t="n"/>
      <c r="P411" s="16" t="n"/>
      <c r="Q411" s="17" t="n"/>
      <c r="R411" s="16" t="n"/>
      <c r="S411" s="16" t="n"/>
      <c r="T411" s="16" t="n"/>
      <c r="U411" s="16" t="n"/>
      <c r="V411" s="158" t="n"/>
      <c r="W411" s="16" t="n"/>
      <c r="X411" s="18" t="n"/>
      <c r="Y411" s="18" t="n"/>
      <c r="Z411" s="18" t="n"/>
      <c r="AA411" s="18" t="n"/>
      <c r="AB411" s="18" t="n"/>
      <c r="AC411" s="18" t="n"/>
      <c r="AD411" s="18" t="n"/>
      <c r="AE411" s="18" t="n"/>
      <c r="AF411" s="18" t="n"/>
      <c r="AG411" s="18" t="n"/>
      <c r="AH411" s="18" t="n"/>
      <c r="AI411" s="18" t="n"/>
    </row>
    <row r="412">
      <c r="A412" s="9" t="n">
        <v>202207</v>
      </c>
      <c r="B412" s="10">
        <f>LEFT(creditcard[[#This Row],[YYYYMM]],4)</f>
        <v/>
      </c>
      <c r="C412" s="10">
        <f>RIGHT(creditcard[[#This Row],[YYYYMM]],2)</f>
        <v/>
      </c>
      <c r="D412" s="10">
        <f>IF(RIGHT(creditcard[[#This Row],[YYYYMM]],2)="--","--","Q"&amp;ROUNDUP(VALUE(RIGHT(creditcard[[#This Row],[YYYYMM]],2))/3,0))</f>
        <v/>
      </c>
      <c r="E412" s="10" t="n">
        <v>4</v>
      </c>
      <c r="F412" s="151" t="inlineStr">
        <is>
          <t>玉山</t>
        </is>
      </c>
      <c r="G412" s="152" t="inlineStr">
        <is>
          <t>04 玉山</t>
        </is>
      </c>
      <c r="H412" s="153" t="n">
        <v>6779335</v>
      </c>
      <c r="I412" s="153" t="n">
        <v>4536987</v>
      </c>
      <c r="J412" s="153" t="n">
        <v>57980</v>
      </c>
      <c r="K412" s="153" t="n">
        <v>42051</v>
      </c>
      <c r="L412" s="153" t="n">
        <v>12449.952</v>
      </c>
      <c r="M412" s="11" t="n"/>
      <c r="N412" s="153" t="n">
        <v>66002.99400000001</v>
      </c>
      <c r="O412" s="11" t="n"/>
      <c r="P412" s="11" t="n"/>
      <c r="Q412" s="12" t="n"/>
      <c r="R412" s="11" t="n"/>
      <c r="S412" s="11" t="n"/>
      <c r="T412" s="11" t="n"/>
      <c r="U412" s="11" t="n"/>
      <c r="V412" s="154" t="n"/>
      <c r="W412" s="11" t="n"/>
      <c r="X412" s="13" t="n"/>
      <c r="Y412" s="13" t="n"/>
      <c r="Z412" s="13" t="n"/>
      <c r="AA412" s="13" t="n"/>
      <c r="AB412" s="13" t="n"/>
      <c r="AC412" s="13" t="n"/>
      <c r="AD412" s="13" t="n"/>
      <c r="AE412" s="13" t="n"/>
      <c r="AF412" s="13" t="n"/>
      <c r="AG412" s="13" t="n"/>
      <c r="AH412" s="13" t="n"/>
      <c r="AI412" s="13" t="n"/>
    </row>
    <row r="413">
      <c r="A413" s="14" t="n">
        <v>202207</v>
      </c>
      <c r="B413" s="15">
        <f>LEFT(creditcard[[#This Row],[YYYYMM]],4)</f>
        <v/>
      </c>
      <c r="C413" s="15">
        <f>RIGHT(creditcard[[#This Row],[YYYYMM]],2)</f>
        <v/>
      </c>
      <c r="D413" s="15">
        <f>IF(RIGHT(creditcard[[#This Row],[YYYYMM]],2)="--","--","Q"&amp;ROUNDUP(VALUE(RIGHT(creditcard[[#This Row],[YYYYMM]],2))/3,0))</f>
        <v/>
      </c>
      <c r="E413" s="15" t="n">
        <v>5</v>
      </c>
      <c r="F413" s="155" t="inlineStr">
        <is>
          <t>台新</t>
        </is>
      </c>
      <c r="G413" s="156" t="inlineStr">
        <is>
          <t>05 台新</t>
        </is>
      </c>
      <c r="H413" s="157" t="n">
        <v>6194504</v>
      </c>
      <c r="I413" s="157" t="n">
        <v>4134423</v>
      </c>
      <c r="J413" s="157" t="n">
        <v>58028</v>
      </c>
      <c r="K413" s="157" t="n">
        <v>25676</v>
      </c>
      <c r="L413" s="157" t="n">
        <v>9741.804</v>
      </c>
      <c r="M413" s="16" t="n"/>
      <c r="N413" s="157" t="n">
        <v>48275.022</v>
      </c>
      <c r="O413" s="16" t="n"/>
      <c r="P413" s="16" t="n"/>
      <c r="Q413" s="17" t="n"/>
      <c r="R413" s="16" t="n"/>
      <c r="S413" s="16" t="n"/>
      <c r="T413" s="16" t="n"/>
      <c r="U413" s="16" t="n"/>
      <c r="V413" s="158" t="n"/>
      <c r="W413" s="16" t="n"/>
      <c r="X413" s="18" t="n"/>
      <c r="Y413" s="18" t="n"/>
      <c r="Z413" s="18" t="n"/>
      <c r="AA413" s="18" t="n"/>
      <c r="AB413" s="18" t="n"/>
      <c r="AC413" s="18" t="n"/>
      <c r="AD413" s="18" t="n"/>
      <c r="AE413" s="18" t="n"/>
      <c r="AF413" s="18" t="n"/>
      <c r="AG413" s="18" t="n"/>
      <c r="AH413" s="18" t="n"/>
      <c r="AI413" s="18" t="n"/>
    </row>
    <row r="414">
      <c r="A414" s="9" t="n">
        <v>202207</v>
      </c>
      <c r="B414" s="10">
        <f>LEFT(creditcard[[#This Row],[YYYYMM]],4)</f>
        <v/>
      </c>
      <c r="C414" s="10">
        <f>RIGHT(creditcard[[#This Row],[YYYYMM]],2)</f>
        <v/>
      </c>
      <c r="D414" s="10">
        <f>IF(RIGHT(creditcard[[#This Row],[YYYYMM]],2)="--","--","Q"&amp;ROUNDUP(VALUE(RIGHT(creditcard[[#This Row],[YYYYMM]],2))/3,0))</f>
        <v/>
      </c>
      <c r="E414" s="10" t="n">
        <v>6</v>
      </c>
      <c r="F414" s="151" t="inlineStr">
        <is>
          <t>星展</t>
        </is>
      </c>
      <c r="G414" s="152" t="inlineStr">
        <is>
          <t>06 星展</t>
        </is>
      </c>
      <c r="H414" s="153" t="n">
        <v>639470</v>
      </c>
      <c r="I414" s="153" t="n">
        <v>325928</v>
      </c>
      <c r="J414" s="153" t="n">
        <v>5203</v>
      </c>
      <c r="K414" s="153" t="n">
        <v>3909</v>
      </c>
      <c r="L414" s="153" t="n">
        <v>1235</v>
      </c>
      <c r="M414" s="11" t="n"/>
      <c r="N414" s="153" t="n">
        <v>3912</v>
      </c>
      <c r="O414" s="11" t="n"/>
      <c r="P414" s="11" t="n"/>
      <c r="Q414" s="12" t="n"/>
      <c r="R414" s="11" t="n"/>
      <c r="S414" s="11" t="n"/>
      <c r="T414" s="11" t="n"/>
      <c r="U414" s="11" t="n"/>
      <c r="V414" s="154" t="n"/>
      <c r="W414" s="11" t="n"/>
      <c r="X414" s="13" t="n"/>
      <c r="Y414" s="13" t="n"/>
      <c r="Z414" s="13" t="n"/>
      <c r="AA414" s="13" t="n"/>
      <c r="AB414" s="13" t="n"/>
      <c r="AC414" s="13" t="n"/>
      <c r="AD414" s="13" t="n"/>
      <c r="AE414" s="13" t="n"/>
      <c r="AF414" s="13" t="n"/>
      <c r="AG414" s="13" t="n"/>
      <c r="AH414" s="13" t="n"/>
      <c r="AI414" s="13" t="n"/>
    </row>
    <row r="415">
      <c r="A415" s="14" t="n">
        <v>202207</v>
      </c>
      <c r="B415" s="15">
        <f>LEFT(creditcard[[#This Row],[YYYYMM]],4)</f>
        <v/>
      </c>
      <c r="C415" s="15">
        <f>RIGHT(creditcard[[#This Row],[YYYYMM]],2)</f>
        <v/>
      </c>
      <c r="D415" s="15">
        <f>IF(RIGHT(creditcard[[#This Row],[YYYYMM]],2)="--","--","Q"&amp;ROUNDUP(VALUE(RIGHT(creditcard[[#This Row],[YYYYMM]],2))/3,0))</f>
        <v/>
      </c>
      <c r="E415" s="15" t="n">
        <v>7</v>
      </c>
      <c r="F415" s="155" t="inlineStr">
        <is>
          <t>聯邦</t>
        </is>
      </c>
      <c r="G415" s="156" t="inlineStr">
        <is>
          <t>07 聯邦</t>
        </is>
      </c>
      <c r="H415" s="157" t="n">
        <v>2341220</v>
      </c>
      <c r="I415" s="157" t="n">
        <v>1331399</v>
      </c>
      <c r="J415" s="157" t="n">
        <v>43006</v>
      </c>
      <c r="K415" s="157" t="n">
        <v>16865</v>
      </c>
      <c r="L415" s="157" t="n">
        <v>5305.483</v>
      </c>
      <c r="M415" s="16" t="n"/>
      <c r="N415" s="157" t="n">
        <v>10810.727</v>
      </c>
      <c r="O415" s="16" t="n"/>
      <c r="P415" s="16" t="n"/>
      <c r="Q415" s="17" t="n"/>
      <c r="R415" s="16" t="n"/>
      <c r="S415" s="16" t="n"/>
      <c r="T415" s="16" t="n"/>
      <c r="U415" s="16" t="n"/>
      <c r="V415" s="158" t="n"/>
      <c r="W415" s="16" t="n"/>
      <c r="X415" s="18" t="n"/>
      <c r="Y415" s="18" t="n"/>
      <c r="Z415" s="18" t="n"/>
      <c r="AA415" s="18" t="n"/>
      <c r="AB415" s="18" t="n"/>
      <c r="AC415" s="18" t="n"/>
      <c r="AD415" s="18" t="n"/>
      <c r="AE415" s="18" t="n"/>
      <c r="AF415" s="18" t="n"/>
      <c r="AG415" s="18" t="n"/>
      <c r="AH415" s="18" t="n"/>
      <c r="AI415" s="18" t="n"/>
    </row>
    <row r="416">
      <c r="A416" s="9" t="n">
        <v>202207</v>
      </c>
      <c r="B416" s="10">
        <f>LEFT(creditcard[[#This Row],[YYYYMM]],4)</f>
        <v/>
      </c>
      <c r="C416" s="10">
        <f>RIGHT(creditcard[[#This Row],[YYYYMM]],2)</f>
        <v/>
      </c>
      <c r="D416" s="10">
        <f>IF(RIGHT(creditcard[[#This Row],[YYYYMM]],2)="--","--","Q"&amp;ROUNDUP(VALUE(RIGHT(creditcard[[#This Row],[YYYYMM]],2))/3,0))</f>
        <v/>
      </c>
      <c r="E416" s="10" t="n">
        <v>8</v>
      </c>
      <c r="F416" s="151" t="inlineStr">
        <is>
          <t>永豐</t>
        </is>
      </c>
      <c r="G416" s="152" t="inlineStr">
        <is>
          <t>08 永豐</t>
        </is>
      </c>
      <c r="H416" s="153" t="n">
        <v>2233765</v>
      </c>
      <c r="I416" s="153" t="n">
        <v>1210332</v>
      </c>
      <c r="J416" s="153" t="n">
        <v>17889</v>
      </c>
      <c r="K416" s="153" t="n">
        <v>27658</v>
      </c>
      <c r="L416" s="153" t="n">
        <v>3866.861</v>
      </c>
      <c r="M416" s="11" t="n"/>
      <c r="N416" s="153" t="n">
        <v>13310.478</v>
      </c>
      <c r="O416" s="11" t="n"/>
      <c r="P416" s="11" t="n"/>
      <c r="Q416" s="12" t="n"/>
      <c r="R416" s="11" t="n"/>
      <c r="S416" s="11" t="n"/>
      <c r="T416" s="11" t="n"/>
      <c r="U416" s="11" t="n"/>
      <c r="V416" s="154" t="n"/>
      <c r="W416" s="11" t="n"/>
      <c r="X416" s="13" t="n"/>
      <c r="Y416" s="13" t="n"/>
      <c r="Z416" s="13" t="n"/>
      <c r="AA416" s="13" t="n"/>
      <c r="AB416" s="13" t="n"/>
      <c r="AC416" s="13" t="n"/>
      <c r="AD416" s="13" t="n"/>
      <c r="AE416" s="13" t="n"/>
      <c r="AF416" s="13" t="n"/>
      <c r="AG416" s="13" t="n"/>
      <c r="AH416" s="13" t="n"/>
      <c r="AI416" s="13" t="n"/>
    </row>
    <row r="417">
      <c r="A417" s="14" t="n">
        <v>202207</v>
      </c>
      <c r="B417" s="15">
        <f>LEFT(creditcard[[#This Row],[YYYYMM]],4)</f>
        <v/>
      </c>
      <c r="C417" s="15">
        <f>RIGHT(creditcard[[#This Row],[YYYYMM]],2)</f>
        <v/>
      </c>
      <c r="D417" s="15">
        <f>IF(RIGHT(creditcard[[#This Row],[YYYYMM]],2)="--","--","Q"&amp;ROUNDUP(VALUE(RIGHT(creditcard[[#This Row],[YYYYMM]],2))/3,0))</f>
        <v/>
      </c>
      <c r="E417" s="15" t="n">
        <v>9</v>
      </c>
      <c r="F417" s="155" t="inlineStr">
        <is>
          <t>第一</t>
        </is>
      </c>
      <c r="G417" s="156" t="inlineStr">
        <is>
          <t>09 第一</t>
        </is>
      </c>
      <c r="H417" s="157" t="n">
        <v>1481323</v>
      </c>
      <c r="I417" s="157" t="n">
        <v>889229</v>
      </c>
      <c r="J417" s="157" t="n">
        <v>16767</v>
      </c>
      <c r="K417" s="157" t="n">
        <v>9504</v>
      </c>
      <c r="L417" s="157" t="n">
        <v>1525</v>
      </c>
      <c r="M417" s="16" t="n"/>
      <c r="N417" s="157" t="n">
        <v>6589</v>
      </c>
      <c r="O417" s="16" t="n"/>
      <c r="P417" s="16" t="n"/>
      <c r="Q417" s="17" t="n"/>
      <c r="R417" s="16" t="n"/>
      <c r="S417" s="16" t="n"/>
      <c r="T417" s="16" t="n"/>
      <c r="U417" s="16" t="n"/>
      <c r="V417" s="158" t="n"/>
      <c r="W417" s="16" t="n"/>
      <c r="X417" s="18" t="n"/>
      <c r="Y417" s="18" t="n"/>
      <c r="Z417" s="18" t="n"/>
      <c r="AA417" s="18" t="n"/>
      <c r="AB417" s="18" t="n"/>
      <c r="AC417" s="18" t="n"/>
      <c r="AD417" s="18" t="n"/>
      <c r="AE417" s="18" t="n"/>
      <c r="AF417" s="18" t="n"/>
      <c r="AG417" s="18" t="n"/>
      <c r="AH417" s="18" t="n"/>
      <c r="AI417" s="18" t="n"/>
    </row>
    <row r="418">
      <c r="A418" s="9" t="n">
        <v>202207</v>
      </c>
      <c r="B418" s="10">
        <f>LEFT(creditcard[[#This Row],[YYYYMM]],4)</f>
        <v/>
      </c>
      <c r="C418" s="10">
        <f>RIGHT(creditcard[[#This Row],[YYYYMM]],2)</f>
        <v/>
      </c>
      <c r="D418" s="10">
        <f>IF(RIGHT(creditcard[[#This Row],[YYYYMM]],2)="--","--","Q"&amp;ROUNDUP(VALUE(RIGHT(creditcard[[#This Row],[YYYYMM]],2))/3,0))</f>
        <v/>
      </c>
      <c r="E418" s="10" t="n">
        <v>10</v>
      </c>
      <c r="F418" s="151" t="inlineStr">
        <is>
          <t>遠東</t>
        </is>
      </c>
      <c r="G418" s="152" t="inlineStr">
        <is>
          <t>10 遠東</t>
        </is>
      </c>
      <c r="H418" s="153" t="n">
        <v>1568880</v>
      </c>
      <c r="I418" s="153" t="n">
        <v>985861</v>
      </c>
      <c r="J418" s="153" t="n">
        <v>12621</v>
      </c>
      <c r="K418" s="153" t="n">
        <v>10870</v>
      </c>
      <c r="L418" s="153" t="n">
        <v>3716.045</v>
      </c>
      <c r="M418" s="11" t="n"/>
      <c r="N418" s="153" t="n">
        <v>4747.441</v>
      </c>
      <c r="O418" s="11" t="n"/>
      <c r="P418" s="11" t="n"/>
      <c r="Q418" s="12" t="n"/>
      <c r="R418" s="11" t="n"/>
      <c r="S418" s="11" t="n"/>
      <c r="T418" s="11" t="n"/>
      <c r="U418" s="11" t="n"/>
      <c r="V418" s="154" t="n"/>
      <c r="W418" s="11" t="n"/>
      <c r="X418" s="13" t="n"/>
      <c r="Y418" s="13" t="n"/>
      <c r="Z418" s="13" t="n"/>
      <c r="AA418" s="13" t="n"/>
      <c r="AB418" s="13" t="n"/>
      <c r="AC418" s="13" t="n"/>
      <c r="AD418" s="13" t="n"/>
      <c r="AE418" s="13" t="n"/>
      <c r="AF418" s="13" t="n"/>
      <c r="AG418" s="13" t="n"/>
      <c r="AH418" s="13" t="n"/>
      <c r="AI418" s="13" t="n"/>
    </row>
    <row r="419">
      <c r="A419" s="14" t="n">
        <v>202207</v>
      </c>
      <c r="B419" s="15">
        <f>LEFT(creditcard[[#This Row],[YYYYMM]],4)</f>
        <v/>
      </c>
      <c r="C419" s="15">
        <f>RIGHT(creditcard[[#This Row],[YYYYMM]],2)</f>
        <v/>
      </c>
      <c r="D419" s="15">
        <f>IF(RIGHT(creditcard[[#This Row],[YYYYMM]],2)="--","--","Q"&amp;ROUNDUP(VALUE(RIGHT(creditcard[[#This Row],[YYYYMM]],2))/3,0))</f>
        <v/>
      </c>
      <c r="E419" s="15" t="n">
        <v>11</v>
      </c>
      <c r="F419" s="155" t="inlineStr">
        <is>
          <t>市場總計</t>
        </is>
      </c>
      <c r="G419" s="156" t="inlineStr">
        <is>
          <t>11 市場總計</t>
        </is>
      </c>
      <c r="H419" s="157" t="n">
        <v>54166677</v>
      </c>
      <c r="I419" s="157" t="n">
        <v>34374784</v>
      </c>
      <c r="J419" s="157" t="n">
        <v>543748</v>
      </c>
      <c r="K419" s="157" t="n">
        <v>297344</v>
      </c>
      <c r="L419" s="157" t="n">
        <v>100380.726</v>
      </c>
      <c r="M419" s="16" t="n"/>
      <c r="N419" s="157" t="n">
        <v>407863.535</v>
      </c>
      <c r="O419" s="16" t="n"/>
      <c r="P419" s="16" t="n"/>
      <c r="Q419" s="17" t="n"/>
      <c r="R419" s="16" t="n"/>
      <c r="S419" s="16" t="n"/>
      <c r="T419" s="16" t="n"/>
      <c r="U419" s="16" t="n"/>
      <c r="V419" s="158" t="n">
        <v>4.47</v>
      </c>
      <c r="W419" s="16">
        <f>SUMIFS(H:H,A:A,creditcard[[#This Row],[YYYYMM]],G:G,creditcard[[#This Row],[Item]])</f>
        <v/>
      </c>
      <c r="X419" s="4">
        <f>IFERROR(SUMIFS(H:H,A:A,creditcard[[#This Row],[YYYYMM]],E:E,"&lt;=5")/creditcard[[#This Row],[市場總計]],"")</f>
        <v/>
      </c>
      <c r="Y419" s="4">
        <f>IFERROR(SUMIFS(H:H,A:A,creditcard[[#This Row],[YYYYMM]],E:E,"&lt;=10")/creditcard[[#This Row],[市場總計]],"")</f>
        <v/>
      </c>
      <c r="Z419" s="4">
        <f>IFERROR(SUMIFS(I:I,A:A,creditcard[[#This Row],[YYYYMM]],E:E,"&lt;=5")/creditcard[[#This Row],[有效卡數]],"")</f>
        <v/>
      </c>
      <c r="AA419" s="4">
        <f>IFERROR(SUMIFS(I:I,A:A,creditcard[[#This Row],[YYYYMM]],E:E,"&lt;=10")/creditcard[[#This Row],[有效卡數]],"")</f>
        <v/>
      </c>
      <c r="AB419" s="4">
        <f>IFERROR(SUMIFS(J:J,A:A,creditcard[[#This Row],[YYYYMM]],E:E,"&lt;=5")/creditcard[[#This Row],[當月發卡數]],"")</f>
        <v/>
      </c>
      <c r="AC419" s="4">
        <f>IFERROR(SUMIFS(J:J,A:A,creditcard[[#This Row],[YYYYMM]],E:E,"&lt;=10")/creditcard[[#This Row],[當月發卡數]],"")</f>
        <v/>
      </c>
      <c r="AD419" s="4">
        <f>IFERROR(SUMIFS(K:K,A:A,creditcard[[#This Row],[YYYYMM]],E:E,"&lt;=5")/creditcard[[#This Row],[當月停卡數]],"")</f>
        <v/>
      </c>
      <c r="AE419" s="4">
        <f>IFERROR(SUMIFS(K:K,A:A,creditcard[[#This Row],[YYYYMM]],E:E,"&lt;=10")/creditcard[[#This Row],[當月停卡數]],"")</f>
        <v/>
      </c>
      <c r="AF419" s="4">
        <f>IFERROR(SUMIFS(L:L,A:A,creditcard[[#This Row],[YYYYMM]],E:E,"&lt;=5")/creditcard[[#This Row],[循環信用餘額]],"")</f>
        <v/>
      </c>
      <c r="AG419" s="4">
        <f>IFERROR(SUMIFS(L:L,A:A,creditcard[[#This Row],[YYYYMM]],E:E,"&lt;=10")/creditcard[[#This Row],[循環信用餘額]],"")</f>
        <v/>
      </c>
      <c r="AH419" s="4">
        <f>IFERROR(SUMIFS(N:N,A:A,creditcard[[#This Row],[YYYYMM]],E:E,"&lt;=5")/creditcard[[#This Row],[當月簽帳金額]],"")</f>
        <v/>
      </c>
      <c r="AI419" s="4">
        <f>IFERROR(SUMIFS(N:N,A:A,creditcard[[#This Row],[YYYYMM]],E:E,"&lt;=10")/creditcard[[#This Row],[當月簽帳金額]],"")</f>
        <v/>
      </c>
    </row>
    <row r="420">
      <c r="A420" s="9" t="n">
        <v>202208</v>
      </c>
      <c r="B420" s="10">
        <f>LEFT(creditcard[[#This Row],[YYYYMM]],4)</f>
        <v/>
      </c>
      <c r="C420" s="10">
        <f>RIGHT(creditcard[[#This Row],[YYYYMM]],2)</f>
        <v/>
      </c>
      <c r="D420" s="10">
        <f>IF(RIGHT(creditcard[[#This Row],[YYYYMM]],2)="--","--","Q"&amp;ROUNDUP(VALUE(RIGHT(creditcard[[#This Row],[YYYYMM]],2))/3,0))</f>
        <v/>
      </c>
      <c r="E420" s="10" t="n">
        <v>1</v>
      </c>
      <c r="F420" s="151" t="inlineStr">
        <is>
          <t>中信</t>
        </is>
      </c>
      <c r="G420" s="152" t="inlineStr">
        <is>
          <t>01 中信</t>
        </is>
      </c>
      <c r="H420" s="153" t="n">
        <v>8267451</v>
      </c>
      <c r="I420" s="153" t="n">
        <v>5168664</v>
      </c>
      <c r="J420" s="153" t="n">
        <v>117219</v>
      </c>
      <c r="K420" s="153" t="n">
        <v>59784</v>
      </c>
      <c r="L420" s="153" t="n">
        <v>15292.659</v>
      </c>
      <c r="M420" s="11" t="n"/>
      <c r="N420" s="153" t="n">
        <v>48427.303</v>
      </c>
      <c r="O420" s="11" t="n"/>
      <c r="P420" s="11" t="n"/>
      <c r="Q420" s="12" t="n"/>
      <c r="R420" s="11" t="n"/>
      <c r="S420" s="11" t="n"/>
      <c r="T420" s="11" t="n"/>
      <c r="U420" s="11" t="n"/>
      <c r="V420" s="154" t="n"/>
      <c r="W420" s="11" t="n"/>
      <c r="X420" s="13" t="n"/>
      <c r="Y420" s="13" t="n"/>
      <c r="Z420" s="13" t="n"/>
      <c r="AA420" s="13" t="n"/>
      <c r="AB420" s="13" t="n"/>
      <c r="AC420" s="13" t="n"/>
      <c r="AD420" s="13" t="n"/>
      <c r="AE420" s="13" t="n"/>
      <c r="AF420" s="13" t="n"/>
      <c r="AG420" s="13" t="n"/>
      <c r="AH420" s="13" t="n"/>
      <c r="AI420" s="13" t="n"/>
    </row>
    <row r="421">
      <c r="A421" s="14" t="n">
        <v>202208</v>
      </c>
      <c r="B421" s="15">
        <f>LEFT(creditcard[[#This Row],[YYYYMM]],4)</f>
        <v/>
      </c>
      <c r="C421" s="15">
        <f>RIGHT(creditcard[[#This Row],[YYYYMM]],2)</f>
        <v/>
      </c>
      <c r="D421" s="15">
        <f>IF(RIGHT(creditcard[[#This Row],[YYYYMM]],2)="--","--","Q"&amp;ROUNDUP(VALUE(RIGHT(creditcard[[#This Row],[YYYYMM]],2))/3,0))</f>
        <v/>
      </c>
      <c r="E421" s="15" t="n">
        <v>2</v>
      </c>
      <c r="F421" s="155" t="inlineStr">
        <is>
          <t>富邦</t>
        </is>
      </c>
      <c r="G421" s="156" t="inlineStr">
        <is>
          <t>02 富邦</t>
        </is>
      </c>
      <c r="H421" s="157" t="n">
        <v>4601955</v>
      </c>
      <c r="I421" s="157" t="n">
        <v>3123047</v>
      </c>
      <c r="J421" s="157" t="n">
        <v>61257</v>
      </c>
      <c r="K421" s="157" t="n">
        <v>15537</v>
      </c>
      <c r="L421" s="157" t="n">
        <v>6091.724</v>
      </c>
      <c r="M421" s="16" t="n"/>
      <c r="N421" s="157" t="n">
        <v>30773.485</v>
      </c>
      <c r="O421" s="16" t="n"/>
      <c r="P421" s="16" t="n"/>
      <c r="Q421" s="17" t="n"/>
      <c r="R421" s="16" t="n"/>
      <c r="S421" s="16" t="n"/>
      <c r="T421" s="16" t="n"/>
      <c r="U421" s="16" t="n"/>
      <c r="V421" s="158" t="n"/>
      <c r="W421" s="16" t="n"/>
      <c r="X421" s="18" t="n"/>
      <c r="Y421" s="18" t="n"/>
      <c r="Z421" s="18" t="n"/>
      <c r="AA421" s="18" t="n"/>
      <c r="AB421" s="18" t="n"/>
      <c r="AC421" s="18" t="n"/>
      <c r="AD421" s="18" t="n"/>
      <c r="AE421" s="18" t="n"/>
      <c r="AF421" s="18" t="n"/>
      <c r="AG421" s="18" t="n"/>
      <c r="AH421" s="18" t="n"/>
      <c r="AI421" s="18" t="n"/>
    </row>
    <row r="422">
      <c r="A422" s="9" t="n">
        <v>202208</v>
      </c>
      <c r="B422" s="10">
        <f>LEFT(creditcard[[#This Row],[YYYYMM]],4)</f>
        <v/>
      </c>
      <c r="C422" s="10">
        <f>RIGHT(creditcard[[#This Row],[YYYYMM]],2)</f>
        <v/>
      </c>
      <c r="D422" s="10">
        <f>IF(RIGHT(creditcard[[#This Row],[YYYYMM]],2)="--","--","Q"&amp;ROUNDUP(VALUE(RIGHT(creditcard[[#This Row],[YYYYMM]],2))/3,0))</f>
        <v/>
      </c>
      <c r="E422" s="10" t="n">
        <v>3</v>
      </c>
      <c r="F422" s="151" t="inlineStr">
        <is>
          <t>國泰</t>
        </is>
      </c>
      <c r="G422" s="152" t="inlineStr">
        <is>
          <t>03 國泰</t>
        </is>
      </c>
      <c r="H422" s="153" t="n">
        <v>7855850</v>
      </c>
      <c r="I422" s="153" t="n">
        <v>5556208</v>
      </c>
      <c r="J422" s="153" t="n">
        <v>74059</v>
      </c>
      <c r="K422" s="153" t="n">
        <v>30761</v>
      </c>
      <c r="L422" s="153" t="n">
        <v>18021.224</v>
      </c>
      <c r="M422" s="11" t="n"/>
      <c r="N422" s="153" t="n">
        <v>52862.579</v>
      </c>
      <c r="O422" s="11" t="n"/>
      <c r="P422" s="11" t="n"/>
      <c r="Q422" s="12" t="n"/>
      <c r="R422" s="11" t="n"/>
      <c r="S422" s="11" t="n"/>
      <c r="T422" s="11" t="n"/>
      <c r="U422" s="11" t="n"/>
      <c r="V422" s="154" t="n"/>
      <c r="W422" s="11" t="n"/>
      <c r="X422" s="13" t="n"/>
      <c r="Y422" s="13" t="n"/>
      <c r="Z422" s="13" t="n"/>
      <c r="AA422" s="13" t="n"/>
      <c r="AB422" s="13" t="n"/>
      <c r="AC422" s="13" t="n"/>
      <c r="AD422" s="13" t="n"/>
      <c r="AE422" s="13" t="n"/>
      <c r="AF422" s="13" t="n"/>
      <c r="AG422" s="13" t="n"/>
      <c r="AH422" s="13" t="n"/>
      <c r="AI422" s="13" t="n"/>
    </row>
    <row r="423">
      <c r="A423" s="14" t="n">
        <v>202208</v>
      </c>
      <c r="B423" s="15">
        <f>LEFT(creditcard[[#This Row],[YYYYMM]],4)</f>
        <v/>
      </c>
      <c r="C423" s="15">
        <f>RIGHT(creditcard[[#This Row],[YYYYMM]],2)</f>
        <v/>
      </c>
      <c r="D423" s="15">
        <f>IF(RIGHT(creditcard[[#This Row],[YYYYMM]],2)="--","--","Q"&amp;ROUNDUP(VALUE(RIGHT(creditcard[[#This Row],[YYYYMM]],2))/3,0))</f>
        <v/>
      </c>
      <c r="E423" s="15" t="n">
        <v>4</v>
      </c>
      <c r="F423" s="155" t="inlineStr">
        <is>
          <t>玉山</t>
        </is>
      </c>
      <c r="G423" s="156" t="inlineStr">
        <is>
          <t>04 玉山</t>
        </is>
      </c>
      <c r="H423" s="157" t="n">
        <v>6802744</v>
      </c>
      <c r="I423" s="157" t="n">
        <v>4574245</v>
      </c>
      <c r="J423" s="157" t="n">
        <v>48010</v>
      </c>
      <c r="K423" s="157" t="n">
        <v>24601</v>
      </c>
      <c r="L423" s="157" t="n">
        <v>12649.617</v>
      </c>
      <c r="M423" s="16" t="n"/>
      <c r="N423" s="157" t="n">
        <v>41348.057</v>
      </c>
      <c r="O423" s="16" t="n"/>
      <c r="P423" s="16" t="n"/>
      <c r="Q423" s="17" t="n"/>
      <c r="R423" s="16" t="n"/>
      <c r="S423" s="16" t="n"/>
      <c r="T423" s="16" t="n"/>
      <c r="U423" s="16" t="n"/>
      <c r="V423" s="158" t="n"/>
      <c r="W423" s="16" t="n"/>
      <c r="X423" s="18" t="n"/>
      <c r="Y423" s="18" t="n"/>
      <c r="Z423" s="18" t="n"/>
      <c r="AA423" s="18" t="n"/>
      <c r="AB423" s="18" t="n"/>
      <c r="AC423" s="18" t="n"/>
      <c r="AD423" s="18" t="n"/>
      <c r="AE423" s="18" t="n"/>
      <c r="AF423" s="18" t="n"/>
      <c r="AG423" s="18" t="n"/>
      <c r="AH423" s="18" t="n"/>
      <c r="AI423" s="18" t="n"/>
    </row>
    <row r="424">
      <c r="A424" s="9" t="n">
        <v>202208</v>
      </c>
      <c r="B424" s="10">
        <f>LEFT(creditcard[[#This Row],[YYYYMM]],4)</f>
        <v/>
      </c>
      <c r="C424" s="10">
        <f>RIGHT(creditcard[[#This Row],[YYYYMM]],2)</f>
        <v/>
      </c>
      <c r="D424" s="10">
        <f>IF(RIGHT(creditcard[[#This Row],[YYYYMM]],2)="--","--","Q"&amp;ROUNDUP(VALUE(RIGHT(creditcard[[#This Row],[YYYYMM]],2))/3,0))</f>
        <v/>
      </c>
      <c r="E424" s="10" t="n">
        <v>5</v>
      </c>
      <c r="F424" s="151" t="inlineStr">
        <is>
          <t>台新</t>
        </is>
      </c>
      <c r="G424" s="152" t="inlineStr">
        <is>
          <t>05 台新</t>
        </is>
      </c>
      <c r="H424" s="153" t="n">
        <v>6222983</v>
      </c>
      <c r="I424" s="153" t="n">
        <v>4149634</v>
      </c>
      <c r="J424" s="153" t="n">
        <v>62792</v>
      </c>
      <c r="K424" s="153" t="n">
        <v>34313</v>
      </c>
      <c r="L424" s="153" t="n">
        <v>9814.684999999999</v>
      </c>
      <c r="M424" s="11" t="n"/>
      <c r="N424" s="153" t="n">
        <v>32582.058</v>
      </c>
      <c r="O424" s="11" t="n"/>
      <c r="P424" s="11" t="n"/>
      <c r="Q424" s="12" t="n"/>
      <c r="R424" s="11" t="n"/>
      <c r="S424" s="11" t="n"/>
      <c r="T424" s="11" t="n"/>
      <c r="U424" s="11" t="n"/>
      <c r="V424" s="154" t="n"/>
      <c r="W424" s="11" t="n"/>
      <c r="X424" s="13" t="n"/>
      <c r="Y424" s="13" t="n"/>
      <c r="Z424" s="13" t="n"/>
      <c r="AA424" s="13" t="n"/>
      <c r="AB424" s="13" t="n"/>
      <c r="AC424" s="13" t="n"/>
      <c r="AD424" s="13" t="n"/>
      <c r="AE424" s="13" t="n"/>
      <c r="AF424" s="13" t="n"/>
      <c r="AG424" s="13" t="n"/>
      <c r="AH424" s="13" t="n"/>
      <c r="AI424" s="13" t="n"/>
    </row>
    <row r="425">
      <c r="A425" s="14" t="n">
        <v>202208</v>
      </c>
      <c r="B425" s="15">
        <f>LEFT(creditcard[[#This Row],[YYYYMM]],4)</f>
        <v/>
      </c>
      <c r="C425" s="15">
        <f>RIGHT(creditcard[[#This Row],[YYYYMM]],2)</f>
        <v/>
      </c>
      <c r="D425" s="15">
        <f>IF(RIGHT(creditcard[[#This Row],[YYYYMM]],2)="--","--","Q"&amp;ROUNDUP(VALUE(RIGHT(creditcard[[#This Row],[YYYYMM]],2))/3,0))</f>
        <v/>
      </c>
      <c r="E425" s="15" t="n">
        <v>6</v>
      </c>
      <c r="F425" s="155" t="inlineStr">
        <is>
          <t>星展</t>
        </is>
      </c>
      <c r="G425" s="156" t="inlineStr">
        <is>
          <t>06 星展</t>
        </is>
      </c>
      <c r="H425" s="157" t="n">
        <v>642505</v>
      </c>
      <c r="I425" s="157" t="n">
        <v>327263</v>
      </c>
      <c r="J425" s="157" t="n">
        <v>5010</v>
      </c>
      <c r="K425" s="157" t="n">
        <v>4016</v>
      </c>
      <c r="L425" s="157" t="n">
        <v>1233</v>
      </c>
      <c r="M425" s="16" t="n"/>
      <c r="N425" s="157" t="n">
        <v>3501</v>
      </c>
      <c r="O425" s="16" t="n"/>
      <c r="P425" s="16" t="n"/>
      <c r="Q425" s="17" t="n"/>
      <c r="R425" s="16" t="n"/>
      <c r="S425" s="16" t="n"/>
      <c r="T425" s="16" t="n"/>
      <c r="U425" s="16" t="n"/>
      <c r="V425" s="158" t="n"/>
      <c r="W425" s="16" t="n"/>
      <c r="X425" s="18" t="n"/>
      <c r="Y425" s="18" t="n"/>
      <c r="Z425" s="18" t="n"/>
      <c r="AA425" s="18" t="n"/>
      <c r="AB425" s="18" t="n"/>
      <c r="AC425" s="18" t="n"/>
      <c r="AD425" s="18" t="n"/>
      <c r="AE425" s="18" t="n"/>
      <c r="AF425" s="18" t="n"/>
      <c r="AG425" s="18" t="n"/>
      <c r="AH425" s="18" t="n"/>
      <c r="AI425" s="18" t="n"/>
    </row>
    <row r="426">
      <c r="A426" s="9" t="n">
        <v>202208</v>
      </c>
      <c r="B426" s="10">
        <f>LEFT(creditcard[[#This Row],[YYYYMM]],4)</f>
        <v/>
      </c>
      <c r="C426" s="10">
        <f>RIGHT(creditcard[[#This Row],[YYYYMM]],2)</f>
        <v/>
      </c>
      <c r="D426" s="10">
        <f>IF(RIGHT(creditcard[[#This Row],[YYYYMM]],2)="--","--","Q"&amp;ROUNDUP(VALUE(RIGHT(creditcard[[#This Row],[YYYYMM]],2))/3,0))</f>
        <v/>
      </c>
      <c r="E426" s="10" t="n">
        <v>7</v>
      </c>
      <c r="F426" s="151" t="inlineStr">
        <is>
          <t>聯邦</t>
        </is>
      </c>
      <c r="G426" s="152" t="inlineStr">
        <is>
          <t>07 聯邦</t>
        </is>
      </c>
      <c r="H426" s="153" t="n">
        <v>2356196</v>
      </c>
      <c r="I426" s="153" t="n">
        <v>1339801</v>
      </c>
      <c r="J426" s="153" t="n">
        <v>30166</v>
      </c>
      <c r="K426" s="153" t="n">
        <v>15190</v>
      </c>
      <c r="L426" s="153" t="n">
        <v>5421.264</v>
      </c>
      <c r="M426" s="11" t="n"/>
      <c r="N426" s="153" t="n">
        <v>10096.931</v>
      </c>
      <c r="O426" s="11" t="n"/>
      <c r="P426" s="11" t="n"/>
      <c r="Q426" s="12" t="n"/>
      <c r="R426" s="11" t="n"/>
      <c r="S426" s="11" t="n"/>
      <c r="T426" s="11" t="n"/>
      <c r="U426" s="11" t="n"/>
      <c r="V426" s="154" t="n"/>
      <c r="W426" s="11" t="n"/>
      <c r="X426" s="13" t="n"/>
      <c r="Y426" s="13" t="n"/>
      <c r="Z426" s="13" t="n"/>
      <c r="AA426" s="13" t="n"/>
      <c r="AB426" s="13" t="n"/>
      <c r="AC426" s="13" t="n"/>
      <c r="AD426" s="13" t="n"/>
      <c r="AE426" s="13" t="n"/>
      <c r="AF426" s="13" t="n"/>
      <c r="AG426" s="13" t="n"/>
      <c r="AH426" s="13" t="n"/>
      <c r="AI426" s="13" t="n"/>
    </row>
    <row r="427">
      <c r="A427" s="14" t="n">
        <v>202208</v>
      </c>
      <c r="B427" s="15">
        <f>LEFT(creditcard[[#This Row],[YYYYMM]],4)</f>
        <v/>
      </c>
      <c r="C427" s="15">
        <f>RIGHT(creditcard[[#This Row],[YYYYMM]],2)</f>
        <v/>
      </c>
      <c r="D427" s="15">
        <f>IF(RIGHT(creditcard[[#This Row],[YYYYMM]],2)="--","--","Q"&amp;ROUNDUP(VALUE(RIGHT(creditcard[[#This Row],[YYYYMM]],2))/3,0))</f>
        <v/>
      </c>
      <c r="E427" s="15" t="n">
        <v>8</v>
      </c>
      <c r="F427" s="155" t="inlineStr">
        <is>
          <t>永豐</t>
        </is>
      </c>
      <c r="G427" s="156" t="inlineStr">
        <is>
          <t>08 永豐</t>
        </is>
      </c>
      <c r="H427" s="157" t="n">
        <v>2246011</v>
      </c>
      <c r="I427" s="157" t="n">
        <v>1213060</v>
      </c>
      <c r="J427" s="157" t="n">
        <v>18619</v>
      </c>
      <c r="K427" s="157" t="n">
        <v>6615</v>
      </c>
      <c r="L427" s="157" t="n">
        <v>3872.216</v>
      </c>
      <c r="M427" s="16" t="n"/>
      <c r="N427" s="157" t="n">
        <v>11190.445</v>
      </c>
      <c r="O427" s="16" t="n"/>
      <c r="P427" s="16" t="n"/>
      <c r="Q427" s="17" t="n"/>
      <c r="R427" s="16" t="n"/>
      <c r="S427" s="16" t="n"/>
      <c r="T427" s="16" t="n"/>
      <c r="U427" s="16" t="n"/>
      <c r="V427" s="158" t="n"/>
      <c r="W427" s="16" t="n"/>
      <c r="X427" s="18" t="n"/>
      <c r="Y427" s="18" t="n"/>
      <c r="Z427" s="18" t="n"/>
      <c r="AA427" s="18" t="n"/>
      <c r="AB427" s="18" t="n"/>
      <c r="AC427" s="18" t="n"/>
      <c r="AD427" s="18" t="n"/>
      <c r="AE427" s="18" t="n"/>
      <c r="AF427" s="18" t="n"/>
      <c r="AG427" s="18" t="n"/>
      <c r="AH427" s="18" t="n"/>
      <c r="AI427" s="18" t="n"/>
    </row>
    <row r="428">
      <c r="A428" s="9" t="n">
        <v>202208</v>
      </c>
      <c r="B428" s="10">
        <f>LEFT(creditcard[[#This Row],[YYYYMM]],4)</f>
        <v/>
      </c>
      <c r="C428" s="10">
        <f>RIGHT(creditcard[[#This Row],[YYYYMM]],2)</f>
        <v/>
      </c>
      <c r="D428" s="10">
        <f>IF(RIGHT(creditcard[[#This Row],[YYYYMM]],2)="--","--","Q"&amp;ROUNDUP(VALUE(RIGHT(creditcard[[#This Row],[YYYYMM]],2))/3,0))</f>
        <v/>
      </c>
      <c r="E428" s="10" t="n">
        <v>9</v>
      </c>
      <c r="F428" s="151" t="inlineStr">
        <is>
          <t>第一</t>
        </is>
      </c>
      <c r="G428" s="152" t="inlineStr">
        <is>
          <t>09 第一</t>
        </is>
      </c>
      <c r="H428" s="153" t="n">
        <v>1486516</v>
      </c>
      <c r="I428" s="153" t="n">
        <v>891970</v>
      </c>
      <c r="J428" s="153" t="n">
        <v>18550</v>
      </c>
      <c r="K428" s="153" t="n">
        <v>13727</v>
      </c>
      <c r="L428" s="153" t="n">
        <v>1535</v>
      </c>
      <c r="M428" s="11" t="n"/>
      <c r="N428" s="153" t="n">
        <v>5885</v>
      </c>
      <c r="O428" s="11" t="n"/>
      <c r="P428" s="11" t="n"/>
      <c r="Q428" s="12" t="n"/>
      <c r="R428" s="11" t="n"/>
      <c r="S428" s="11" t="n"/>
      <c r="T428" s="11" t="n"/>
      <c r="U428" s="11" t="n"/>
      <c r="V428" s="154" t="n"/>
      <c r="W428" s="11" t="n"/>
      <c r="X428" s="13" t="n"/>
      <c r="Y428" s="13" t="n"/>
      <c r="Z428" s="13" t="n"/>
      <c r="AA428" s="13" t="n"/>
      <c r="AB428" s="13" t="n"/>
      <c r="AC428" s="13" t="n"/>
      <c r="AD428" s="13" t="n"/>
      <c r="AE428" s="13" t="n"/>
      <c r="AF428" s="13" t="n"/>
      <c r="AG428" s="13" t="n"/>
      <c r="AH428" s="13" t="n"/>
      <c r="AI428" s="13" t="n"/>
    </row>
    <row r="429">
      <c r="A429" s="14" t="n">
        <v>202208</v>
      </c>
      <c r="B429" s="15">
        <f>LEFT(creditcard[[#This Row],[YYYYMM]],4)</f>
        <v/>
      </c>
      <c r="C429" s="15">
        <f>RIGHT(creditcard[[#This Row],[YYYYMM]],2)</f>
        <v/>
      </c>
      <c r="D429" s="15">
        <f>IF(RIGHT(creditcard[[#This Row],[YYYYMM]],2)="--","--","Q"&amp;ROUNDUP(VALUE(RIGHT(creditcard[[#This Row],[YYYYMM]],2))/3,0))</f>
        <v/>
      </c>
      <c r="E429" s="15" t="n">
        <v>10</v>
      </c>
      <c r="F429" s="155" t="inlineStr">
        <is>
          <t>遠東</t>
        </is>
      </c>
      <c r="G429" s="156" t="inlineStr">
        <is>
          <t>10 遠東</t>
        </is>
      </c>
      <c r="H429" s="157" t="n">
        <v>1571364</v>
      </c>
      <c r="I429" s="157" t="n">
        <v>985581</v>
      </c>
      <c r="J429" s="157" t="n">
        <v>13339</v>
      </c>
      <c r="K429" s="157" t="n">
        <v>10882</v>
      </c>
      <c r="L429" s="157" t="n">
        <v>3637.126</v>
      </c>
      <c r="M429" s="16" t="n"/>
      <c r="N429" s="157" t="n">
        <v>4513.62</v>
      </c>
      <c r="O429" s="16" t="n"/>
      <c r="P429" s="16" t="n"/>
      <c r="Q429" s="17" t="n"/>
      <c r="R429" s="16" t="n"/>
      <c r="S429" s="16" t="n"/>
      <c r="T429" s="16" t="n"/>
      <c r="U429" s="16" t="n"/>
      <c r="V429" s="158" t="n"/>
      <c r="W429" s="16" t="n"/>
      <c r="X429" s="18" t="n"/>
      <c r="Y429" s="18" t="n"/>
      <c r="Z429" s="18" t="n"/>
      <c r="AA429" s="18" t="n"/>
      <c r="AB429" s="18" t="n"/>
      <c r="AC429" s="18" t="n"/>
      <c r="AD429" s="18" t="n"/>
      <c r="AE429" s="18" t="n"/>
      <c r="AF429" s="18" t="n"/>
      <c r="AG429" s="18" t="n"/>
      <c r="AH429" s="18" t="n"/>
      <c r="AI429" s="18" t="n"/>
    </row>
    <row r="430">
      <c r="A430" s="9" t="n">
        <v>202208</v>
      </c>
      <c r="B430" s="10">
        <f>LEFT(creditcard[[#This Row],[YYYYMM]],4)</f>
        <v/>
      </c>
      <c r="C430" s="10">
        <f>RIGHT(creditcard[[#This Row],[YYYYMM]],2)</f>
        <v/>
      </c>
      <c r="D430" s="10">
        <f>IF(RIGHT(creditcard[[#This Row],[YYYYMM]],2)="--","--","Q"&amp;ROUNDUP(VALUE(RIGHT(creditcard[[#This Row],[YYYYMM]],2))/3,0))</f>
        <v/>
      </c>
      <c r="E430" s="10" t="n">
        <v>11</v>
      </c>
      <c r="F430" s="151" t="inlineStr">
        <is>
          <t>市場總計</t>
        </is>
      </c>
      <c r="G430" s="152" t="inlineStr">
        <is>
          <t>11 市場總計</t>
        </is>
      </c>
      <c r="H430" s="153" t="n">
        <v>54414688</v>
      </c>
      <c r="I430" s="153" t="n">
        <v>34664057</v>
      </c>
      <c r="J430" s="153" t="n">
        <v>550468</v>
      </c>
      <c r="K430" s="153" t="n">
        <v>313560</v>
      </c>
      <c r="L430" s="153" t="n">
        <v>101010.062</v>
      </c>
      <c r="M430" s="11" t="n"/>
      <c r="N430" s="153" t="n">
        <v>303760.704</v>
      </c>
      <c r="O430" s="11" t="n"/>
      <c r="P430" s="11" t="n"/>
      <c r="Q430" s="12" t="n"/>
      <c r="R430" s="11" t="n"/>
      <c r="S430" s="11" t="n"/>
      <c r="T430" s="11" t="n"/>
      <c r="U430" s="11" t="n"/>
      <c r="V430" s="154" t="n">
        <v>4.48</v>
      </c>
      <c r="W430" s="11">
        <f>SUMIFS(H:H,A:A,creditcard[[#This Row],[YYYYMM]],G:G,creditcard[[#This Row],[Item]])</f>
        <v/>
      </c>
      <c r="X430" s="4">
        <f>IFERROR(SUMIFS(H:H,A:A,creditcard[[#This Row],[YYYYMM]],E:E,"&lt;=5")/creditcard[[#This Row],[市場總計]],"")</f>
        <v/>
      </c>
      <c r="Y430" s="4">
        <f>IFERROR(SUMIFS(H:H,A:A,creditcard[[#This Row],[YYYYMM]],E:E,"&lt;=10")/creditcard[[#This Row],[市場總計]],"")</f>
        <v/>
      </c>
      <c r="Z430" s="4">
        <f>IFERROR(SUMIFS(I:I,A:A,creditcard[[#This Row],[YYYYMM]],E:E,"&lt;=5")/creditcard[[#This Row],[有效卡數]],"")</f>
        <v/>
      </c>
      <c r="AA430" s="4">
        <f>IFERROR(SUMIFS(I:I,A:A,creditcard[[#This Row],[YYYYMM]],E:E,"&lt;=10")/creditcard[[#This Row],[有效卡數]],"")</f>
        <v/>
      </c>
      <c r="AB430" s="4">
        <f>IFERROR(SUMIFS(J:J,A:A,creditcard[[#This Row],[YYYYMM]],E:E,"&lt;=5")/creditcard[[#This Row],[當月發卡數]],"")</f>
        <v/>
      </c>
      <c r="AC430" s="4">
        <f>IFERROR(SUMIFS(J:J,A:A,creditcard[[#This Row],[YYYYMM]],E:E,"&lt;=10")/creditcard[[#This Row],[當月發卡數]],"")</f>
        <v/>
      </c>
      <c r="AD430" s="4">
        <f>IFERROR(SUMIFS(K:K,A:A,creditcard[[#This Row],[YYYYMM]],E:E,"&lt;=5")/creditcard[[#This Row],[當月停卡數]],"")</f>
        <v/>
      </c>
      <c r="AE430" s="4">
        <f>IFERROR(SUMIFS(K:K,A:A,creditcard[[#This Row],[YYYYMM]],E:E,"&lt;=10")/creditcard[[#This Row],[當月停卡數]],"")</f>
        <v/>
      </c>
      <c r="AF430" s="4">
        <f>IFERROR(SUMIFS(L:L,A:A,creditcard[[#This Row],[YYYYMM]],E:E,"&lt;=5")/creditcard[[#This Row],[循環信用餘額]],"")</f>
        <v/>
      </c>
      <c r="AG430" s="4">
        <f>IFERROR(SUMIFS(L:L,A:A,creditcard[[#This Row],[YYYYMM]],E:E,"&lt;=10")/creditcard[[#This Row],[循環信用餘額]],"")</f>
        <v/>
      </c>
      <c r="AH430" s="4">
        <f>IFERROR(SUMIFS(N:N,A:A,creditcard[[#This Row],[YYYYMM]],E:E,"&lt;=5")/creditcard[[#This Row],[當月簽帳金額]],"")</f>
        <v/>
      </c>
      <c r="AI430" s="4">
        <f>IFERROR(SUMIFS(N:N,A:A,creditcard[[#This Row],[YYYYMM]],E:E,"&lt;=10")/creditcard[[#This Row],[當月簽帳金額]],"")</f>
        <v/>
      </c>
    </row>
    <row r="431">
      <c r="A431" s="14" t="n">
        <v>202209</v>
      </c>
      <c r="B431" s="15">
        <f>LEFT(creditcard[[#This Row],[YYYYMM]],4)</f>
        <v/>
      </c>
      <c r="C431" s="15">
        <f>RIGHT(creditcard[[#This Row],[YYYYMM]],2)</f>
        <v/>
      </c>
      <c r="D431" s="15">
        <f>IF(RIGHT(creditcard[[#This Row],[YYYYMM]],2)="--","--","Q"&amp;ROUNDUP(VALUE(RIGHT(creditcard[[#This Row],[YYYYMM]],2))/3,0))</f>
        <v/>
      </c>
      <c r="E431" s="15" t="n">
        <v>1</v>
      </c>
      <c r="F431" s="155" t="inlineStr">
        <is>
          <t>中信</t>
        </is>
      </c>
      <c r="G431" s="156" t="inlineStr">
        <is>
          <t>01 中信</t>
        </is>
      </c>
      <c r="H431" s="157" t="n">
        <v>8325624</v>
      </c>
      <c r="I431" s="157" t="n">
        <v>5183773</v>
      </c>
      <c r="J431" s="157" t="n">
        <v>102096</v>
      </c>
      <c r="K431" s="157" t="n">
        <v>43923</v>
      </c>
      <c r="L431" s="157" t="n">
        <v>15441.695</v>
      </c>
      <c r="M431" s="16" t="n"/>
      <c r="N431" s="157" t="n">
        <v>45859.374</v>
      </c>
      <c r="O431" s="16" t="n"/>
      <c r="P431" s="16" t="n"/>
      <c r="Q431" s="17" t="n"/>
      <c r="R431" s="16" t="n"/>
      <c r="S431" s="16" t="n"/>
      <c r="T431" s="16" t="n"/>
      <c r="U431" s="16" t="n"/>
      <c r="V431" s="158" t="n"/>
      <c r="W431" s="16" t="n"/>
      <c r="X431" s="18" t="n"/>
      <c r="Y431" s="18" t="n"/>
      <c r="Z431" s="18" t="n"/>
      <c r="AA431" s="18" t="n"/>
      <c r="AB431" s="18" t="n"/>
      <c r="AC431" s="18" t="n"/>
      <c r="AD431" s="18" t="n"/>
      <c r="AE431" s="18" t="n"/>
      <c r="AF431" s="18" t="n"/>
      <c r="AG431" s="18" t="n"/>
      <c r="AH431" s="18" t="n"/>
      <c r="AI431" s="18" t="n"/>
    </row>
    <row r="432">
      <c r="A432" s="9" t="n">
        <v>202209</v>
      </c>
      <c r="B432" s="10">
        <f>LEFT(creditcard[[#This Row],[YYYYMM]],4)</f>
        <v/>
      </c>
      <c r="C432" s="10">
        <f>RIGHT(creditcard[[#This Row],[YYYYMM]],2)</f>
        <v/>
      </c>
      <c r="D432" s="10">
        <f>IF(RIGHT(creditcard[[#This Row],[YYYYMM]],2)="--","--","Q"&amp;ROUNDUP(VALUE(RIGHT(creditcard[[#This Row],[YYYYMM]],2))/3,0))</f>
        <v/>
      </c>
      <c r="E432" s="10" t="n">
        <v>2</v>
      </c>
      <c r="F432" s="151" t="inlineStr">
        <is>
          <t>富邦</t>
        </is>
      </c>
      <c r="G432" s="152" t="inlineStr">
        <is>
          <t>02 富邦</t>
        </is>
      </c>
      <c r="H432" s="153" t="n">
        <v>4635827</v>
      </c>
      <c r="I432" s="153" t="n">
        <v>3143201</v>
      </c>
      <c r="J432" s="153" t="n">
        <v>47549</v>
      </c>
      <c r="K432" s="153" t="n">
        <v>13677</v>
      </c>
      <c r="L432" s="153" t="n">
        <v>6184.25</v>
      </c>
      <c r="M432" s="11" t="n"/>
      <c r="N432" s="153" t="n">
        <v>27977.625</v>
      </c>
      <c r="O432" s="11" t="n"/>
      <c r="P432" s="11" t="n"/>
      <c r="Q432" s="12" t="n"/>
      <c r="R432" s="11" t="n"/>
      <c r="S432" s="11" t="n"/>
      <c r="T432" s="11" t="n"/>
      <c r="U432" s="11" t="n"/>
      <c r="V432" s="154" t="n"/>
      <c r="W432" s="11" t="n"/>
      <c r="X432" s="13" t="n"/>
      <c r="Y432" s="13" t="n"/>
      <c r="Z432" s="13" t="n"/>
      <c r="AA432" s="13" t="n"/>
      <c r="AB432" s="13" t="n"/>
      <c r="AC432" s="13" t="n"/>
      <c r="AD432" s="13" t="n"/>
      <c r="AE432" s="13" t="n"/>
      <c r="AF432" s="13" t="n"/>
      <c r="AG432" s="13" t="n"/>
      <c r="AH432" s="13" t="n"/>
      <c r="AI432" s="13" t="n"/>
    </row>
    <row r="433">
      <c r="A433" s="14" t="n">
        <v>202209</v>
      </c>
      <c r="B433" s="15">
        <f>LEFT(creditcard[[#This Row],[YYYYMM]],4)</f>
        <v/>
      </c>
      <c r="C433" s="15">
        <f>RIGHT(creditcard[[#This Row],[YYYYMM]],2)</f>
        <v/>
      </c>
      <c r="D433" s="15">
        <f>IF(RIGHT(creditcard[[#This Row],[YYYYMM]],2)="--","--","Q"&amp;ROUNDUP(VALUE(RIGHT(creditcard[[#This Row],[YYYYMM]],2))/3,0))</f>
        <v/>
      </c>
      <c r="E433" s="15" t="n">
        <v>3</v>
      </c>
      <c r="F433" s="155" t="inlineStr">
        <is>
          <t>國泰</t>
        </is>
      </c>
      <c r="G433" s="156" t="inlineStr">
        <is>
          <t>03 國泰</t>
        </is>
      </c>
      <c r="H433" s="157" t="n">
        <v>7892953</v>
      </c>
      <c r="I433" s="157" t="n">
        <v>5570965</v>
      </c>
      <c r="J433" s="157" t="n">
        <v>68893</v>
      </c>
      <c r="K433" s="157" t="n">
        <v>31790</v>
      </c>
      <c r="L433" s="157" t="n">
        <v>18145.725</v>
      </c>
      <c r="M433" s="16" t="n"/>
      <c r="N433" s="157" t="n">
        <v>48018.047</v>
      </c>
      <c r="O433" s="16" t="n"/>
      <c r="P433" s="16" t="n"/>
      <c r="Q433" s="17" t="n"/>
      <c r="R433" s="16" t="n"/>
      <c r="S433" s="16" t="n"/>
      <c r="T433" s="16" t="n"/>
      <c r="U433" s="16" t="n"/>
      <c r="V433" s="158" t="n"/>
      <c r="W433" s="16" t="n"/>
      <c r="X433" s="18" t="n"/>
      <c r="Y433" s="18" t="n"/>
      <c r="Z433" s="18" t="n"/>
      <c r="AA433" s="18" t="n"/>
      <c r="AB433" s="18" t="n"/>
      <c r="AC433" s="18" t="n"/>
      <c r="AD433" s="18" t="n"/>
      <c r="AE433" s="18" t="n"/>
      <c r="AF433" s="18" t="n"/>
      <c r="AG433" s="18" t="n"/>
      <c r="AH433" s="18" t="n"/>
      <c r="AI433" s="18" t="n"/>
    </row>
    <row r="434">
      <c r="A434" s="9" t="n">
        <v>202209</v>
      </c>
      <c r="B434" s="10">
        <f>LEFT(creditcard[[#This Row],[YYYYMM]],4)</f>
        <v/>
      </c>
      <c r="C434" s="10">
        <f>RIGHT(creditcard[[#This Row],[YYYYMM]],2)</f>
        <v/>
      </c>
      <c r="D434" s="10">
        <f>IF(RIGHT(creditcard[[#This Row],[YYYYMM]],2)="--","--","Q"&amp;ROUNDUP(VALUE(RIGHT(creditcard[[#This Row],[YYYYMM]],2))/3,0))</f>
        <v/>
      </c>
      <c r="E434" s="10" t="n">
        <v>4</v>
      </c>
      <c r="F434" s="151" t="inlineStr">
        <is>
          <t>玉山</t>
        </is>
      </c>
      <c r="G434" s="152" t="inlineStr">
        <is>
          <t>04 玉山</t>
        </is>
      </c>
      <c r="H434" s="153" t="n">
        <v>6831706</v>
      </c>
      <c r="I434" s="153" t="n">
        <v>4606574</v>
      </c>
      <c r="J434" s="153" t="n">
        <v>50998</v>
      </c>
      <c r="K434" s="153" t="n">
        <v>22036</v>
      </c>
      <c r="L434" s="153" t="n">
        <v>12844.463</v>
      </c>
      <c r="M434" s="11" t="n"/>
      <c r="N434" s="153" t="n">
        <v>37997.728</v>
      </c>
      <c r="O434" s="11" t="n"/>
      <c r="P434" s="11" t="n"/>
      <c r="Q434" s="12" t="n"/>
      <c r="R434" s="11" t="n"/>
      <c r="S434" s="11" t="n"/>
      <c r="T434" s="11" t="n"/>
      <c r="U434" s="11" t="n"/>
      <c r="V434" s="154" t="n"/>
      <c r="W434" s="11" t="n"/>
      <c r="X434" s="13" t="n"/>
      <c r="Y434" s="13" t="n"/>
      <c r="Z434" s="13" t="n"/>
      <c r="AA434" s="13" t="n"/>
      <c r="AB434" s="13" t="n"/>
      <c r="AC434" s="13" t="n"/>
      <c r="AD434" s="13" t="n"/>
      <c r="AE434" s="13" t="n"/>
      <c r="AF434" s="13" t="n"/>
      <c r="AG434" s="13" t="n"/>
      <c r="AH434" s="13" t="n"/>
      <c r="AI434" s="13" t="n"/>
    </row>
    <row r="435">
      <c r="A435" s="14" t="n">
        <v>202209</v>
      </c>
      <c r="B435" s="15">
        <f>LEFT(creditcard[[#This Row],[YYYYMM]],4)</f>
        <v/>
      </c>
      <c r="C435" s="15">
        <f>RIGHT(creditcard[[#This Row],[YYYYMM]],2)</f>
        <v/>
      </c>
      <c r="D435" s="15">
        <f>IF(RIGHT(creditcard[[#This Row],[YYYYMM]],2)="--","--","Q"&amp;ROUNDUP(VALUE(RIGHT(creditcard[[#This Row],[YYYYMM]],2))/3,0))</f>
        <v/>
      </c>
      <c r="E435" s="15" t="n">
        <v>5</v>
      </c>
      <c r="F435" s="155" t="inlineStr">
        <is>
          <t>台新</t>
        </is>
      </c>
      <c r="G435" s="156" t="inlineStr">
        <is>
          <t>05 台新</t>
        </is>
      </c>
      <c r="H435" s="157" t="n">
        <v>6246793</v>
      </c>
      <c r="I435" s="157" t="n">
        <v>4162487</v>
      </c>
      <c r="J435" s="157" t="n">
        <v>54345</v>
      </c>
      <c r="K435" s="157" t="n">
        <v>30535</v>
      </c>
      <c r="L435" s="157" t="n">
        <v>9939.653</v>
      </c>
      <c r="M435" s="16" t="n"/>
      <c r="N435" s="157" t="n">
        <v>30031.85</v>
      </c>
      <c r="O435" s="16" t="n"/>
      <c r="P435" s="16" t="n"/>
      <c r="Q435" s="17" t="n"/>
      <c r="R435" s="16" t="n"/>
      <c r="S435" s="16" t="n"/>
      <c r="T435" s="16" t="n"/>
      <c r="U435" s="16" t="n"/>
      <c r="V435" s="158" t="n"/>
      <c r="W435" s="16" t="n"/>
      <c r="X435" s="18" t="n"/>
      <c r="Y435" s="18" t="n"/>
      <c r="Z435" s="18" t="n"/>
      <c r="AA435" s="18" t="n"/>
      <c r="AB435" s="18" t="n"/>
      <c r="AC435" s="18" t="n"/>
      <c r="AD435" s="18" t="n"/>
      <c r="AE435" s="18" t="n"/>
      <c r="AF435" s="18" t="n"/>
      <c r="AG435" s="18" t="n"/>
      <c r="AH435" s="18" t="n"/>
      <c r="AI435" s="18" t="n"/>
    </row>
    <row r="436">
      <c r="A436" s="9" t="n">
        <v>202209</v>
      </c>
      <c r="B436" s="10">
        <f>LEFT(creditcard[[#This Row],[YYYYMM]],4)</f>
        <v/>
      </c>
      <c r="C436" s="10">
        <f>RIGHT(creditcard[[#This Row],[YYYYMM]],2)</f>
        <v/>
      </c>
      <c r="D436" s="10">
        <f>IF(RIGHT(creditcard[[#This Row],[YYYYMM]],2)="--","--","Q"&amp;ROUNDUP(VALUE(RIGHT(creditcard[[#This Row],[YYYYMM]],2))/3,0))</f>
        <v/>
      </c>
      <c r="E436" s="10" t="n">
        <v>6</v>
      </c>
      <c r="F436" s="151" t="inlineStr">
        <is>
          <t>星展</t>
        </is>
      </c>
      <c r="G436" s="152" t="inlineStr">
        <is>
          <t>06 星展</t>
        </is>
      </c>
      <c r="H436" s="153" t="n">
        <v>645604</v>
      </c>
      <c r="I436" s="153" t="n">
        <v>328041</v>
      </c>
      <c r="J436" s="153" t="n">
        <v>4597</v>
      </c>
      <c r="K436" s="153" t="n">
        <v>3310</v>
      </c>
      <c r="L436" s="153" t="n">
        <v>1256</v>
      </c>
      <c r="M436" s="11" t="n"/>
      <c r="N436" s="153" t="n">
        <v>3357</v>
      </c>
      <c r="O436" s="11" t="n"/>
      <c r="P436" s="11" t="n"/>
      <c r="Q436" s="12" t="n"/>
      <c r="R436" s="11" t="n"/>
      <c r="S436" s="11" t="n"/>
      <c r="T436" s="11" t="n"/>
      <c r="U436" s="11" t="n"/>
      <c r="V436" s="154" t="n"/>
      <c r="W436" s="11" t="n"/>
      <c r="X436" s="13" t="n"/>
      <c r="Y436" s="13" t="n"/>
      <c r="Z436" s="13" t="n"/>
      <c r="AA436" s="13" t="n"/>
      <c r="AB436" s="13" t="n"/>
      <c r="AC436" s="13" t="n"/>
      <c r="AD436" s="13" t="n"/>
      <c r="AE436" s="13" t="n"/>
      <c r="AF436" s="13" t="n"/>
      <c r="AG436" s="13" t="n"/>
      <c r="AH436" s="13" t="n"/>
      <c r="AI436" s="13" t="n"/>
    </row>
    <row r="437">
      <c r="A437" s="14" t="n">
        <v>202209</v>
      </c>
      <c r="B437" s="15">
        <f>LEFT(creditcard[[#This Row],[YYYYMM]],4)</f>
        <v/>
      </c>
      <c r="C437" s="15">
        <f>RIGHT(creditcard[[#This Row],[YYYYMM]],2)</f>
        <v/>
      </c>
      <c r="D437" s="15">
        <f>IF(RIGHT(creditcard[[#This Row],[YYYYMM]],2)="--","--","Q"&amp;ROUNDUP(VALUE(RIGHT(creditcard[[#This Row],[YYYYMM]],2))/3,0))</f>
        <v/>
      </c>
      <c r="E437" s="15" t="n">
        <v>7</v>
      </c>
      <c r="F437" s="155" t="inlineStr">
        <is>
          <t>聯邦</t>
        </is>
      </c>
      <c r="G437" s="156" t="inlineStr">
        <is>
          <t>07 聯邦</t>
        </is>
      </c>
      <c r="H437" s="157" t="n">
        <v>2364561</v>
      </c>
      <c r="I437" s="157" t="n">
        <v>1346989</v>
      </c>
      <c r="J437" s="157" t="n">
        <v>24803</v>
      </c>
      <c r="K437" s="157" t="n">
        <v>16438</v>
      </c>
      <c r="L437" s="157" t="n">
        <v>5441.001</v>
      </c>
      <c r="M437" s="16" t="n"/>
      <c r="N437" s="157" t="n">
        <v>9739.172</v>
      </c>
      <c r="O437" s="16" t="n"/>
      <c r="P437" s="16" t="n"/>
      <c r="Q437" s="17" t="n"/>
      <c r="R437" s="16" t="n"/>
      <c r="S437" s="16" t="n"/>
      <c r="T437" s="16" t="n"/>
      <c r="U437" s="16" t="n"/>
      <c r="V437" s="158" t="n"/>
      <c r="W437" s="16" t="n"/>
      <c r="X437" s="18" t="n"/>
      <c r="Y437" s="18" t="n"/>
      <c r="Z437" s="18" t="n"/>
      <c r="AA437" s="18" t="n"/>
      <c r="AB437" s="18" t="n"/>
      <c r="AC437" s="18" t="n"/>
      <c r="AD437" s="18" t="n"/>
      <c r="AE437" s="18" t="n"/>
      <c r="AF437" s="18" t="n"/>
      <c r="AG437" s="18" t="n"/>
      <c r="AH437" s="18" t="n"/>
      <c r="AI437" s="18" t="n"/>
    </row>
    <row r="438">
      <c r="A438" s="9" t="n">
        <v>202209</v>
      </c>
      <c r="B438" s="10">
        <f>LEFT(creditcard[[#This Row],[YYYYMM]],4)</f>
        <v/>
      </c>
      <c r="C438" s="10">
        <f>RIGHT(creditcard[[#This Row],[YYYYMM]],2)</f>
        <v/>
      </c>
      <c r="D438" s="10">
        <f>IF(RIGHT(creditcard[[#This Row],[YYYYMM]],2)="--","--","Q"&amp;ROUNDUP(VALUE(RIGHT(creditcard[[#This Row],[YYYYMM]],2))/3,0))</f>
        <v/>
      </c>
      <c r="E438" s="10" t="n">
        <v>8</v>
      </c>
      <c r="F438" s="151" t="inlineStr">
        <is>
          <t>永豐</t>
        </is>
      </c>
      <c r="G438" s="152" t="inlineStr">
        <is>
          <t>08 永豐</t>
        </is>
      </c>
      <c r="H438" s="153" t="n">
        <v>2254989</v>
      </c>
      <c r="I438" s="153" t="n">
        <v>1209642</v>
      </c>
      <c r="J438" s="153" t="n">
        <v>14479</v>
      </c>
      <c r="K438" s="153" t="n">
        <v>5884</v>
      </c>
      <c r="L438" s="153" t="n">
        <v>3896.642</v>
      </c>
      <c r="M438" s="11" t="n"/>
      <c r="N438" s="153" t="n">
        <v>10452.227</v>
      </c>
      <c r="O438" s="11" t="n"/>
      <c r="P438" s="11" t="n"/>
      <c r="Q438" s="12" t="n"/>
      <c r="R438" s="11" t="n"/>
      <c r="S438" s="11" t="n"/>
      <c r="T438" s="11" t="n"/>
      <c r="U438" s="11" t="n"/>
      <c r="V438" s="154" t="n"/>
      <c r="W438" s="11" t="n"/>
      <c r="X438" s="13" t="n"/>
      <c r="Y438" s="13" t="n"/>
      <c r="Z438" s="13" t="n"/>
      <c r="AA438" s="13" t="n"/>
      <c r="AB438" s="13" t="n"/>
      <c r="AC438" s="13" t="n"/>
      <c r="AD438" s="13" t="n"/>
      <c r="AE438" s="13" t="n"/>
      <c r="AF438" s="13" t="n"/>
      <c r="AG438" s="13" t="n"/>
      <c r="AH438" s="13" t="n"/>
      <c r="AI438" s="13" t="n"/>
    </row>
    <row r="439">
      <c r="A439" s="14" t="n">
        <v>202209</v>
      </c>
      <c r="B439" s="15">
        <f>LEFT(creditcard[[#This Row],[YYYYMM]],4)</f>
        <v/>
      </c>
      <c r="C439" s="15">
        <f>RIGHT(creditcard[[#This Row],[YYYYMM]],2)</f>
        <v/>
      </c>
      <c r="D439" s="15">
        <f>IF(RIGHT(creditcard[[#This Row],[YYYYMM]],2)="--","--","Q"&amp;ROUNDUP(VALUE(RIGHT(creditcard[[#This Row],[YYYYMM]],2))/3,0))</f>
        <v/>
      </c>
      <c r="E439" s="15" t="n">
        <v>9</v>
      </c>
      <c r="F439" s="155" t="inlineStr">
        <is>
          <t>第一</t>
        </is>
      </c>
      <c r="G439" s="156" t="inlineStr">
        <is>
          <t>09 第一</t>
        </is>
      </c>
      <c r="H439" s="157" t="n">
        <v>1488643</v>
      </c>
      <c r="I439" s="157" t="n">
        <v>897114</v>
      </c>
      <c r="J439" s="157" t="n">
        <v>15164</v>
      </c>
      <c r="K439" s="157" t="n">
        <v>13352</v>
      </c>
      <c r="L439" s="157" t="n">
        <v>1541</v>
      </c>
      <c r="M439" s="16" t="n"/>
      <c r="N439" s="157" t="n">
        <v>5356</v>
      </c>
      <c r="O439" s="16" t="n"/>
      <c r="P439" s="16" t="n"/>
      <c r="Q439" s="17" t="n"/>
      <c r="R439" s="16" t="n"/>
      <c r="S439" s="16" t="n"/>
      <c r="T439" s="16" t="n"/>
      <c r="U439" s="16" t="n"/>
      <c r="V439" s="158" t="n"/>
      <c r="W439" s="16" t="n"/>
      <c r="X439" s="18" t="n"/>
      <c r="Y439" s="18" t="n"/>
      <c r="Z439" s="18" t="n"/>
      <c r="AA439" s="18" t="n"/>
      <c r="AB439" s="18" t="n"/>
      <c r="AC439" s="18" t="n"/>
      <c r="AD439" s="18" t="n"/>
      <c r="AE439" s="18" t="n"/>
      <c r="AF439" s="18" t="n"/>
      <c r="AG439" s="18" t="n"/>
      <c r="AH439" s="18" t="n"/>
      <c r="AI439" s="18" t="n"/>
    </row>
    <row r="440">
      <c r="A440" s="9" t="n">
        <v>202209</v>
      </c>
      <c r="B440" s="10">
        <f>LEFT(creditcard[[#This Row],[YYYYMM]],4)</f>
        <v/>
      </c>
      <c r="C440" s="10">
        <f>RIGHT(creditcard[[#This Row],[YYYYMM]],2)</f>
        <v/>
      </c>
      <c r="D440" s="10">
        <f>IF(RIGHT(creditcard[[#This Row],[YYYYMM]],2)="--","--","Q"&amp;ROUNDUP(VALUE(RIGHT(creditcard[[#This Row],[YYYYMM]],2))/3,0))</f>
        <v/>
      </c>
      <c r="E440" s="10" t="n">
        <v>10</v>
      </c>
      <c r="F440" s="151" t="inlineStr">
        <is>
          <t>遠東</t>
        </is>
      </c>
      <c r="G440" s="152" t="inlineStr">
        <is>
          <t>10 遠東</t>
        </is>
      </c>
      <c r="H440" s="153" t="n">
        <v>1573177</v>
      </c>
      <c r="I440" s="153" t="n">
        <v>976594</v>
      </c>
      <c r="J440" s="153" t="n">
        <v>12953</v>
      </c>
      <c r="K440" s="153" t="n">
        <v>11162</v>
      </c>
      <c r="L440" s="153" t="n">
        <v>3638.23</v>
      </c>
      <c r="M440" s="11" t="n"/>
      <c r="N440" s="153" t="n">
        <v>4072.297</v>
      </c>
      <c r="O440" s="11" t="n"/>
      <c r="P440" s="11" t="n"/>
      <c r="Q440" s="12" t="n"/>
      <c r="R440" s="11" t="n"/>
      <c r="S440" s="11" t="n"/>
      <c r="T440" s="11" t="n"/>
      <c r="U440" s="11" t="n"/>
      <c r="V440" s="154" t="n"/>
      <c r="W440" s="11" t="n"/>
      <c r="X440" s="13" t="n"/>
      <c r="Y440" s="13" t="n"/>
      <c r="Z440" s="13" t="n"/>
      <c r="AA440" s="13" t="n"/>
      <c r="AB440" s="13" t="n"/>
      <c r="AC440" s="13" t="n"/>
      <c r="AD440" s="13" t="n"/>
      <c r="AE440" s="13" t="n"/>
      <c r="AF440" s="13" t="n"/>
      <c r="AG440" s="13" t="n"/>
      <c r="AH440" s="13" t="n"/>
      <c r="AI440" s="13" t="n"/>
    </row>
    <row r="441">
      <c r="A441" s="14" t="n">
        <v>202209</v>
      </c>
      <c r="B441" s="15">
        <f>LEFT(creditcard[[#This Row],[YYYYMM]],4)</f>
        <v/>
      </c>
      <c r="C441" s="15">
        <f>RIGHT(creditcard[[#This Row],[YYYYMM]],2)</f>
        <v/>
      </c>
      <c r="D441" s="15">
        <f>IF(RIGHT(creditcard[[#This Row],[YYYYMM]],2)="--","--","Q"&amp;ROUNDUP(VALUE(RIGHT(creditcard[[#This Row],[YYYYMM]],2))/3,0))</f>
        <v/>
      </c>
      <c r="E441" s="15" t="n">
        <v>11</v>
      </c>
      <c r="F441" s="155" t="inlineStr">
        <is>
          <t>市場總計</t>
        </is>
      </c>
      <c r="G441" s="156" t="inlineStr">
        <is>
          <t>11 市場總計</t>
        </is>
      </c>
      <c r="H441" s="157" t="n">
        <v>54634348</v>
      </c>
      <c r="I441" s="157" t="n">
        <v>34742649</v>
      </c>
      <c r="J441" s="157" t="n">
        <v>491259</v>
      </c>
      <c r="K441" s="157" t="n">
        <v>282562</v>
      </c>
      <c r="L441" s="157" t="n">
        <v>102131.832</v>
      </c>
      <c r="M441" s="16" t="n"/>
      <c r="N441" s="157" t="n">
        <v>282133.992</v>
      </c>
      <c r="O441" s="16" t="n"/>
      <c r="P441" s="16" t="n"/>
      <c r="Q441" s="17" t="n"/>
      <c r="R441" s="16" t="n"/>
      <c r="S441" s="16" t="n"/>
      <c r="T441" s="16" t="n"/>
      <c r="U441" s="16" t="n"/>
      <c r="V441" s="158" t="n">
        <v>4.48</v>
      </c>
      <c r="W441" s="16">
        <f>SUMIFS(H:H,A:A,creditcard[[#This Row],[YYYYMM]],G:G,creditcard[[#This Row],[Item]])</f>
        <v/>
      </c>
      <c r="X441" s="4">
        <f>IFERROR(SUMIFS(H:H,A:A,creditcard[[#This Row],[YYYYMM]],E:E,"&lt;=5")/creditcard[[#This Row],[市場總計]],"")</f>
        <v/>
      </c>
      <c r="Y441" s="4">
        <f>IFERROR(SUMIFS(H:H,A:A,creditcard[[#This Row],[YYYYMM]],E:E,"&lt;=10")/creditcard[[#This Row],[市場總計]],"")</f>
        <v/>
      </c>
      <c r="Z441" s="4">
        <f>IFERROR(SUMIFS(I:I,A:A,creditcard[[#This Row],[YYYYMM]],E:E,"&lt;=5")/creditcard[[#This Row],[有效卡數]],"")</f>
        <v/>
      </c>
      <c r="AA441" s="4">
        <f>IFERROR(SUMIFS(I:I,A:A,creditcard[[#This Row],[YYYYMM]],E:E,"&lt;=10")/creditcard[[#This Row],[有效卡數]],"")</f>
        <v/>
      </c>
      <c r="AB441" s="4">
        <f>IFERROR(SUMIFS(J:J,A:A,creditcard[[#This Row],[YYYYMM]],E:E,"&lt;=5")/creditcard[[#This Row],[當月發卡數]],"")</f>
        <v/>
      </c>
      <c r="AC441" s="4">
        <f>IFERROR(SUMIFS(J:J,A:A,creditcard[[#This Row],[YYYYMM]],E:E,"&lt;=10")/creditcard[[#This Row],[當月發卡數]],"")</f>
        <v/>
      </c>
      <c r="AD441" s="4">
        <f>IFERROR(SUMIFS(K:K,A:A,creditcard[[#This Row],[YYYYMM]],E:E,"&lt;=5")/creditcard[[#This Row],[當月停卡數]],"")</f>
        <v/>
      </c>
      <c r="AE441" s="4">
        <f>IFERROR(SUMIFS(K:K,A:A,creditcard[[#This Row],[YYYYMM]],E:E,"&lt;=10")/creditcard[[#This Row],[當月停卡數]],"")</f>
        <v/>
      </c>
      <c r="AF441" s="4">
        <f>IFERROR(SUMIFS(L:L,A:A,creditcard[[#This Row],[YYYYMM]],E:E,"&lt;=5")/creditcard[[#This Row],[循環信用餘額]],"")</f>
        <v/>
      </c>
      <c r="AG441" s="4">
        <f>IFERROR(SUMIFS(L:L,A:A,creditcard[[#This Row],[YYYYMM]],E:E,"&lt;=10")/creditcard[[#This Row],[循環信用餘額]],"")</f>
        <v/>
      </c>
      <c r="AH441" s="4">
        <f>IFERROR(SUMIFS(N:N,A:A,creditcard[[#This Row],[YYYYMM]],E:E,"&lt;=5")/creditcard[[#This Row],[當月簽帳金額]],"")</f>
        <v/>
      </c>
      <c r="AI441" s="4">
        <f>IFERROR(SUMIFS(N:N,A:A,creditcard[[#This Row],[YYYYMM]],E:E,"&lt;=10")/creditcard[[#This Row],[當月簽帳金額]],"")</f>
        <v/>
      </c>
    </row>
    <row r="442">
      <c r="A442" s="9" t="n">
        <v>202210</v>
      </c>
      <c r="B442" s="10">
        <f>LEFT(creditcard[[#This Row],[YYYYMM]],4)</f>
        <v/>
      </c>
      <c r="C442" s="10">
        <f>RIGHT(creditcard[[#This Row],[YYYYMM]],2)</f>
        <v/>
      </c>
      <c r="D442" s="10">
        <f>IF(RIGHT(creditcard[[#This Row],[YYYYMM]],2)="--","--","Q"&amp;ROUNDUP(VALUE(RIGHT(creditcard[[#This Row],[YYYYMM]],2))/3,0))</f>
        <v/>
      </c>
      <c r="E442" s="10" t="n">
        <v>1</v>
      </c>
      <c r="F442" s="151" t="inlineStr">
        <is>
          <t>中信</t>
        </is>
      </c>
      <c r="G442" s="152" t="inlineStr">
        <is>
          <t>01 中信</t>
        </is>
      </c>
      <c r="H442" s="153" t="n">
        <v>8380110</v>
      </c>
      <c r="I442" s="153" t="n">
        <v>5228108</v>
      </c>
      <c r="J442" s="153" t="n">
        <v>101580</v>
      </c>
      <c r="K442" s="153" t="n">
        <v>47094</v>
      </c>
      <c r="L442" s="153" t="n">
        <v>15536.943</v>
      </c>
      <c r="M442" s="11" t="n"/>
      <c r="N442" s="153" t="n">
        <v>47876.323</v>
      </c>
      <c r="O442" s="11" t="n"/>
      <c r="P442" s="11" t="n"/>
      <c r="Q442" s="12" t="n"/>
      <c r="R442" s="11" t="n"/>
      <c r="S442" s="11" t="n"/>
      <c r="T442" s="11" t="n"/>
      <c r="U442" s="11" t="n"/>
      <c r="V442" s="154" t="n"/>
      <c r="W442" s="11" t="n"/>
      <c r="X442" s="13" t="n"/>
      <c r="Y442" s="13" t="n"/>
      <c r="Z442" s="13" t="n"/>
      <c r="AA442" s="13" t="n"/>
      <c r="AB442" s="13" t="n"/>
      <c r="AC442" s="13" t="n"/>
      <c r="AD442" s="13" t="n"/>
      <c r="AE442" s="13" t="n"/>
      <c r="AF442" s="13" t="n"/>
      <c r="AG442" s="13" t="n"/>
      <c r="AH442" s="13" t="n"/>
      <c r="AI442" s="13" t="n"/>
    </row>
    <row r="443">
      <c r="A443" s="14" t="n">
        <v>202210</v>
      </c>
      <c r="B443" s="15">
        <f>LEFT(creditcard[[#This Row],[YYYYMM]],4)</f>
        <v/>
      </c>
      <c r="C443" s="15">
        <f>RIGHT(creditcard[[#This Row],[YYYYMM]],2)</f>
        <v/>
      </c>
      <c r="D443" s="15">
        <f>IF(RIGHT(creditcard[[#This Row],[YYYYMM]],2)="--","--","Q"&amp;ROUNDUP(VALUE(RIGHT(creditcard[[#This Row],[YYYYMM]],2))/3,0))</f>
        <v/>
      </c>
      <c r="E443" s="15" t="n">
        <v>2</v>
      </c>
      <c r="F443" s="155" t="inlineStr">
        <is>
          <t>富邦</t>
        </is>
      </c>
      <c r="G443" s="156" t="inlineStr">
        <is>
          <t>02 富邦</t>
        </is>
      </c>
      <c r="H443" s="157" t="n">
        <v>4675902</v>
      </c>
      <c r="I443" s="157" t="n">
        <v>3172048</v>
      </c>
      <c r="J443" s="157" t="n">
        <v>54807</v>
      </c>
      <c r="K443" s="157" t="n">
        <v>14732</v>
      </c>
      <c r="L443" s="157" t="n">
        <v>6303.836</v>
      </c>
      <c r="M443" s="16" t="n"/>
      <c r="N443" s="157" t="n">
        <v>27935.107</v>
      </c>
      <c r="O443" s="16" t="n"/>
      <c r="P443" s="16" t="n"/>
      <c r="Q443" s="17" t="n"/>
      <c r="R443" s="16" t="n"/>
      <c r="S443" s="16" t="n"/>
      <c r="T443" s="16" t="n"/>
      <c r="U443" s="16" t="n"/>
      <c r="V443" s="158" t="n"/>
      <c r="W443" s="16" t="n"/>
      <c r="X443" s="18" t="n"/>
      <c r="Y443" s="18" t="n"/>
      <c r="Z443" s="18" t="n"/>
      <c r="AA443" s="18" t="n"/>
      <c r="AB443" s="18" t="n"/>
      <c r="AC443" s="18" t="n"/>
      <c r="AD443" s="18" t="n"/>
      <c r="AE443" s="18" t="n"/>
      <c r="AF443" s="18" t="n"/>
      <c r="AG443" s="18" t="n"/>
      <c r="AH443" s="18" t="n"/>
      <c r="AI443" s="18" t="n"/>
    </row>
    <row r="444">
      <c r="A444" s="9" t="n">
        <v>202210</v>
      </c>
      <c r="B444" s="10">
        <f>LEFT(creditcard[[#This Row],[YYYYMM]],4)</f>
        <v/>
      </c>
      <c r="C444" s="10">
        <f>RIGHT(creditcard[[#This Row],[YYYYMM]],2)</f>
        <v/>
      </c>
      <c r="D444" s="10">
        <f>IF(RIGHT(creditcard[[#This Row],[YYYYMM]],2)="--","--","Q"&amp;ROUNDUP(VALUE(RIGHT(creditcard[[#This Row],[YYYYMM]],2))/3,0))</f>
        <v/>
      </c>
      <c r="E444" s="10" t="n">
        <v>3</v>
      </c>
      <c r="F444" s="151" t="inlineStr">
        <is>
          <t>國泰</t>
        </is>
      </c>
      <c r="G444" s="152" t="inlineStr">
        <is>
          <t>03 國泰</t>
        </is>
      </c>
      <c r="H444" s="153" t="n">
        <v>7935907</v>
      </c>
      <c r="I444" s="153" t="n">
        <v>5613594</v>
      </c>
      <c r="J444" s="153" t="n">
        <v>79973</v>
      </c>
      <c r="K444" s="153" t="n">
        <v>37019</v>
      </c>
      <c r="L444" s="153" t="n">
        <v>18439.75</v>
      </c>
      <c r="M444" s="11" t="n"/>
      <c r="N444" s="153" t="n">
        <v>48062.477</v>
      </c>
      <c r="O444" s="11" t="n"/>
      <c r="P444" s="11" t="n"/>
      <c r="Q444" s="12" t="n"/>
      <c r="R444" s="11" t="n"/>
      <c r="S444" s="11" t="n"/>
      <c r="T444" s="11" t="n"/>
      <c r="U444" s="11" t="n"/>
      <c r="V444" s="154" t="n"/>
      <c r="W444" s="11" t="n"/>
      <c r="X444" s="13" t="n"/>
      <c r="Y444" s="13" t="n"/>
      <c r="Z444" s="13" t="n"/>
      <c r="AA444" s="13" t="n"/>
      <c r="AB444" s="13" t="n"/>
      <c r="AC444" s="13" t="n"/>
      <c r="AD444" s="13" t="n"/>
      <c r="AE444" s="13" t="n"/>
      <c r="AF444" s="13" t="n"/>
      <c r="AG444" s="13" t="n"/>
      <c r="AH444" s="13" t="n"/>
      <c r="AI444" s="13" t="n"/>
    </row>
    <row r="445">
      <c r="A445" s="14" t="n">
        <v>202210</v>
      </c>
      <c r="B445" s="15">
        <f>LEFT(creditcard[[#This Row],[YYYYMM]],4)</f>
        <v/>
      </c>
      <c r="C445" s="15">
        <f>RIGHT(creditcard[[#This Row],[YYYYMM]],2)</f>
        <v/>
      </c>
      <c r="D445" s="15">
        <f>IF(RIGHT(creditcard[[#This Row],[YYYYMM]],2)="--","--","Q"&amp;ROUNDUP(VALUE(RIGHT(creditcard[[#This Row],[YYYYMM]],2))/3,0))</f>
        <v/>
      </c>
      <c r="E445" s="15" t="n">
        <v>4</v>
      </c>
      <c r="F445" s="155" t="inlineStr">
        <is>
          <t>玉山</t>
        </is>
      </c>
      <c r="G445" s="156" t="inlineStr">
        <is>
          <t>04 玉山</t>
        </is>
      </c>
      <c r="H445" s="157" t="n">
        <v>6851391</v>
      </c>
      <c r="I445" s="157" t="n">
        <v>4626398</v>
      </c>
      <c r="J445" s="157" t="n">
        <v>44887</v>
      </c>
      <c r="K445" s="157" t="n">
        <v>25202</v>
      </c>
      <c r="L445" s="157" t="n">
        <v>12843.988</v>
      </c>
      <c r="M445" s="16" t="n"/>
      <c r="N445" s="157" t="n">
        <v>39670.535</v>
      </c>
      <c r="O445" s="16" t="n"/>
      <c r="P445" s="16" t="n"/>
      <c r="Q445" s="17" t="n"/>
      <c r="R445" s="16" t="n"/>
      <c r="S445" s="16" t="n"/>
      <c r="T445" s="16" t="n"/>
      <c r="U445" s="16" t="n"/>
      <c r="V445" s="158" t="n"/>
      <c r="W445" s="16" t="n"/>
      <c r="X445" s="18" t="n"/>
      <c r="Y445" s="18" t="n"/>
      <c r="Z445" s="18" t="n"/>
      <c r="AA445" s="18" t="n"/>
      <c r="AB445" s="18" t="n"/>
      <c r="AC445" s="18" t="n"/>
      <c r="AD445" s="18" t="n"/>
      <c r="AE445" s="18" t="n"/>
      <c r="AF445" s="18" t="n"/>
      <c r="AG445" s="18" t="n"/>
      <c r="AH445" s="18" t="n"/>
      <c r="AI445" s="18" t="n"/>
    </row>
    <row r="446">
      <c r="A446" s="9" t="n">
        <v>202210</v>
      </c>
      <c r="B446" s="10">
        <f>LEFT(creditcard[[#This Row],[YYYYMM]],4)</f>
        <v/>
      </c>
      <c r="C446" s="10">
        <f>RIGHT(creditcard[[#This Row],[YYYYMM]],2)</f>
        <v/>
      </c>
      <c r="D446" s="10">
        <f>IF(RIGHT(creditcard[[#This Row],[YYYYMM]],2)="--","--","Q"&amp;ROUNDUP(VALUE(RIGHT(creditcard[[#This Row],[YYYYMM]],2))/3,0))</f>
        <v/>
      </c>
      <c r="E446" s="10" t="n">
        <v>5</v>
      </c>
      <c r="F446" s="151" t="inlineStr">
        <is>
          <t>台新</t>
        </is>
      </c>
      <c r="G446" s="152" t="inlineStr">
        <is>
          <t>05 台新</t>
        </is>
      </c>
      <c r="H446" s="153" t="n">
        <v>6270643</v>
      </c>
      <c r="I446" s="153" t="n">
        <v>4179735</v>
      </c>
      <c r="J446" s="153" t="n">
        <v>58406</v>
      </c>
      <c r="K446" s="153" t="n">
        <v>34556</v>
      </c>
      <c r="L446" s="153" t="n">
        <v>9971.923000000001</v>
      </c>
      <c r="M446" s="11" t="n"/>
      <c r="N446" s="153" t="n">
        <v>31812.279</v>
      </c>
      <c r="O446" s="11" t="n"/>
      <c r="P446" s="11" t="n"/>
      <c r="Q446" s="12" t="n"/>
      <c r="R446" s="11" t="n"/>
      <c r="S446" s="11" t="n"/>
      <c r="T446" s="11" t="n"/>
      <c r="U446" s="11" t="n"/>
      <c r="V446" s="154" t="n"/>
      <c r="W446" s="11" t="n"/>
      <c r="X446" s="13" t="n"/>
      <c r="Y446" s="13" t="n"/>
      <c r="Z446" s="13" t="n"/>
      <c r="AA446" s="13" t="n"/>
      <c r="AB446" s="13" t="n"/>
      <c r="AC446" s="13" t="n"/>
      <c r="AD446" s="13" t="n"/>
      <c r="AE446" s="13" t="n"/>
      <c r="AF446" s="13" t="n"/>
      <c r="AG446" s="13" t="n"/>
      <c r="AH446" s="13" t="n"/>
      <c r="AI446" s="13" t="n"/>
    </row>
    <row r="447">
      <c r="A447" s="14" t="n">
        <v>202210</v>
      </c>
      <c r="B447" s="15">
        <f>LEFT(creditcard[[#This Row],[YYYYMM]],4)</f>
        <v/>
      </c>
      <c r="C447" s="15">
        <f>RIGHT(creditcard[[#This Row],[YYYYMM]],2)</f>
        <v/>
      </c>
      <c r="D447" s="15">
        <f>IF(RIGHT(creditcard[[#This Row],[YYYYMM]],2)="--","--","Q"&amp;ROUNDUP(VALUE(RIGHT(creditcard[[#This Row],[YYYYMM]],2))/3,0))</f>
        <v/>
      </c>
      <c r="E447" s="15" t="n">
        <v>6</v>
      </c>
      <c r="F447" s="155" t="inlineStr">
        <is>
          <t>星展</t>
        </is>
      </c>
      <c r="G447" s="156" t="inlineStr">
        <is>
          <t>06 星展</t>
        </is>
      </c>
      <c r="H447" s="157" t="n">
        <v>647984</v>
      </c>
      <c r="I447" s="157" t="n">
        <v>327655</v>
      </c>
      <c r="J447" s="157" t="n">
        <v>4909</v>
      </c>
      <c r="K447" s="157" t="n">
        <v>3609</v>
      </c>
      <c r="L447" s="157" t="n">
        <v>1260</v>
      </c>
      <c r="M447" s="16" t="n"/>
      <c r="N447" s="157" t="n">
        <v>3500</v>
      </c>
      <c r="O447" s="16" t="n"/>
      <c r="P447" s="16" t="n"/>
      <c r="Q447" s="17" t="n"/>
      <c r="R447" s="16" t="n"/>
      <c r="S447" s="16" t="n"/>
      <c r="T447" s="16" t="n"/>
      <c r="U447" s="16" t="n"/>
      <c r="V447" s="158" t="n"/>
      <c r="W447" s="16" t="n"/>
      <c r="X447" s="18" t="n"/>
      <c r="Y447" s="18" t="n"/>
      <c r="Z447" s="18" t="n"/>
      <c r="AA447" s="18" t="n"/>
      <c r="AB447" s="18" t="n"/>
      <c r="AC447" s="18" t="n"/>
      <c r="AD447" s="18" t="n"/>
      <c r="AE447" s="18" t="n"/>
      <c r="AF447" s="18" t="n"/>
      <c r="AG447" s="18" t="n"/>
      <c r="AH447" s="18" t="n"/>
      <c r="AI447" s="18" t="n"/>
    </row>
    <row r="448">
      <c r="A448" s="9" t="n">
        <v>202210</v>
      </c>
      <c r="B448" s="10">
        <f>LEFT(creditcard[[#This Row],[YYYYMM]],4)</f>
        <v/>
      </c>
      <c r="C448" s="10">
        <f>RIGHT(creditcard[[#This Row],[YYYYMM]],2)</f>
        <v/>
      </c>
      <c r="D448" s="10">
        <f>IF(RIGHT(creditcard[[#This Row],[YYYYMM]],2)="--","--","Q"&amp;ROUNDUP(VALUE(RIGHT(creditcard[[#This Row],[YYYYMM]],2))/3,0))</f>
        <v/>
      </c>
      <c r="E448" s="10" t="n">
        <v>7</v>
      </c>
      <c r="F448" s="151" t="inlineStr">
        <is>
          <t>聯邦</t>
        </is>
      </c>
      <c r="G448" s="152" t="inlineStr">
        <is>
          <t>07 聯邦</t>
        </is>
      </c>
      <c r="H448" s="153" t="n">
        <v>2379499</v>
      </c>
      <c r="I448" s="153" t="n">
        <v>1350481</v>
      </c>
      <c r="J448" s="153" t="n">
        <v>28659</v>
      </c>
      <c r="K448" s="153" t="n">
        <v>13721</v>
      </c>
      <c r="L448" s="153" t="n">
        <v>5466.912</v>
      </c>
      <c r="M448" s="11" t="n"/>
      <c r="N448" s="153" t="n">
        <v>9917.93</v>
      </c>
      <c r="O448" s="11" t="n"/>
      <c r="P448" s="11" t="n"/>
      <c r="Q448" s="12" t="n"/>
      <c r="R448" s="11" t="n"/>
      <c r="S448" s="11" t="n"/>
      <c r="T448" s="11" t="n"/>
      <c r="U448" s="11" t="n"/>
      <c r="V448" s="154" t="n"/>
      <c r="W448" s="11" t="n"/>
      <c r="X448" s="13" t="n"/>
      <c r="Y448" s="13" t="n"/>
      <c r="Z448" s="13" t="n"/>
      <c r="AA448" s="13" t="n"/>
      <c r="AB448" s="13" t="n"/>
      <c r="AC448" s="13" t="n"/>
      <c r="AD448" s="13" t="n"/>
      <c r="AE448" s="13" t="n"/>
      <c r="AF448" s="13" t="n"/>
      <c r="AG448" s="13" t="n"/>
      <c r="AH448" s="13" t="n"/>
      <c r="AI448" s="13" t="n"/>
    </row>
    <row r="449">
      <c r="A449" s="14" t="n">
        <v>202210</v>
      </c>
      <c r="B449" s="15">
        <f>LEFT(creditcard[[#This Row],[YYYYMM]],4)</f>
        <v/>
      </c>
      <c r="C449" s="15">
        <f>RIGHT(creditcard[[#This Row],[YYYYMM]],2)</f>
        <v/>
      </c>
      <c r="D449" s="15">
        <f>IF(RIGHT(creditcard[[#This Row],[YYYYMM]],2)="--","--","Q"&amp;ROUNDUP(VALUE(RIGHT(creditcard[[#This Row],[YYYYMM]],2))/3,0))</f>
        <v/>
      </c>
      <c r="E449" s="15" t="n">
        <v>8</v>
      </c>
      <c r="F449" s="155" t="inlineStr">
        <is>
          <t>永豐</t>
        </is>
      </c>
      <c r="G449" s="156" t="inlineStr">
        <is>
          <t>08 永豐</t>
        </is>
      </c>
      <c r="H449" s="157" t="n">
        <v>2262637</v>
      </c>
      <c r="I449" s="157" t="n">
        <v>1214634</v>
      </c>
      <c r="J449" s="157" t="n">
        <v>14457</v>
      </c>
      <c r="K449" s="157" t="n">
        <v>7153</v>
      </c>
      <c r="L449" s="157" t="n">
        <v>3904.775</v>
      </c>
      <c r="M449" s="16" t="n"/>
      <c r="N449" s="157" t="n">
        <v>10289.067</v>
      </c>
      <c r="O449" s="16" t="n"/>
      <c r="P449" s="16" t="n"/>
      <c r="Q449" s="17" t="n"/>
      <c r="R449" s="16" t="n"/>
      <c r="S449" s="16" t="n"/>
      <c r="T449" s="16" t="n"/>
      <c r="U449" s="16" t="n"/>
      <c r="V449" s="158" t="n"/>
      <c r="W449" s="16" t="n"/>
      <c r="X449" s="18" t="n"/>
      <c r="Y449" s="18" t="n"/>
      <c r="Z449" s="18" t="n"/>
      <c r="AA449" s="18" t="n"/>
      <c r="AB449" s="18" t="n"/>
      <c r="AC449" s="18" t="n"/>
      <c r="AD449" s="18" t="n"/>
      <c r="AE449" s="18" t="n"/>
      <c r="AF449" s="18" t="n"/>
      <c r="AG449" s="18" t="n"/>
      <c r="AH449" s="18" t="n"/>
      <c r="AI449" s="18" t="n"/>
    </row>
    <row r="450">
      <c r="A450" s="9" t="n">
        <v>202210</v>
      </c>
      <c r="B450" s="10">
        <f>LEFT(creditcard[[#This Row],[YYYYMM]],4)</f>
        <v/>
      </c>
      <c r="C450" s="10">
        <f>RIGHT(creditcard[[#This Row],[YYYYMM]],2)</f>
        <v/>
      </c>
      <c r="D450" s="10">
        <f>IF(RIGHT(creditcard[[#This Row],[YYYYMM]],2)="--","--","Q"&amp;ROUNDUP(VALUE(RIGHT(creditcard[[#This Row],[YYYYMM]],2))/3,0))</f>
        <v/>
      </c>
      <c r="E450" s="10" t="n">
        <v>9</v>
      </c>
      <c r="F450" s="151" t="inlineStr">
        <is>
          <t>第一</t>
        </is>
      </c>
      <c r="G450" s="152" t="inlineStr">
        <is>
          <t>09 第一</t>
        </is>
      </c>
      <c r="H450" s="153" t="n">
        <v>1490463</v>
      </c>
      <c r="I450" s="153" t="n">
        <v>901984</v>
      </c>
      <c r="J450" s="153" t="n">
        <v>13345</v>
      </c>
      <c r="K450" s="153" t="n">
        <v>11852</v>
      </c>
      <c r="L450" s="153" t="n">
        <v>1557</v>
      </c>
      <c r="M450" s="11" t="n"/>
      <c r="N450" s="153" t="n">
        <v>5521</v>
      </c>
      <c r="O450" s="11" t="n"/>
      <c r="P450" s="11" t="n"/>
      <c r="Q450" s="12" t="n"/>
      <c r="R450" s="11" t="n"/>
      <c r="S450" s="11" t="n"/>
      <c r="T450" s="11" t="n"/>
      <c r="U450" s="11" t="n"/>
      <c r="V450" s="154" t="n"/>
      <c r="W450" s="11" t="n"/>
      <c r="X450" s="13" t="n"/>
      <c r="Y450" s="13" t="n"/>
      <c r="Z450" s="13" t="n"/>
      <c r="AA450" s="13" t="n"/>
      <c r="AB450" s="13" t="n"/>
      <c r="AC450" s="13" t="n"/>
      <c r="AD450" s="13" t="n"/>
      <c r="AE450" s="13" t="n"/>
      <c r="AF450" s="13" t="n"/>
      <c r="AG450" s="13" t="n"/>
      <c r="AH450" s="13" t="n"/>
      <c r="AI450" s="13" t="n"/>
    </row>
    <row r="451">
      <c r="A451" s="14" t="n">
        <v>202210</v>
      </c>
      <c r="B451" s="15">
        <f>LEFT(creditcard[[#This Row],[YYYYMM]],4)</f>
        <v/>
      </c>
      <c r="C451" s="15">
        <f>RIGHT(creditcard[[#This Row],[YYYYMM]],2)</f>
        <v/>
      </c>
      <c r="D451" s="15">
        <f>IF(RIGHT(creditcard[[#This Row],[YYYYMM]],2)="--","--","Q"&amp;ROUNDUP(VALUE(RIGHT(creditcard[[#This Row],[YYYYMM]],2))/3,0))</f>
        <v/>
      </c>
      <c r="E451" s="15" t="n">
        <v>10</v>
      </c>
      <c r="F451" s="155" t="inlineStr">
        <is>
          <t>遠東</t>
        </is>
      </c>
      <c r="G451" s="156" t="inlineStr">
        <is>
          <t>10 遠東</t>
        </is>
      </c>
      <c r="H451" s="157" t="n">
        <v>1574547</v>
      </c>
      <c r="I451" s="157" t="n">
        <v>980420</v>
      </c>
      <c r="J451" s="157" t="n">
        <v>15559</v>
      </c>
      <c r="K451" s="157" t="n">
        <v>14221</v>
      </c>
      <c r="L451" s="157" t="n">
        <v>3647.047</v>
      </c>
      <c r="M451" s="16" t="n"/>
      <c r="N451" s="157" t="n">
        <v>4569.619</v>
      </c>
      <c r="O451" s="16" t="n"/>
      <c r="P451" s="16" t="n"/>
      <c r="Q451" s="17" t="n"/>
      <c r="R451" s="16" t="n"/>
      <c r="S451" s="16" t="n"/>
      <c r="T451" s="16" t="n"/>
      <c r="U451" s="16" t="n"/>
      <c r="V451" s="158" t="n"/>
      <c r="W451" s="16" t="n"/>
      <c r="X451" s="18" t="n"/>
      <c r="Y451" s="18" t="n"/>
      <c r="Z451" s="18" t="n"/>
      <c r="AA451" s="18" t="n"/>
      <c r="AB451" s="18" t="n"/>
      <c r="AC451" s="18" t="n"/>
      <c r="AD451" s="18" t="n"/>
      <c r="AE451" s="18" t="n"/>
      <c r="AF451" s="18" t="n"/>
      <c r="AG451" s="18" t="n"/>
      <c r="AH451" s="18" t="n"/>
      <c r="AI451" s="18" t="n"/>
    </row>
    <row r="452">
      <c r="A452" s="9" t="n">
        <v>202210</v>
      </c>
      <c r="B452" s="10">
        <f>LEFT(creditcard[[#This Row],[YYYYMM]],4)</f>
        <v/>
      </c>
      <c r="C452" s="10">
        <f>RIGHT(creditcard[[#This Row],[YYYYMM]],2)</f>
        <v/>
      </c>
      <c r="D452" s="10">
        <f>IF(RIGHT(creditcard[[#This Row],[YYYYMM]],2)="--","--","Q"&amp;ROUNDUP(VALUE(RIGHT(creditcard[[#This Row],[YYYYMM]],2))/3,0))</f>
        <v/>
      </c>
      <c r="E452" s="10" t="n">
        <v>11</v>
      </c>
      <c r="F452" s="151" t="inlineStr">
        <is>
          <t>市場總計</t>
        </is>
      </c>
      <c r="G452" s="152" t="inlineStr">
        <is>
          <t>11 市場總計</t>
        </is>
      </c>
      <c r="H452" s="153" t="n">
        <v>54850257</v>
      </c>
      <c r="I452" s="153" t="n">
        <v>34921067</v>
      </c>
      <c r="J452" s="153" t="n">
        <v>507423</v>
      </c>
      <c r="K452" s="153" t="n">
        <v>301875</v>
      </c>
      <c r="L452" s="153" t="n">
        <v>102895.215</v>
      </c>
      <c r="M452" s="11" t="n"/>
      <c r="N452" s="153" t="n">
        <v>292685.489</v>
      </c>
      <c r="O452" s="11" t="n"/>
      <c r="P452" s="11" t="n"/>
      <c r="Q452" s="12" t="n"/>
      <c r="R452" s="11" t="n"/>
      <c r="S452" s="11" t="n"/>
      <c r="T452" s="11" t="n"/>
      <c r="U452" s="11" t="n"/>
      <c r="V452" s="154" t="n">
        <v>4.49</v>
      </c>
      <c r="W452" s="11">
        <f>SUMIFS(H:H,A:A,creditcard[[#This Row],[YYYYMM]],G:G,creditcard[[#This Row],[Item]])</f>
        <v/>
      </c>
      <c r="X452" s="4">
        <f>IFERROR(SUMIFS(H:H,A:A,creditcard[[#This Row],[YYYYMM]],E:E,"&lt;=5")/creditcard[[#This Row],[市場總計]],"")</f>
        <v/>
      </c>
      <c r="Y452" s="4">
        <f>IFERROR(SUMIFS(H:H,A:A,creditcard[[#This Row],[YYYYMM]],E:E,"&lt;=10")/creditcard[[#This Row],[市場總計]],"")</f>
        <v/>
      </c>
      <c r="Z452" s="4">
        <f>IFERROR(SUMIFS(I:I,A:A,creditcard[[#This Row],[YYYYMM]],E:E,"&lt;=5")/creditcard[[#This Row],[有效卡數]],"")</f>
        <v/>
      </c>
      <c r="AA452" s="4">
        <f>IFERROR(SUMIFS(I:I,A:A,creditcard[[#This Row],[YYYYMM]],E:E,"&lt;=10")/creditcard[[#This Row],[有效卡數]],"")</f>
        <v/>
      </c>
      <c r="AB452" s="4">
        <f>IFERROR(SUMIFS(J:J,A:A,creditcard[[#This Row],[YYYYMM]],E:E,"&lt;=5")/creditcard[[#This Row],[當月發卡數]],"")</f>
        <v/>
      </c>
      <c r="AC452" s="4">
        <f>IFERROR(SUMIFS(J:J,A:A,creditcard[[#This Row],[YYYYMM]],E:E,"&lt;=10")/creditcard[[#This Row],[當月發卡數]],"")</f>
        <v/>
      </c>
      <c r="AD452" s="4">
        <f>IFERROR(SUMIFS(K:K,A:A,creditcard[[#This Row],[YYYYMM]],E:E,"&lt;=5")/creditcard[[#This Row],[當月停卡數]],"")</f>
        <v/>
      </c>
      <c r="AE452" s="4">
        <f>IFERROR(SUMIFS(K:K,A:A,creditcard[[#This Row],[YYYYMM]],E:E,"&lt;=10")/creditcard[[#This Row],[當月停卡數]],"")</f>
        <v/>
      </c>
      <c r="AF452" s="4">
        <f>IFERROR(SUMIFS(L:L,A:A,creditcard[[#This Row],[YYYYMM]],E:E,"&lt;=5")/creditcard[[#This Row],[循環信用餘額]],"")</f>
        <v/>
      </c>
      <c r="AG452" s="4">
        <f>IFERROR(SUMIFS(L:L,A:A,creditcard[[#This Row],[YYYYMM]],E:E,"&lt;=10")/creditcard[[#This Row],[循環信用餘額]],"")</f>
        <v/>
      </c>
      <c r="AH452" s="4">
        <f>IFERROR(SUMIFS(N:N,A:A,creditcard[[#This Row],[YYYYMM]],E:E,"&lt;=5")/creditcard[[#This Row],[當月簽帳金額]],"")</f>
        <v/>
      </c>
      <c r="AI452" s="4">
        <f>IFERROR(SUMIFS(N:N,A:A,creditcard[[#This Row],[YYYYMM]],E:E,"&lt;=10")/creditcard[[#This Row],[當月簽帳金額]],"")</f>
        <v/>
      </c>
    </row>
    <row r="453">
      <c r="A453" s="14" t="n">
        <v>202211</v>
      </c>
      <c r="B453" s="15">
        <f>LEFT(creditcard[[#This Row],[YYYYMM]],4)</f>
        <v/>
      </c>
      <c r="C453" s="15">
        <f>RIGHT(creditcard[[#This Row],[YYYYMM]],2)</f>
        <v/>
      </c>
      <c r="D453" s="15">
        <f>IF(RIGHT(creditcard[[#This Row],[YYYYMM]],2)="--","--","Q"&amp;ROUNDUP(VALUE(RIGHT(creditcard[[#This Row],[YYYYMM]],2))/3,0))</f>
        <v/>
      </c>
      <c r="E453" s="15" t="n">
        <v>1</v>
      </c>
      <c r="F453" s="155" t="inlineStr">
        <is>
          <t>中信</t>
        </is>
      </c>
      <c r="G453" s="156" t="inlineStr">
        <is>
          <t>01 中信</t>
        </is>
      </c>
      <c r="H453" s="157" t="n">
        <v>8435403</v>
      </c>
      <c r="I453" s="157" t="n">
        <v>5284005</v>
      </c>
      <c r="J453" s="157" t="n">
        <v>106842</v>
      </c>
      <c r="K453" s="157" t="n">
        <v>51549</v>
      </c>
      <c r="L453" s="157" t="n">
        <v>15631.459</v>
      </c>
      <c r="M453" s="16" t="n"/>
      <c r="N453" s="157" t="n">
        <v>53097.422</v>
      </c>
      <c r="O453" s="16" t="n"/>
      <c r="P453" s="16" t="n"/>
      <c r="Q453" s="17" t="n"/>
      <c r="R453" s="16" t="n"/>
      <c r="S453" s="16" t="n"/>
      <c r="T453" s="16" t="n"/>
      <c r="U453" s="16" t="n"/>
      <c r="V453" s="158" t="n"/>
      <c r="W453" s="16" t="n"/>
      <c r="X453" s="18" t="n"/>
      <c r="Y453" s="18" t="n"/>
      <c r="Z453" s="18" t="n"/>
      <c r="AA453" s="18" t="n"/>
      <c r="AB453" s="18" t="n"/>
      <c r="AC453" s="18" t="n"/>
      <c r="AD453" s="18" t="n"/>
      <c r="AE453" s="18" t="n"/>
      <c r="AF453" s="18" t="n"/>
      <c r="AG453" s="18" t="n"/>
      <c r="AH453" s="18" t="n"/>
      <c r="AI453" s="18" t="n"/>
    </row>
    <row r="454">
      <c r="A454" s="9" t="n">
        <v>202211</v>
      </c>
      <c r="B454" s="10">
        <f>LEFT(creditcard[[#This Row],[YYYYMM]],4)</f>
        <v/>
      </c>
      <c r="C454" s="10">
        <f>RIGHT(creditcard[[#This Row],[YYYYMM]],2)</f>
        <v/>
      </c>
      <c r="D454" s="10">
        <f>IF(RIGHT(creditcard[[#This Row],[YYYYMM]],2)="--","--","Q"&amp;ROUNDUP(VALUE(RIGHT(creditcard[[#This Row],[YYYYMM]],2))/3,0))</f>
        <v/>
      </c>
      <c r="E454" s="10" t="n">
        <v>2</v>
      </c>
      <c r="F454" s="151" t="inlineStr">
        <is>
          <t>富邦</t>
        </is>
      </c>
      <c r="G454" s="152" t="inlineStr">
        <is>
          <t>02 富邦</t>
        </is>
      </c>
      <c r="H454" s="153" t="n">
        <v>4730706</v>
      </c>
      <c r="I454" s="153" t="n">
        <v>3239827</v>
      </c>
      <c r="J454" s="153" t="n">
        <v>74339</v>
      </c>
      <c r="K454" s="153" t="n">
        <v>19535</v>
      </c>
      <c r="L454" s="153" t="n">
        <v>6402.426</v>
      </c>
      <c r="M454" s="11" t="n"/>
      <c r="N454" s="153" t="n">
        <v>35509.8</v>
      </c>
      <c r="O454" s="11" t="n"/>
      <c r="P454" s="11" t="n"/>
      <c r="Q454" s="12" t="n"/>
      <c r="R454" s="11" t="n"/>
      <c r="S454" s="11" t="n"/>
      <c r="T454" s="11" t="n"/>
      <c r="U454" s="11" t="n"/>
      <c r="V454" s="154" t="n"/>
      <c r="W454" s="11" t="n"/>
      <c r="X454" s="13" t="n"/>
      <c r="Y454" s="13" t="n"/>
      <c r="Z454" s="13" t="n"/>
      <c r="AA454" s="13" t="n"/>
      <c r="AB454" s="13" t="n"/>
      <c r="AC454" s="13" t="n"/>
      <c r="AD454" s="13" t="n"/>
      <c r="AE454" s="13" t="n"/>
      <c r="AF454" s="13" t="n"/>
      <c r="AG454" s="13" t="n"/>
      <c r="AH454" s="13" t="n"/>
      <c r="AI454" s="13" t="n"/>
    </row>
    <row r="455">
      <c r="A455" s="14" t="n">
        <v>202211</v>
      </c>
      <c r="B455" s="15">
        <f>LEFT(creditcard[[#This Row],[YYYYMM]],4)</f>
        <v/>
      </c>
      <c r="C455" s="15">
        <f>RIGHT(creditcard[[#This Row],[YYYYMM]],2)</f>
        <v/>
      </c>
      <c r="D455" s="15">
        <f>IF(RIGHT(creditcard[[#This Row],[YYYYMM]],2)="--","--","Q"&amp;ROUNDUP(VALUE(RIGHT(creditcard[[#This Row],[YYYYMM]],2))/3,0))</f>
        <v/>
      </c>
      <c r="E455" s="15" t="n">
        <v>3</v>
      </c>
      <c r="F455" s="155" t="inlineStr">
        <is>
          <t>國泰</t>
        </is>
      </c>
      <c r="G455" s="156" t="inlineStr">
        <is>
          <t>03 國泰</t>
        </is>
      </c>
      <c r="H455" s="157" t="n">
        <v>7993379</v>
      </c>
      <c r="I455" s="157" t="n">
        <v>5681656</v>
      </c>
      <c r="J455" s="157" t="n">
        <v>98701</v>
      </c>
      <c r="K455" s="157" t="n">
        <v>41229</v>
      </c>
      <c r="L455" s="157" t="n">
        <v>18617.055</v>
      </c>
      <c r="M455" s="16" t="n"/>
      <c r="N455" s="157" t="n">
        <v>58970.602</v>
      </c>
      <c r="O455" s="16" t="n"/>
      <c r="P455" s="16" t="n"/>
      <c r="Q455" s="17" t="n"/>
      <c r="R455" s="16" t="n"/>
      <c r="S455" s="16" t="n"/>
      <c r="T455" s="16" t="n"/>
      <c r="U455" s="16" t="n"/>
      <c r="V455" s="158" t="n"/>
      <c r="W455" s="16" t="n"/>
      <c r="X455" s="18" t="n"/>
      <c r="Y455" s="18" t="n"/>
      <c r="Z455" s="18" t="n"/>
      <c r="AA455" s="18" t="n"/>
      <c r="AB455" s="18" t="n"/>
      <c r="AC455" s="18" t="n"/>
      <c r="AD455" s="18" t="n"/>
      <c r="AE455" s="18" t="n"/>
      <c r="AF455" s="18" t="n"/>
      <c r="AG455" s="18" t="n"/>
      <c r="AH455" s="18" t="n"/>
      <c r="AI455" s="18" t="n"/>
    </row>
    <row r="456">
      <c r="A456" s="9" t="n">
        <v>202211</v>
      </c>
      <c r="B456" s="10">
        <f>LEFT(creditcard[[#This Row],[YYYYMM]],4)</f>
        <v/>
      </c>
      <c r="C456" s="10">
        <f>RIGHT(creditcard[[#This Row],[YYYYMM]],2)</f>
        <v/>
      </c>
      <c r="D456" s="10">
        <f>IF(RIGHT(creditcard[[#This Row],[YYYYMM]],2)="--","--","Q"&amp;ROUNDUP(VALUE(RIGHT(creditcard[[#This Row],[YYYYMM]],2))/3,0))</f>
        <v/>
      </c>
      <c r="E456" s="10" t="n">
        <v>4</v>
      </c>
      <c r="F456" s="151" t="inlineStr">
        <is>
          <t>玉山</t>
        </is>
      </c>
      <c r="G456" s="152" t="inlineStr">
        <is>
          <t>04 玉山</t>
        </is>
      </c>
      <c r="H456" s="153" t="n">
        <v>6873010</v>
      </c>
      <c r="I456" s="153" t="n">
        <v>4669064</v>
      </c>
      <c r="J456" s="153" t="n">
        <v>51572</v>
      </c>
      <c r="K456" s="153" t="n">
        <v>29953</v>
      </c>
      <c r="L456" s="153" t="n">
        <v>12850.785</v>
      </c>
      <c r="M456" s="11" t="n"/>
      <c r="N456" s="153" t="n">
        <v>40559.654</v>
      </c>
      <c r="O456" s="11" t="n"/>
      <c r="P456" s="11" t="n"/>
      <c r="Q456" s="12" t="n"/>
      <c r="R456" s="11" t="n"/>
      <c r="S456" s="11" t="n"/>
      <c r="T456" s="11" t="n"/>
      <c r="U456" s="11" t="n"/>
      <c r="V456" s="154" t="n"/>
      <c r="W456" s="11" t="n"/>
      <c r="X456" s="13" t="n"/>
      <c r="Y456" s="13" t="n"/>
      <c r="Z456" s="13" t="n"/>
      <c r="AA456" s="13" t="n"/>
      <c r="AB456" s="13" t="n"/>
      <c r="AC456" s="13" t="n"/>
      <c r="AD456" s="13" t="n"/>
      <c r="AE456" s="13" t="n"/>
      <c r="AF456" s="13" t="n"/>
      <c r="AG456" s="13" t="n"/>
      <c r="AH456" s="13" t="n"/>
      <c r="AI456" s="13" t="n"/>
    </row>
    <row r="457">
      <c r="A457" s="14" t="n">
        <v>202211</v>
      </c>
      <c r="B457" s="15">
        <f>LEFT(creditcard[[#This Row],[YYYYMM]],4)</f>
        <v/>
      </c>
      <c r="C457" s="15">
        <f>RIGHT(creditcard[[#This Row],[YYYYMM]],2)</f>
        <v/>
      </c>
      <c r="D457" s="15">
        <f>IF(RIGHT(creditcard[[#This Row],[YYYYMM]],2)="--","--","Q"&amp;ROUNDUP(VALUE(RIGHT(creditcard[[#This Row],[YYYYMM]],2))/3,0))</f>
        <v/>
      </c>
      <c r="E457" s="15" t="n">
        <v>5</v>
      </c>
      <c r="F457" s="155" t="inlineStr">
        <is>
          <t>台新</t>
        </is>
      </c>
      <c r="G457" s="156" t="inlineStr">
        <is>
          <t>05 台新</t>
        </is>
      </c>
      <c r="H457" s="157" t="n">
        <v>6280469</v>
      </c>
      <c r="I457" s="157" t="n">
        <v>4228970</v>
      </c>
      <c r="J457" s="157" t="n">
        <v>61038</v>
      </c>
      <c r="K457" s="157" t="n">
        <v>51212</v>
      </c>
      <c r="L457" s="157" t="n">
        <v>10027.273</v>
      </c>
      <c r="M457" s="16" t="n"/>
      <c r="N457" s="157" t="n">
        <v>34386.347</v>
      </c>
      <c r="O457" s="16" t="n"/>
      <c r="P457" s="16" t="n"/>
      <c r="Q457" s="17" t="n"/>
      <c r="R457" s="16" t="n"/>
      <c r="S457" s="16" t="n"/>
      <c r="T457" s="16" t="n"/>
      <c r="U457" s="16" t="n"/>
      <c r="V457" s="158" t="n"/>
      <c r="W457" s="16" t="n"/>
      <c r="X457" s="18" t="n"/>
      <c r="Y457" s="18" t="n"/>
      <c r="Z457" s="18" t="n"/>
      <c r="AA457" s="18" t="n"/>
      <c r="AB457" s="18" t="n"/>
      <c r="AC457" s="18" t="n"/>
      <c r="AD457" s="18" t="n"/>
      <c r="AE457" s="18" t="n"/>
      <c r="AF457" s="18" t="n"/>
      <c r="AG457" s="18" t="n"/>
      <c r="AH457" s="18" t="n"/>
      <c r="AI457" s="18" t="n"/>
    </row>
    <row r="458">
      <c r="A458" s="9" t="n">
        <v>202211</v>
      </c>
      <c r="B458" s="10">
        <f>LEFT(creditcard[[#This Row],[YYYYMM]],4)</f>
        <v/>
      </c>
      <c r="C458" s="10">
        <f>RIGHT(creditcard[[#This Row],[YYYYMM]],2)</f>
        <v/>
      </c>
      <c r="D458" s="10">
        <f>IF(RIGHT(creditcard[[#This Row],[YYYYMM]],2)="--","--","Q"&amp;ROUNDUP(VALUE(RIGHT(creditcard[[#This Row],[YYYYMM]],2))/3,0))</f>
        <v/>
      </c>
      <c r="E458" s="10" t="n">
        <v>6</v>
      </c>
      <c r="F458" s="151" t="inlineStr">
        <is>
          <t>星展</t>
        </is>
      </c>
      <c r="G458" s="152" t="inlineStr">
        <is>
          <t>06 星展</t>
        </is>
      </c>
      <c r="H458" s="153" t="n">
        <v>650549</v>
      </c>
      <c r="I458" s="153" t="n">
        <v>329406</v>
      </c>
      <c r="J458" s="153" t="n">
        <v>6628</v>
      </c>
      <c r="K458" s="153" t="n">
        <v>3838</v>
      </c>
      <c r="L458" s="153" t="n">
        <v>1266</v>
      </c>
      <c r="M458" s="11" t="n"/>
      <c r="N458" s="153" t="n">
        <v>4081</v>
      </c>
      <c r="O458" s="11" t="n"/>
      <c r="P458" s="11" t="n"/>
      <c r="Q458" s="12" t="n"/>
      <c r="R458" s="11" t="n"/>
      <c r="S458" s="11" t="n"/>
      <c r="T458" s="11" t="n"/>
      <c r="U458" s="11" t="n"/>
      <c r="V458" s="154" t="n"/>
      <c r="W458" s="11" t="n"/>
      <c r="X458" s="13" t="n"/>
      <c r="Y458" s="13" t="n"/>
      <c r="Z458" s="13" t="n"/>
      <c r="AA458" s="13" t="n"/>
      <c r="AB458" s="13" t="n"/>
      <c r="AC458" s="13" t="n"/>
      <c r="AD458" s="13" t="n"/>
      <c r="AE458" s="13" t="n"/>
      <c r="AF458" s="13" t="n"/>
      <c r="AG458" s="13" t="n"/>
      <c r="AH458" s="13" t="n"/>
      <c r="AI458" s="13" t="n"/>
    </row>
    <row r="459">
      <c r="A459" s="14" t="n">
        <v>202211</v>
      </c>
      <c r="B459" s="15">
        <f>LEFT(creditcard[[#This Row],[YYYYMM]],4)</f>
        <v/>
      </c>
      <c r="C459" s="15">
        <f>RIGHT(creditcard[[#This Row],[YYYYMM]],2)</f>
        <v/>
      </c>
      <c r="D459" s="15">
        <f>IF(RIGHT(creditcard[[#This Row],[YYYYMM]],2)="--","--","Q"&amp;ROUNDUP(VALUE(RIGHT(creditcard[[#This Row],[YYYYMM]],2))/3,0))</f>
        <v/>
      </c>
      <c r="E459" s="15" t="n">
        <v>7</v>
      </c>
      <c r="F459" s="155" t="inlineStr">
        <is>
          <t>聯邦</t>
        </is>
      </c>
      <c r="G459" s="156" t="inlineStr">
        <is>
          <t>07 聯邦</t>
        </is>
      </c>
      <c r="H459" s="157" t="n">
        <v>2394050</v>
      </c>
      <c r="I459" s="157" t="n">
        <v>1363408</v>
      </c>
      <c r="J459" s="157" t="n">
        <v>30495</v>
      </c>
      <c r="K459" s="157" t="n">
        <v>15944</v>
      </c>
      <c r="L459" s="157" t="n">
        <v>5553.513</v>
      </c>
      <c r="M459" s="16" t="n"/>
      <c r="N459" s="157" t="n">
        <v>10199.746</v>
      </c>
      <c r="O459" s="16" t="n"/>
      <c r="P459" s="16" t="n"/>
      <c r="Q459" s="17" t="n"/>
      <c r="R459" s="16" t="n"/>
      <c r="S459" s="16" t="n"/>
      <c r="T459" s="16" t="n"/>
      <c r="U459" s="16" t="n"/>
      <c r="V459" s="158" t="n"/>
      <c r="W459" s="16" t="n"/>
      <c r="X459" s="18" t="n"/>
      <c r="Y459" s="18" t="n"/>
      <c r="Z459" s="18" t="n"/>
      <c r="AA459" s="18" t="n"/>
      <c r="AB459" s="18" t="n"/>
      <c r="AC459" s="18" t="n"/>
      <c r="AD459" s="18" t="n"/>
      <c r="AE459" s="18" t="n"/>
      <c r="AF459" s="18" t="n"/>
      <c r="AG459" s="18" t="n"/>
      <c r="AH459" s="18" t="n"/>
      <c r="AI459" s="18" t="n"/>
    </row>
    <row r="460">
      <c r="A460" s="9" t="n">
        <v>202211</v>
      </c>
      <c r="B460" s="10">
        <f>LEFT(creditcard[[#This Row],[YYYYMM]],4)</f>
        <v/>
      </c>
      <c r="C460" s="10">
        <f>RIGHT(creditcard[[#This Row],[YYYYMM]],2)</f>
        <v/>
      </c>
      <c r="D460" s="10">
        <f>IF(RIGHT(creditcard[[#This Row],[YYYYMM]],2)="--","--","Q"&amp;ROUNDUP(VALUE(RIGHT(creditcard[[#This Row],[YYYYMM]],2))/3,0))</f>
        <v/>
      </c>
      <c r="E460" s="10" t="n">
        <v>8</v>
      </c>
      <c r="F460" s="151" t="inlineStr">
        <is>
          <t>永豐</t>
        </is>
      </c>
      <c r="G460" s="152" t="inlineStr">
        <is>
          <t>08 永豐</t>
        </is>
      </c>
      <c r="H460" s="153" t="n">
        <v>2264911</v>
      </c>
      <c r="I460" s="153" t="n">
        <v>1224302</v>
      </c>
      <c r="J460" s="153" t="n">
        <v>13763</v>
      </c>
      <c r="K460" s="153" t="n">
        <v>11924</v>
      </c>
      <c r="L460" s="153" t="n">
        <v>3886.552</v>
      </c>
      <c r="M460" s="11" t="n"/>
      <c r="N460" s="153" t="n">
        <v>11682.277</v>
      </c>
      <c r="O460" s="11" t="n"/>
      <c r="P460" s="11" t="n"/>
      <c r="Q460" s="12" t="n"/>
      <c r="R460" s="11" t="n"/>
      <c r="S460" s="11" t="n"/>
      <c r="T460" s="11" t="n"/>
      <c r="U460" s="11" t="n"/>
      <c r="V460" s="154" t="n"/>
      <c r="W460" s="11" t="n"/>
      <c r="X460" s="13" t="n"/>
      <c r="Y460" s="13" t="n"/>
      <c r="Z460" s="13" t="n"/>
      <c r="AA460" s="13" t="n"/>
      <c r="AB460" s="13" t="n"/>
      <c r="AC460" s="13" t="n"/>
      <c r="AD460" s="13" t="n"/>
      <c r="AE460" s="13" t="n"/>
      <c r="AF460" s="13" t="n"/>
      <c r="AG460" s="13" t="n"/>
      <c r="AH460" s="13" t="n"/>
      <c r="AI460" s="13" t="n"/>
    </row>
    <row r="461">
      <c r="A461" s="14" t="n">
        <v>202211</v>
      </c>
      <c r="B461" s="15">
        <f>LEFT(creditcard[[#This Row],[YYYYMM]],4)</f>
        <v/>
      </c>
      <c r="C461" s="15">
        <f>RIGHT(creditcard[[#This Row],[YYYYMM]],2)</f>
        <v/>
      </c>
      <c r="D461" s="15">
        <f>IF(RIGHT(creditcard[[#This Row],[YYYYMM]],2)="--","--","Q"&amp;ROUNDUP(VALUE(RIGHT(creditcard[[#This Row],[YYYYMM]],2))/3,0))</f>
        <v/>
      </c>
      <c r="E461" s="15" t="n">
        <v>9</v>
      </c>
      <c r="F461" s="155" t="inlineStr">
        <is>
          <t>第一</t>
        </is>
      </c>
      <c r="G461" s="156" t="inlineStr">
        <is>
          <t>09 第一</t>
        </is>
      </c>
      <c r="H461" s="157" t="n">
        <v>1496464</v>
      </c>
      <c r="I461" s="157" t="n">
        <v>913590</v>
      </c>
      <c r="J461" s="157" t="n">
        <v>16731</v>
      </c>
      <c r="K461" s="157" t="n">
        <v>11076</v>
      </c>
      <c r="L461" s="157" t="n">
        <v>1584</v>
      </c>
      <c r="M461" s="16" t="n"/>
      <c r="N461" s="157" t="n">
        <v>6198</v>
      </c>
      <c r="O461" s="16" t="n"/>
      <c r="P461" s="16" t="n"/>
      <c r="Q461" s="17" t="n"/>
      <c r="R461" s="16" t="n"/>
      <c r="S461" s="16" t="n"/>
      <c r="T461" s="16" t="n"/>
      <c r="U461" s="16" t="n"/>
      <c r="V461" s="158" t="n"/>
      <c r="W461" s="16" t="n"/>
      <c r="X461" s="18" t="n"/>
      <c r="Y461" s="18" t="n"/>
      <c r="Z461" s="18" t="n"/>
      <c r="AA461" s="18" t="n"/>
      <c r="AB461" s="18" t="n"/>
      <c r="AC461" s="18" t="n"/>
      <c r="AD461" s="18" t="n"/>
      <c r="AE461" s="18" t="n"/>
      <c r="AF461" s="18" t="n"/>
      <c r="AG461" s="18" t="n"/>
      <c r="AH461" s="18" t="n"/>
      <c r="AI461" s="18" t="n"/>
    </row>
    <row r="462">
      <c r="A462" s="9" t="n">
        <v>202211</v>
      </c>
      <c r="B462" s="10">
        <f>LEFT(creditcard[[#This Row],[YYYYMM]],4)</f>
        <v/>
      </c>
      <c r="C462" s="10">
        <f>RIGHT(creditcard[[#This Row],[YYYYMM]],2)</f>
        <v/>
      </c>
      <c r="D462" s="10">
        <f>IF(RIGHT(creditcard[[#This Row],[YYYYMM]],2)="--","--","Q"&amp;ROUNDUP(VALUE(RIGHT(creditcard[[#This Row],[YYYYMM]],2))/3,0))</f>
        <v/>
      </c>
      <c r="E462" s="10" t="n">
        <v>10</v>
      </c>
      <c r="F462" s="151" t="inlineStr">
        <is>
          <t>遠東</t>
        </is>
      </c>
      <c r="G462" s="152" t="inlineStr">
        <is>
          <t>10 遠東</t>
        </is>
      </c>
      <c r="H462" s="153" t="n">
        <v>1573460</v>
      </c>
      <c r="I462" s="153" t="n">
        <v>993097</v>
      </c>
      <c r="J462" s="153" t="n">
        <v>14557</v>
      </c>
      <c r="K462" s="153" t="n">
        <v>15675</v>
      </c>
      <c r="L462" s="153" t="n">
        <v>3638.005</v>
      </c>
      <c r="M462" s="11" t="n"/>
      <c r="N462" s="153" t="n">
        <v>4845.407</v>
      </c>
      <c r="O462" s="11" t="n"/>
      <c r="P462" s="11" t="n"/>
      <c r="Q462" s="12" t="n"/>
      <c r="R462" s="11" t="n"/>
      <c r="S462" s="11" t="n"/>
      <c r="T462" s="11" t="n"/>
      <c r="U462" s="11" t="n"/>
      <c r="V462" s="154" t="n"/>
      <c r="W462" s="11" t="n"/>
      <c r="X462" s="13" t="n"/>
      <c r="Y462" s="13" t="n"/>
      <c r="Z462" s="13" t="n"/>
      <c r="AA462" s="13" t="n"/>
      <c r="AB462" s="13" t="n"/>
      <c r="AC462" s="13" t="n"/>
      <c r="AD462" s="13" t="n"/>
      <c r="AE462" s="13" t="n"/>
      <c r="AF462" s="13" t="n"/>
      <c r="AG462" s="13" t="n"/>
      <c r="AH462" s="13" t="n"/>
      <c r="AI462" s="13" t="n"/>
    </row>
    <row r="463">
      <c r="A463" s="14" t="n">
        <v>202211</v>
      </c>
      <c r="B463" s="15">
        <f>LEFT(creditcard[[#This Row],[YYYYMM]],4)</f>
        <v/>
      </c>
      <c r="C463" s="15">
        <f>RIGHT(creditcard[[#This Row],[YYYYMM]],2)</f>
        <v/>
      </c>
      <c r="D463" s="15">
        <f>IF(RIGHT(creditcard[[#This Row],[YYYYMM]],2)="--","--","Q"&amp;ROUNDUP(VALUE(RIGHT(creditcard[[#This Row],[YYYYMM]],2))/3,0))</f>
        <v/>
      </c>
      <c r="E463" s="15" t="n">
        <v>11</v>
      </c>
      <c r="F463" s="155" t="inlineStr">
        <is>
          <t>市場總計</t>
        </is>
      </c>
      <c r="G463" s="156" t="inlineStr">
        <is>
          <t>11 市場總計</t>
        </is>
      </c>
      <c r="H463" s="157" t="n">
        <v>55084077</v>
      </c>
      <c r="I463" s="157" t="n">
        <v>35293905</v>
      </c>
      <c r="J463" s="157" t="n">
        <v>569687</v>
      </c>
      <c r="K463" s="157" t="n">
        <v>349892</v>
      </c>
      <c r="L463" s="157" t="n">
        <v>103393.594</v>
      </c>
      <c r="M463" s="16" t="n"/>
      <c r="N463" s="157" t="n">
        <v>325750.723</v>
      </c>
      <c r="O463" s="16" t="n"/>
      <c r="P463" s="16" t="n"/>
      <c r="Q463" s="17" t="n"/>
      <c r="R463" s="16" t="n"/>
      <c r="S463" s="16" t="n"/>
      <c r="T463" s="16" t="n"/>
      <c r="U463" s="16" t="n"/>
      <c r="V463" s="158" t="n">
        <v>4.5</v>
      </c>
      <c r="W463" s="16">
        <f>SUMIFS(H:H,A:A,creditcard[[#This Row],[YYYYMM]],G:G,creditcard[[#This Row],[Item]])</f>
        <v/>
      </c>
      <c r="X463" s="4">
        <f>IFERROR(SUMIFS(H:H,A:A,creditcard[[#This Row],[YYYYMM]],E:E,"&lt;=5")/creditcard[[#This Row],[市場總計]],"")</f>
        <v/>
      </c>
      <c r="Y463" s="4">
        <f>IFERROR(SUMIFS(H:H,A:A,creditcard[[#This Row],[YYYYMM]],E:E,"&lt;=10")/creditcard[[#This Row],[市場總計]],"")</f>
        <v/>
      </c>
      <c r="Z463" s="4">
        <f>IFERROR(SUMIFS(I:I,A:A,creditcard[[#This Row],[YYYYMM]],E:E,"&lt;=5")/creditcard[[#This Row],[有效卡數]],"")</f>
        <v/>
      </c>
      <c r="AA463" s="4">
        <f>IFERROR(SUMIFS(I:I,A:A,creditcard[[#This Row],[YYYYMM]],E:E,"&lt;=10")/creditcard[[#This Row],[有效卡數]],"")</f>
        <v/>
      </c>
      <c r="AB463" s="4">
        <f>IFERROR(SUMIFS(J:J,A:A,creditcard[[#This Row],[YYYYMM]],E:E,"&lt;=5")/creditcard[[#This Row],[當月發卡數]],"")</f>
        <v/>
      </c>
      <c r="AC463" s="4">
        <f>IFERROR(SUMIFS(J:J,A:A,creditcard[[#This Row],[YYYYMM]],E:E,"&lt;=10")/creditcard[[#This Row],[當月發卡數]],"")</f>
        <v/>
      </c>
      <c r="AD463" s="4">
        <f>IFERROR(SUMIFS(K:K,A:A,creditcard[[#This Row],[YYYYMM]],E:E,"&lt;=5")/creditcard[[#This Row],[當月停卡數]],"")</f>
        <v/>
      </c>
      <c r="AE463" s="4">
        <f>IFERROR(SUMIFS(K:K,A:A,creditcard[[#This Row],[YYYYMM]],E:E,"&lt;=10")/creditcard[[#This Row],[當月停卡數]],"")</f>
        <v/>
      </c>
      <c r="AF463" s="4">
        <f>IFERROR(SUMIFS(L:L,A:A,creditcard[[#This Row],[YYYYMM]],E:E,"&lt;=5")/creditcard[[#This Row],[循環信用餘額]],"")</f>
        <v/>
      </c>
      <c r="AG463" s="4">
        <f>IFERROR(SUMIFS(L:L,A:A,creditcard[[#This Row],[YYYYMM]],E:E,"&lt;=10")/creditcard[[#This Row],[循環信用餘額]],"")</f>
        <v/>
      </c>
      <c r="AH463" s="4">
        <f>IFERROR(SUMIFS(N:N,A:A,creditcard[[#This Row],[YYYYMM]],E:E,"&lt;=5")/creditcard[[#This Row],[當月簽帳金額]],"")</f>
        <v/>
      </c>
      <c r="AI463" s="4">
        <f>IFERROR(SUMIFS(N:N,A:A,creditcard[[#This Row],[YYYYMM]],E:E,"&lt;=10")/creditcard[[#This Row],[當月簽帳金額]],"")</f>
        <v/>
      </c>
    </row>
    <row r="464">
      <c r="A464" s="9" t="n">
        <v>202212</v>
      </c>
      <c r="B464" s="10">
        <f>LEFT(creditcard[[#This Row],[YYYYMM]],4)</f>
        <v/>
      </c>
      <c r="C464" s="10">
        <f>RIGHT(creditcard[[#This Row],[YYYYMM]],2)</f>
        <v/>
      </c>
      <c r="D464" s="10">
        <f>IF(RIGHT(creditcard[[#This Row],[YYYYMM]],2)="--","--","Q"&amp;ROUNDUP(VALUE(RIGHT(creditcard[[#This Row],[YYYYMM]],2))/3,0))</f>
        <v/>
      </c>
      <c r="E464" s="10" t="n">
        <v>1</v>
      </c>
      <c r="F464" s="151" t="inlineStr">
        <is>
          <t>中信</t>
        </is>
      </c>
      <c r="G464" s="152" t="inlineStr">
        <is>
          <t>01 中信</t>
        </is>
      </c>
      <c r="H464" s="153" t="n">
        <v>8621651</v>
      </c>
      <c r="I464" s="153" t="n">
        <v>5348747</v>
      </c>
      <c r="J464" s="153" t="n">
        <v>222441</v>
      </c>
      <c r="K464" s="153" t="n">
        <v>36193</v>
      </c>
      <c r="L464" s="153" t="n">
        <v>15830.624</v>
      </c>
      <c r="M464" s="11" t="n"/>
      <c r="N464" s="153" t="n">
        <v>54912.34</v>
      </c>
      <c r="O464" s="11" t="n"/>
      <c r="P464" s="11" t="n"/>
      <c r="Q464" s="12" t="n"/>
      <c r="R464" s="11" t="n"/>
      <c r="S464" s="11" t="n"/>
      <c r="T464" s="11" t="n"/>
      <c r="U464" s="11" t="n"/>
      <c r="V464" s="154" t="n"/>
      <c r="W464" s="11" t="n"/>
      <c r="X464" s="13" t="n"/>
      <c r="Y464" s="13" t="n"/>
      <c r="Z464" s="13" t="n"/>
      <c r="AA464" s="13" t="n"/>
      <c r="AB464" s="13" t="n"/>
      <c r="AC464" s="13" t="n"/>
      <c r="AD464" s="13" t="n"/>
      <c r="AE464" s="13" t="n"/>
      <c r="AF464" s="13" t="n"/>
      <c r="AG464" s="13" t="n"/>
      <c r="AH464" s="13" t="n"/>
      <c r="AI464" s="13" t="n"/>
    </row>
    <row r="465">
      <c r="A465" s="14" t="n">
        <v>202212</v>
      </c>
      <c r="B465" s="15">
        <f>LEFT(creditcard[[#This Row],[YYYYMM]],4)</f>
        <v/>
      </c>
      <c r="C465" s="15">
        <f>RIGHT(creditcard[[#This Row],[YYYYMM]],2)</f>
        <v/>
      </c>
      <c r="D465" s="15">
        <f>IF(RIGHT(creditcard[[#This Row],[YYYYMM]],2)="--","--","Q"&amp;ROUNDUP(VALUE(RIGHT(creditcard[[#This Row],[YYYYMM]],2))/3,0))</f>
        <v/>
      </c>
      <c r="E465" s="15" t="n">
        <v>2</v>
      </c>
      <c r="F465" s="155" t="inlineStr">
        <is>
          <t>富邦</t>
        </is>
      </c>
      <c r="G465" s="156" t="inlineStr">
        <is>
          <t>02 富邦</t>
        </is>
      </c>
      <c r="H465" s="157" t="n">
        <v>4792362</v>
      </c>
      <c r="I465" s="157" t="n">
        <v>3276910</v>
      </c>
      <c r="J465" s="157" t="n">
        <v>79666</v>
      </c>
      <c r="K465" s="157" t="n">
        <v>18010</v>
      </c>
      <c r="L465" s="157" t="n">
        <v>6561.462</v>
      </c>
      <c r="M465" s="16" t="n"/>
      <c r="N465" s="157" t="n">
        <v>35247.318</v>
      </c>
      <c r="O465" s="16" t="n"/>
      <c r="P465" s="16" t="n"/>
      <c r="Q465" s="17" t="n"/>
      <c r="R465" s="16" t="n"/>
      <c r="S465" s="16" t="n"/>
      <c r="T465" s="16" t="n"/>
      <c r="U465" s="16" t="n"/>
      <c r="V465" s="158" t="n"/>
      <c r="W465" s="16" t="n"/>
      <c r="X465" s="18" t="n"/>
      <c r="Y465" s="18" t="n"/>
      <c r="Z465" s="18" t="n"/>
      <c r="AA465" s="18" t="n"/>
      <c r="AB465" s="18" t="n"/>
      <c r="AC465" s="18" t="n"/>
      <c r="AD465" s="18" t="n"/>
      <c r="AE465" s="18" t="n"/>
      <c r="AF465" s="18" t="n"/>
      <c r="AG465" s="18" t="n"/>
      <c r="AH465" s="18" t="n"/>
      <c r="AI465" s="18" t="n"/>
    </row>
    <row r="466">
      <c r="A466" s="9" t="n">
        <v>202212</v>
      </c>
      <c r="B466" s="10">
        <f>LEFT(creditcard[[#This Row],[YYYYMM]],4)</f>
        <v/>
      </c>
      <c r="C466" s="10">
        <f>RIGHT(creditcard[[#This Row],[YYYYMM]],2)</f>
        <v/>
      </c>
      <c r="D466" s="10">
        <f>IF(RIGHT(creditcard[[#This Row],[YYYYMM]],2)="--","--","Q"&amp;ROUNDUP(VALUE(RIGHT(creditcard[[#This Row],[YYYYMM]],2))/3,0))</f>
        <v/>
      </c>
      <c r="E466" s="10" t="n">
        <v>3</v>
      </c>
      <c r="F466" s="151" t="inlineStr">
        <is>
          <t>國泰</t>
        </is>
      </c>
      <c r="G466" s="152" t="inlineStr">
        <is>
          <t>03 國泰</t>
        </is>
      </c>
      <c r="H466" s="153" t="n">
        <v>8812536</v>
      </c>
      <c r="I466" s="153" t="n">
        <v>5779361</v>
      </c>
      <c r="J466" s="153" t="n">
        <v>867523</v>
      </c>
      <c r="K466" s="153" t="n">
        <v>48366</v>
      </c>
      <c r="L466" s="153" t="n">
        <v>18929.343</v>
      </c>
      <c r="M466" s="11" t="n"/>
      <c r="N466" s="153" t="n">
        <v>57617.139</v>
      </c>
      <c r="O466" s="11" t="n"/>
      <c r="P466" s="11" t="n"/>
      <c r="Q466" s="12" t="n"/>
      <c r="R466" s="11" t="n"/>
      <c r="S466" s="11" t="n"/>
      <c r="T466" s="11" t="n"/>
      <c r="U466" s="11" t="n"/>
      <c r="V466" s="154" t="n"/>
      <c r="W466" s="11" t="n"/>
      <c r="X466" s="13" t="n"/>
      <c r="Y466" s="13" t="n"/>
      <c r="Z466" s="13" t="n"/>
      <c r="AA466" s="13" t="n"/>
      <c r="AB466" s="13" t="n"/>
      <c r="AC466" s="13" t="n"/>
      <c r="AD466" s="13" t="n"/>
      <c r="AE466" s="13" t="n"/>
      <c r="AF466" s="13" t="n"/>
      <c r="AG466" s="13" t="n"/>
      <c r="AH466" s="13" t="n"/>
      <c r="AI466" s="13" t="n"/>
    </row>
    <row r="467">
      <c r="A467" s="14" t="n">
        <v>202212</v>
      </c>
      <c r="B467" s="15">
        <f>LEFT(creditcard[[#This Row],[YYYYMM]],4)</f>
        <v/>
      </c>
      <c r="C467" s="15">
        <f>RIGHT(creditcard[[#This Row],[YYYYMM]],2)</f>
        <v/>
      </c>
      <c r="D467" s="15">
        <f>IF(RIGHT(creditcard[[#This Row],[YYYYMM]],2)="--","--","Q"&amp;ROUNDUP(VALUE(RIGHT(creditcard[[#This Row],[YYYYMM]],2))/3,0))</f>
        <v/>
      </c>
      <c r="E467" s="15" t="n">
        <v>4</v>
      </c>
      <c r="F467" s="155" t="inlineStr">
        <is>
          <t>玉山</t>
        </is>
      </c>
      <c r="G467" s="156" t="inlineStr">
        <is>
          <t>04 玉山</t>
        </is>
      </c>
      <c r="H467" s="157" t="n">
        <v>6891298</v>
      </c>
      <c r="I467" s="157" t="n">
        <v>4691885</v>
      </c>
      <c r="J467" s="157" t="n">
        <v>50332</v>
      </c>
      <c r="K467" s="157" t="n">
        <v>32044</v>
      </c>
      <c r="L467" s="157" t="n">
        <v>13302.513</v>
      </c>
      <c r="M467" s="16" t="n"/>
      <c r="N467" s="157" t="n">
        <v>44642.093</v>
      </c>
      <c r="O467" s="16" t="n"/>
      <c r="P467" s="16" t="n"/>
      <c r="Q467" s="17" t="n"/>
      <c r="R467" s="16" t="n"/>
      <c r="S467" s="16" t="n"/>
      <c r="T467" s="16" t="n"/>
      <c r="U467" s="16" t="n"/>
      <c r="V467" s="158" t="n"/>
      <c r="W467" s="16" t="n"/>
      <c r="X467" s="18" t="n"/>
      <c r="Y467" s="18" t="n"/>
      <c r="Z467" s="18" t="n"/>
      <c r="AA467" s="18" t="n"/>
      <c r="AB467" s="18" t="n"/>
      <c r="AC467" s="18" t="n"/>
      <c r="AD467" s="18" t="n"/>
      <c r="AE467" s="18" t="n"/>
      <c r="AF467" s="18" t="n"/>
      <c r="AG467" s="18" t="n"/>
      <c r="AH467" s="18" t="n"/>
      <c r="AI467" s="18" t="n"/>
    </row>
    <row r="468">
      <c r="A468" s="9" t="n">
        <v>202212</v>
      </c>
      <c r="B468" s="10">
        <f>LEFT(creditcard[[#This Row],[YYYYMM]],4)</f>
        <v/>
      </c>
      <c r="C468" s="10">
        <f>RIGHT(creditcard[[#This Row],[YYYYMM]],2)</f>
        <v/>
      </c>
      <c r="D468" s="10">
        <f>IF(RIGHT(creditcard[[#This Row],[YYYYMM]],2)="--","--","Q"&amp;ROUNDUP(VALUE(RIGHT(creditcard[[#This Row],[YYYYMM]],2))/3,0))</f>
        <v/>
      </c>
      <c r="E468" s="10" t="n">
        <v>5</v>
      </c>
      <c r="F468" s="151" t="inlineStr">
        <is>
          <t>台新</t>
        </is>
      </c>
      <c r="G468" s="152" t="inlineStr">
        <is>
          <t>05 台新</t>
        </is>
      </c>
      <c r="H468" s="153" t="n">
        <v>6300278</v>
      </c>
      <c r="I468" s="153" t="n">
        <v>4261132</v>
      </c>
      <c r="J468" s="153" t="n">
        <v>54606</v>
      </c>
      <c r="K468" s="153" t="n">
        <v>34797</v>
      </c>
      <c r="L468" s="153" t="n">
        <v>10185.763</v>
      </c>
      <c r="M468" s="11" t="n"/>
      <c r="N468" s="153" t="n">
        <v>33671.069</v>
      </c>
      <c r="O468" s="11" t="n"/>
      <c r="P468" s="11" t="n"/>
      <c r="Q468" s="12" t="n"/>
      <c r="R468" s="11" t="n"/>
      <c r="S468" s="11" t="n"/>
      <c r="T468" s="11" t="n"/>
      <c r="U468" s="11" t="n"/>
      <c r="V468" s="154" t="n"/>
      <c r="W468" s="11" t="n"/>
      <c r="X468" s="13" t="n"/>
      <c r="Y468" s="13" t="n"/>
      <c r="Z468" s="13" t="n"/>
      <c r="AA468" s="13" t="n"/>
      <c r="AB468" s="13" t="n"/>
      <c r="AC468" s="13" t="n"/>
      <c r="AD468" s="13" t="n"/>
      <c r="AE468" s="13" t="n"/>
      <c r="AF468" s="13" t="n"/>
      <c r="AG468" s="13" t="n"/>
      <c r="AH468" s="13" t="n"/>
      <c r="AI468" s="13" t="n"/>
    </row>
    <row r="469">
      <c r="A469" s="14" t="n">
        <v>202212</v>
      </c>
      <c r="B469" s="15">
        <f>LEFT(creditcard[[#This Row],[YYYYMM]],4)</f>
        <v/>
      </c>
      <c r="C469" s="15">
        <f>RIGHT(creditcard[[#This Row],[YYYYMM]],2)</f>
        <v/>
      </c>
      <c r="D469" s="15">
        <f>IF(RIGHT(creditcard[[#This Row],[YYYYMM]],2)="--","--","Q"&amp;ROUNDUP(VALUE(RIGHT(creditcard[[#This Row],[YYYYMM]],2))/3,0))</f>
        <v/>
      </c>
      <c r="E469" s="15" t="n">
        <v>6</v>
      </c>
      <c r="F469" s="155" t="inlineStr">
        <is>
          <t>星展</t>
        </is>
      </c>
      <c r="G469" s="156" t="inlineStr">
        <is>
          <t>06 星展</t>
        </is>
      </c>
      <c r="H469" s="157" t="n">
        <v>654328</v>
      </c>
      <c r="I469" s="157" t="n">
        <v>332785</v>
      </c>
      <c r="J469" s="157" t="n">
        <v>5436</v>
      </c>
      <c r="K469" s="157" t="n">
        <v>4379</v>
      </c>
      <c r="L469" s="157" t="n">
        <v>1289</v>
      </c>
      <c r="M469" s="16" t="n"/>
      <c r="N469" s="157" t="n">
        <v>4024</v>
      </c>
      <c r="O469" s="16" t="n"/>
      <c r="P469" s="16" t="n"/>
      <c r="Q469" s="17" t="n"/>
      <c r="R469" s="16" t="n"/>
      <c r="S469" s="16" t="n"/>
      <c r="T469" s="16" t="n"/>
      <c r="U469" s="16" t="n"/>
      <c r="V469" s="158" t="n"/>
      <c r="W469" s="16" t="n"/>
      <c r="X469" s="18" t="n"/>
      <c r="Y469" s="18" t="n"/>
      <c r="Z469" s="18" t="n"/>
      <c r="AA469" s="18" t="n"/>
      <c r="AB469" s="18" t="n"/>
      <c r="AC469" s="18" t="n"/>
      <c r="AD469" s="18" t="n"/>
      <c r="AE469" s="18" t="n"/>
      <c r="AF469" s="18" t="n"/>
      <c r="AG469" s="18" t="n"/>
      <c r="AH469" s="18" t="n"/>
      <c r="AI469" s="18" t="n"/>
    </row>
    <row r="470">
      <c r="A470" s="9" t="n">
        <v>202212</v>
      </c>
      <c r="B470" s="10">
        <f>LEFT(creditcard[[#This Row],[YYYYMM]],4)</f>
        <v/>
      </c>
      <c r="C470" s="10">
        <f>RIGHT(creditcard[[#This Row],[YYYYMM]],2)</f>
        <v/>
      </c>
      <c r="D470" s="10">
        <f>IF(RIGHT(creditcard[[#This Row],[YYYYMM]],2)="--","--","Q"&amp;ROUNDUP(VALUE(RIGHT(creditcard[[#This Row],[YYYYMM]],2))/3,0))</f>
        <v/>
      </c>
      <c r="E470" s="10" t="n">
        <v>7</v>
      </c>
      <c r="F470" s="151" t="inlineStr">
        <is>
          <t>聯邦</t>
        </is>
      </c>
      <c r="G470" s="152" t="inlineStr">
        <is>
          <t>07 聯邦</t>
        </is>
      </c>
      <c r="H470" s="153" t="n">
        <v>2431532</v>
      </c>
      <c r="I470" s="153" t="n">
        <v>1378137</v>
      </c>
      <c r="J470" s="153" t="n">
        <v>53973</v>
      </c>
      <c r="K470" s="153" t="n">
        <v>16491</v>
      </c>
      <c r="L470" s="153" t="n">
        <v>5649.247</v>
      </c>
      <c r="M470" s="11" t="n"/>
      <c r="N470" s="153" t="n">
        <v>11209.138</v>
      </c>
      <c r="O470" s="11" t="n"/>
      <c r="P470" s="11" t="n"/>
      <c r="Q470" s="12" t="n"/>
      <c r="R470" s="11" t="n"/>
      <c r="S470" s="11" t="n"/>
      <c r="T470" s="11" t="n"/>
      <c r="U470" s="11" t="n"/>
      <c r="V470" s="154" t="n"/>
      <c r="W470" s="11" t="n"/>
      <c r="X470" s="13" t="n"/>
      <c r="Y470" s="13" t="n"/>
      <c r="Z470" s="13" t="n"/>
      <c r="AA470" s="13" t="n"/>
      <c r="AB470" s="13" t="n"/>
      <c r="AC470" s="13" t="n"/>
      <c r="AD470" s="13" t="n"/>
      <c r="AE470" s="13" t="n"/>
      <c r="AF470" s="13" t="n"/>
      <c r="AG470" s="13" t="n"/>
      <c r="AH470" s="13" t="n"/>
      <c r="AI470" s="13" t="n"/>
    </row>
    <row r="471">
      <c r="A471" s="14" t="n">
        <v>202212</v>
      </c>
      <c r="B471" s="15">
        <f>LEFT(creditcard[[#This Row],[YYYYMM]],4)</f>
        <v/>
      </c>
      <c r="C471" s="15">
        <f>RIGHT(creditcard[[#This Row],[YYYYMM]],2)</f>
        <v/>
      </c>
      <c r="D471" s="15">
        <f>IF(RIGHT(creditcard[[#This Row],[YYYYMM]],2)="--","--","Q"&amp;ROUNDUP(VALUE(RIGHT(creditcard[[#This Row],[YYYYMM]],2))/3,0))</f>
        <v/>
      </c>
      <c r="E471" s="15" t="n">
        <v>8</v>
      </c>
      <c r="F471" s="155" t="inlineStr">
        <is>
          <t>永豐</t>
        </is>
      </c>
      <c r="G471" s="156" t="inlineStr">
        <is>
          <t>08 永豐</t>
        </is>
      </c>
      <c r="H471" s="157" t="n">
        <v>2270707</v>
      </c>
      <c r="I471" s="157" t="n">
        <v>1230621</v>
      </c>
      <c r="J471" s="157" t="n">
        <v>12558</v>
      </c>
      <c r="K471" s="157" t="n">
        <v>7350</v>
      </c>
      <c r="L471" s="157" t="n">
        <v>3914.663</v>
      </c>
      <c r="M471" s="16" t="n"/>
      <c r="N471" s="157" t="n">
        <v>12022.55</v>
      </c>
      <c r="O471" s="16" t="n"/>
      <c r="P471" s="16" t="n"/>
      <c r="Q471" s="17" t="n"/>
      <c r="R471" s="16" t="n"/>
      <c r="S471" s="16" t="n"/>
      <c r="T471" s="16" t="n"/>
      <c r="U471" s="16" t="n"/>
      <c r="V471" s="158" t="n"/>
      <c r="W471" s="16" t="n"/>
      <c r="X471" s="18" t="n"/>
      <c r="Y471" s="18" t="n"/>
      <c r="Z471" s="18" t="n"/>
      <c r="AA471" s="18" t="n"/>
      <c r="AB471" s="18" t="n"/>
      <c r="AC471" s="18" t="n"/>
      <c r="AD471" s="18" t="n"/>
      <c r="AE471" s="18" t="n"/>
      <c r="AF471" s="18" t="n"/>
      <c r="AG471" s="18" t="n"/>
      <c r="AH471" s="18" t="n"/>
      <c r="AI471" s="18" t="n"/>
    </row>
    <row r="472">
      <c r="A472" s="9" t="n">
        <v>202212</v>
      </c>
      <c r="B472" s="10">
        <f>LEFT(creditcard[[#This Row],[YYYYMM]],4)</f>
        <v/>
      </c>
      <c r="C472" s="10">
        <f>RIGHT(creditcard[[#This Row],[YYYYMM]],2)</f>
        <v/>
      </c>
      <c r="D472" s="10">
        <f>IF(RIGHT(creditcard[[#This Row],[YYYYMM]],2)="--","--","Q"&amp;ROUNDUP(VALUE(RIGHT(creditcard[[#This Row],[YYYYMM]],2))/3,0))</f>
        <v/>
      </c>
      <c r="E472" s="10" t="n">
        <v>9</v>
      </c>
      <c r="F472" s="151" t="inlineStr">
        <is>
          <t>第一</t>
        </is>
      </c>
      <c r="G472" s="152" t="inlineStr">
        <is>
          <t>09 第一</t>
        </is>
      </c>
      <c r="H472" s="153" t="n">
        <v>1499813</v>
      </c>
      <c r="I472" s="153" t="n">
        <v>920217</v>
      </c>
      <c r="J472" s="153" t="n">
        <v>14120</v>
      </c>
      <c r="K472" s="153" t="n">
        <v>11124</v>
      </c>
      <c r="L472" s="153" t="n">
        <v>1613</v>
      </c>
      <c r="M472" s="11" t="n"/>
      <c r="N472" s="153" t="n">
        <v>6135</v>
      </c>
      <c r="O472" s="11" t="n"/>
      <c r="P472" s="11" t="n"/>
      <c r="Q472" s="12" t="n"/>
      <c r="R472" s="11" t="n"/>
      <c r="S472" s="11" t="n"/>
      <c r="T472" s="11" t="n"/>
      <c r="U472" s="11" t="n"/>
      <c r="V472" s="154" t="n"/>
      <c r="W472" s="11" t="n"/>
      <c r="X472" s="13" t="n"/>
      <c r="Y472" s="13" t="n"/>
      <c r="Z472" s="13" t="n"/>
      <c r="AA472" s="13" t="n"/>
      <c r="AB472" s="13" t="n"/>
      <c r="AC472" s="13" t="n"/>
      <c r="AD472" s="13" t="n"/>
      <c r="AE472" s="13" t="n"/>
      <c r="AF472" s="13" t="n"/>
      <c r="AG472" s="13" t="n"/>
      <c r="AH472" s="13" t="n"/>
      <c r="AI472" s="13" t="n"/>
    </row>
    <row r="473">
      <c r="A473" s="14" t="n">
        <v>202212</v>
      </c>
      <c r="B473" s="15">
        <f>LEFT(creditcard[[#This Row],[YYYYMM]],4)</f>
        <v/>
      </c>
      <c r="C473" s="15">
        <f>RIGHT(creditcard[[#This Row],[YYYYMM]],2)</f>
        <v/>
      </c>
      <c r="D473" s="15">
        <f>IF(RIGHT(creditcard[[#This Row],[YYYYMM]],2)="--","--","Q"&amp;ROUNDUP(VALUE(RIGHT(creditcard[[#This Row],[YYYYMM]],2))/3,0))</f>
        <v/>
      </c>
      <c r="E473" s="15" t="n">
        <v>10</v>
      </c>
      <c r="F473" s="155" t="inlineStr">
        <is>
          <t>遠東</t>
        </is>
      </c>
      <c r="G473" s="156" t="inlineStr">
        <is>
          <t>10 遠東</t>
        </is>
      </c>
      <c r="H473" s="157" t="n">
        <v>1564859</v>
      </c>
      <c r="I473" s="157" t="n">
        <v>1003019</v>
      </c>
      <c r="J473" s="157" t="n">
        <v>9645</v>
      </c>
      <c r="K473" s="157" t="n">
        <v>18310</v>
      </c>
      <c r="L473" s="157" t="n">
        <v>3659.902</v>
      </c>
      <c r="M473" s="16" t="n"/>
      <c r="N473" s="157" t="n">
        <v>4919.524</v>
      </c>
      <c r="O473" s="16" t="n"/>
      <c r="P473" s="16" t="n"/>
      <c r="Q473" s="17" t="n"/>
      <c r="R473" s="16" t="n"/>
      <c r="S473" s="16" t="n"/>
      <c r="T473" s="16" t="n"/>
      <c r="U473" s="16" t="n"/>
      <c r="V473" s="158" t="n"/>
      <c r="W473" s="16" t="n"/>
      <c r="X473" s="18" t="n"/>
      <c r="Y473" s="18" t="n"/>
      <c r="Z473" s="18" t="n"/>
      <c r="AA473" s="18" t="n"/>
      <c r="AB473" s="18" t="n"/>
      <c r="AC473" s="18" t="n"/>
      <c r="AD473" s="18" t="n"/>
      <c r="AE473" s="18" t="n"/>
      <c r="AF473" s="18" t="n"/>
      <c r="AG473" s="18" t="n"/>
      <c r="AH473" s="18" t="n"/>
      <c r="AI473" s="18" t="n"/>
    </row>
    <row r="474">
      <c r="A474" s="9" t="n">
        <v>202212</v>
      </c>
      <c r="B474" s="10">
        <f>LEFT(creditcard[[#This Row],[YYYYMM]],4)</f>
        <v/>
      </c>
      <c r="C474" s="10">
        <f>RIGHT(creditcard[[#This Row],[YYYYMM]],2)</f>
        <v/>
      </c>
      <c r="D474" s="10">
        <f>IF(RIGHT(creditcard[[#This Row],[YYYYMM]],2)="--","--","Q"&amp;ROUNDUP(VALUE(RIGHT(creditcard[[#This Row],[YYYYMM]],2))/3,0))</f>
        <v/>
      </c>
      <c r="E474" s="10" t="n">
        <v>11</v>
      </c>
      <c r="F474" s="151" t="inlineStr">
        <is>
          <t>市場總計</t>
        </is>
      </c>
      <c r="G474" s="152" t="inlineStr">
        <is>
          <t>11 市場總計</t>
        </is>
      </c>
      <c r="H474" s="153" t="n">
        <v>56243776</v>
      </c>
      <c r="I474" s="153" t="n">
        <v>35597231</v>
      </c>
      <c r="J474" s="153" t="n">
        <v>1472630</v>
      </c>
      <c r="K474" s="153" t="n">
        <v>327649</v>
      </c>
      <c r="L474" s="153" t="n">
        <v>105389.181</v>
      </c>
      <c r="M474" s="11" t="n"/>
      <c r="N474" s="153" t="n">
        <v>333669.343</v>
      </c>
      <c r="O474" s="11" t="n"/>
      <c r="P474" s="11" t="n"/>
      <c r="Q474" s="12" t="n"/>
      <c r="R474" s="11" t="n"/>
      <c r="S474" s="11" t="n"/>
      <c r="T474" s="11" t="n"/>
      <c r="U474" s="11" t="n"/>
      <c r="V474" s="154" t="n">
        <v>4.59</v>
      </c>
      <c r="W474" s="11">
        <f>SUMIFS(H:H,A:A,creditcard[[#This Row],[YYYYMM]],G:G,creditcard[[#This Row],[Item]])</f>
        <v/>
      </c>
      <c r="X474" s="4">
        <f>IFERROR(SUMIFS(H:H,A:A,creditcard[[#This Row],[YYYYMM]],E:E,"&lt;=5")/creditcard[[#This Row],[市場總計]],"")</f>
        <v/>
      </c>
      <c r="Y474" s="4">
        <f>IFERROR(SUMIFS(H:H,A:A,creditcard[[#This Row],[YYYYMM]],E:E,"&lt;=10")/creditcard[[#This Row],[市場總計]],"")</f>
        <v/>
      </c>
      <c r="Z474" s="4">
        <f>IFERROR(SUMIFS(I:I,A:A,creditcard[[#This Row],[YYYYMM]],E:E,"&lt;=5")/creditcard[[#This Row],[有效卡數]],"")</f>
        <v/>
      </c>
      <c r="AA474" s="4">
        <f>IFERROR(SUMIFS(I:I,A:A,creditcard[[#This Row],[YYYYMM]],E:E,"&lt;=10")/creditcard[[#This Row],[有效卡數]],"")</f>
        <v/>
      </c>
      <c r="AB474" s="4">
        <f>IFERROR(SUMIFS(J:J,A:A,creditcard[[#This Row],[YYYYMM]],E:E,"&lt;=5")/creditcard[[#This Row],[當月發卡數]],"")</f>
        <v/>
      </c>
      <c r="AC474" s="4">
        <f>IFERROR(SUMIFS(J:J,A:A,creditcard[[#This Row],[YYYYMM]],E:E,"&lt;=10")/creditcard[[#This Row],[當月發卡數]],"")</f>
        <v/>
      </c>
      <c r="AD474" s="4">
        <f>IFERROR(SUMIFS(K:K,A:A,creditcard[[#This Row],[YYYYMM]],E:E,"&lt;=5")/creditcard[[#This Row],[當月停卡數]],"")</f>
        <v/>
      </c>
      <c r="AE474" s="4">
        <f>IFERROR(SUMIFS(K:K,A:A,creditcard[[#This Row],[YYYYMM]],E:E,"&lt;=10")/creditcard[[#This Row],[當月停卡數]],"")</f>
        <v/>
      </c>
      <c r="AF474" s="4">
        <f>IFERROR(SUMIFS(L:L,A:A,creditcard[[#This Row],[YYYYMM]],E:E,"&lt;=5")/creditcard[[#This Row],[循環信用餘額]],"")</f>
        <v/>
      </c>
      <c r="AG474" s="4">
        <f>IFERROR(SUMIFS(L:L,A:A,creditcard[[#This Row],[YYYYMM]],E:E,"&lt;=10")/creditcard[[#This Row],[循環信用餘額]],"")</f>
        <v/>
      </c>
      <c r="AH474" s="4">
        <f>IFERROR(SUMIFS(N:N,A:A,creditcard[[#This Row],[YYYYMM]],E:E,"&lt;=5")/creditcard[[#This Row],[當月簽帳金額]],"")</f>
        <v/>
      </c>
      <c r="AI474" s="4">
        <f>IFERROR(SUMIFS(N:N,A:A,creditcard[[#This Row],[YYYYMM]],E:E,"&lt;=10")/creditcard[[#This Row],[當月簽帳金額]],"")</f>
        <v/>
      </c>
    </row>
    <row r="475">
      <c r="A475" s="14" t="inlineStr">
        <is>
          <t>2022--</t>
        </is>
      </c>
      <c r="B475" s="15">
        <f>LEFT(creditcard[[#This Row],[YYYYMM]],4)</f>
        <v/>
      </c>
      <c r="C475" s="15">
        <f>RIGHT(creditcard[[#This Row],[YYYYMM]],2)</f>
        <v/>
      </c>
      <c r="D475" s="15">
        <f>IF(RIGHT(creditcard[[#This Row],[YYYYMM]],2)="--","--","Q"&amp;ROUNDUP(VALUE(RIGHT(creditcard[[#This Row],[YYYYMM]],2))/3,0))</f>
        <v/>
      </c>
      <c r="E475" s="15" t="n">
        <v>1</v>
      </c>
      <c r="F475" s="155" t="inlineStr">
        <is>
          <t>中信</t>
        </is>
      </c>
      <c r="G475" s="156" t="inlineStr">
        <is>
          <t>01 中信</t>
        </is>
      </c>
      <c r="H475" s="157" t="n">
        <v>8621651</v>
      </c>
      <c r="I475" s="157" t="n">
        <v>5348747</v>
      </c>
      <c r="J475" s="157" t="n">
        <v>1327163</v>
      </c>
      <c r="K475" s="157" t="n">
        <v>543081</v>
      </c>
      <c r="L475" s="157" t="n">
        <v>15830.624</v>
      </c>
      <c r="M475" s="16" t="n"/>
      <c r="N475" s="157" t="n">
        <v>577505.755</v>
      </c>
      <c r="O475" s="16" t="n"/>
      <c r="P475" s="16" t="n"/>
      <c r="Q475" s="17" t="n"/>
      <c r="R475" s="16" t="n"/>
      <c r="S475" s="16" t="n"/>
      <c r="T475" s="16" t="n"/>
      <c r="U475" s="16" t="n"/>
      <c r="V475" s="158" t="n"/>
      <c r="W475" s="16" t="n"/>
      <c r="X475" s="18" t="n"/>
      <c r="Y475" s="18" t="n"/>
      <c r="Z475" s="18" t="n"/>
      <c r="AA475" s="18" t="n"/>
      <c r="AB475" s="18" t="n"/>
      <c r="AC475" s="18" t="n"/>
      <c r="AD475" s="18" t="n"/>
      <c r="AE475" s="18" t="n"/>
      <c r="AF475" s="18" t="n"/>
      <c r="AG475" s="18" t="n"/>
      <c r="AH475" s="18" t="n"/>
      <c r="AI475" s="18" t="n"/>
    </row>
    <row r="476">
      <c r="A476" s="9" t="inlineStr">
        <is>
          <t>2022--</t>
        </is>
      </c>
      <c r="B476" s="10">
        <f>LEFT(creditcard[[#This Row],[YYYYMM]],4)</f>
        <v/>
      </c>
      <c r="C476" s="10">
        <f>RIGHT(creditcard[[#This Row],[YYYYMM]],2)</f>
        <v/>
      </c>
      <c r="D476" s="10">
        <f>IF(RIGHT(creditcard[[#This Row],[YYYYMM]],2)="--","--","Q"&amp;ROUNDUP(VALUE(RIGHT(creditcard[[#This Row],[YYYYMM]],2))/3,0))</f>
        <v/>
      </c>
      <c r="E476" s="10" t="n">
        <v>2</v>
      </c>
      <c r="F476" s="151" t="inlineStr">
        <is>
          <t>富邦</t>
        </is>
      </c>
      <c r="G476" s="152" t="inlineStr">
        <is>
          <t>02 富邦</t>
        </is>
      </c>
      <c r="H476" s="153" t="n">
        <v>4792362</v>
      </c>
      <c r="I476" s="153" t="n">
        <v>3276910</v>
      </c>
      <c r="J476" s="153" t="n">
        <v>745362</v>
      </c>
      <c r="K476" s="153" t="n">
        <v>194447</v>
      </c>
      <c r="L476" s="153" t="n">
        <v>6561.462</v>
      </c>
      <c r="M476" s="11" t="n"/>
      <c r="N476" s="153" t="n">
        <v>350075.45</v>
      </c>
      <c r="O476" s="11" t="n"/>
      <c r="P476" s="11" t="n"/>
      <c r="Q476" s="12" t="n"/>
      <c r="R476" s="11" t="n"/>
      <c r="S476" s="11" t="n"/>
      <c r="T476" s="11" t="n"/>
      <c r="U476" s="11" t="n"/>
      <c r="V476" s="154" t="n"/>
      <c r="W476" s="11" t="n"/>
      <c r="X476" s="13" t="n"/>
      <c r="Y476" s="13" t="n"/>
      <c r="Z476" s="13" t="n"/>
      <c r="AA476" s="13" t="n"/>
      <c r="AB476" s="13" t="n"/>
      <c r="AC476" s="13" t="n"/>
      <c r="AD476" s="13" t="n"/>
      <c r="AE476" s="13" t="n"/>
      <c r="AF476" s="13" t="n"/>
      <c r="AG476" s="13" t="n"/>
      <c r="AH476" s="13" t="n"/>
      <c r="AI476" s="13" t="n"/>
    </row>
    <row r="477">
      <c r="A477" s="14" t="inlineStr">
        <is>
          <t>2022--</t>
        </is>
      </c>
      <c r="B477" s="15">
        <f>LEFT(creditcard[[#This Row],[YYYYMM]],4)</f>
        <v/>
      </c>
      <c r="C477" s="15">
        <f>RIGHT(creditcard[[#This Row],[YYYYMM]],2)</f>
        <v/>
      </c>
      <c r="D477" s="15">
        <f>IF(RIGHT(creditcard[[#This Row],[YYYYMM]],2)="--","--","Q"&amp;ROUNDUP(VALUE(RIGHT(creditcard[[#This Row],[YYYYMM]],2))/3,0))</f>
        <v/>
      </c>
      <c r="E477" s="15" t="n">
        <v>3</v>
      </c>
      <c r="F477" s="155" t="inlineStr">
        <is>
          <t>國泰</t>
        </is>
      </c>
      <c r="G477" s="156" t="inlineStr">
        <is>
          <t>03 國泰</t>
        </is>
      </c>
      <c r="H477" s="157" t="n">
        <v>8812536</v>
      </c>
      <c r="I477" s="157" t="n">
        <v>5779361</v>
      </c>
      <c r="J477" s="157" t="n">
        <v>1611908</v>
      </c>
      <c r="K477" s="157" t="n">
        <v>403828</v>
      </c>
      <c r="L477" s="157" t="n">
        <v>18929.343</v>
      </c>
      <c r="M477" s="16" t="n"/>
      <c r="N477" s="157" t="n">
        <v>580026.949</v>
      </c>
      <c r="O477" s="16" t="n"/>
      <c r="P477" s="16" t="n"/>
      <c r="Q477" s="17" t="n"/>
      <c r="R477" s="16" t="n"/>
      <c r="S477" s="16" t="n"/>
      <c r="T477" s="16" t="n"/>
      <c r="U477" s="16" t="n"/>
      <c r="V477" s="158" t="n"/>
      <c r="W477" s="16" t="n"/>
      <c r="X477" s="18" t="n"/>
      <c r="Y477" s="18" t="n"/>
      <c r="Z477" s="18" t="n"/>
      <c r="AA477" s="18" t="n"/>
      <c r="AB477" s="18" t="n"/>
      <c r="AC477" s="18" t="n"/>
      <c r="AD477" s="18" t="n"/>
      <c r="AE477" s="18" t="n"/>
      <c r="AF477" s="18" t="n"/>
      <c r="AG477" s="18" t="n"/>
      <c r="AH477" s="18" t="n"/>
      <c r="AI477" s="18" t="n"/>
    </row>
    <row r="478">
      <c r="A478" s="14" t="inlineStr">
        <is>
          <t>2022--</t>
        </is>
      </c>
      <c r="B478" s="15">
        <f>LEFT(creditcard[[#This Row],[YYYYMM]],4)</f>
        <v/>
      </c>
      <c r="C478" s="15">
        <f>RIGHT(creditcard[[#This Row],[YYYYMM]],2)</f>
        <v/>
      </c>
      <c r="D478" s="15">
        <f>IF(RIGHT(creditcard[[#This Row],[YYYYMM]],2)="--","--","Q"&amp;ROUNDUP(VALUE(RIGHT(creditcard[[#This Row],[YYYYMM]],2))/3,0))</f>
        <v/>
      </c>
      <c r="E478" s="10" t="n">
        <v>4</v>
      </c>
      <c r="F478" s="151" t="inlineStr">
        <is>
          <t>玉山</t>
        </is>
      </c>
      <c r="G478" s="152" t="inlineStr">
        <is>
          <t>04 玉山</t>
        </is>
      </c>
      <c r="H478" s="153" t="n">
        <v>6891298</v>
      </c>
      <c r="I478" s="153" t="n">
        <v>4691885</v>
      </c>
      <c r="J478" s="153" t="n">
        <v>567651</v>
      </c>
      <c r="K478" s="153" t="n">
        <v>300439</v>
      </c>
      <c r="L478" s="153" t="n">
        <v>13302.513</v>
      </c>
      <c r="M478" s="11" t="n"/>
      <c r="N478" s="153" t="n">
        <v>482510.43</v>
      </c>
      <c r="O478" s="11" t="n"/>
      <c r="P478" s="11" t="n"/>
      <c r="Q478" s="12" t="n"/>
      <c r="R478" s="11" t="n"/>
      <c r="S478" s="11" t="n"/>
      <c r="T478" s="11" t="n"/>
      <c r="U478" s="11" t="n"/>
      <c r="V478" s="154" t="n"/>
      <c r="W478" s="11" t="n"/>
      <c r="X478" s="13" t="n"/>
      <c r="Y478" s="13" t="n"/>
      <c r="Z478" s="13" t="n"/>
      <c r="AA478" s="13" t="n"/>
      <c r="AB478" s="13" t="n"/>
      <c r="AC478" s="13" t="n"/>
      <c r="AD478" s="13" t="n"/>
      <c r="AE478" s="13" t="n"/>
      <c r="AF478" s="13" t="n"/>
      <c r="AG478" s="13" t="n"/>
      <c r="AH478" s="13" t="n"/>
      <c r="AI478" s="13" t="n"/>
    </row>
    <row r="479">
      <c r="A479" s="9" t="inlineStr">
        <is>
          <t>2022--</t>
        </is>
      </c>
      <c r="B479" s="10">
        <f>LEFT(creditcard[[#This Row],[YYYYMM]],4)</f>
        <v/>
      </c>
      <c r="C479" s="10">
        <f>RIGHT(creditcard[[#This Row],[YYYYMM]],2)</f>
        <v/>
      </c>
      <c r="D479" s="10">
        <f>IF(RIGHT(creditcard[[#This Row],[YYYYMM]],2)="--","--","Q"&amp;ROUNDUP(VALUE(RIGHT(creditcard[[#This Row],[YYYYMM]],2))/3,0))</f>
        <v/>
      </c>
      <c r="E479" s="15" t="n">
        <v>5</v>
      </c>
      <c r="F479" s="155" t="inlineStr">
        <is>
          <t>台新</t>
        </is>
      </c>
      <c r="G479" s="156" t="inlineStr">
        <is>
          <t>05 台新</t>
        </is>
      </c>
      <c r="H479" s="157" t="n">
        <v>6300278</v>
      </c>
      <c r="I479" s="157" t="n">
        <v>4261132</v>
      </c>
      <c r="J479" s="157" t="n">
        <v>656698</v>
      </c>
      <c r="K479" s="157" t="n">
        <v>414490</v>
      </c>
      <c r="L479" s="157" t="n">
        <v>10185.763</v>
      </c>
      <c r="M479" s="16" t="n"/>
      <c r="N479" s="157" t="n">
        <v>382467.944</v>
      </c>
      <c r="O479" s="16" t="n"/>
      <c r="P479" s="16" t="n"/>
      <c r="Q479" s="17" t="n"/>
      <c r="R479" s="16" t="n"/>
      <c r="S479" s="16" t="n"/>
      <c r="T479" s="16" t="n"/>
      <c r="U479" s="16" t="n"/>
      <c r="V479" s="158" t="n"/>
      <c r="W479" s="16" t="n"/>
      <c r="X479" s="18" t="n"/>
      <c r="Y479" s="18" t="n"/>
      <c r="Z479" s="18" t="n"/>
      <c r="AA479" s="18" t="n"/>
      <c r="AB479" s="18" t="n"/>
      <c r="AC479" s="18" t="n"/>
      <c r="AD479" s="18" t="n"/>
      <c r="AE479" s="18" t="n"/>
      <c r="AF479" s="18" t="n"/>
      <c r="AG479" s="18" t="n"/>
      <c r="AH479" s="18" t="n"/>
      <c r="AI479" s="18" t="n"/>
    </row>
    <row r="480">
      <c r="A480" s="14" t="inlineStr">
        <is>
          <t>2022--</t>
        </is>
      </c>
      <c r="B480" s="15">
        <f>LEFT(creditcard[[#This Row],[YYYYMM]],4)</f>
        <v/>
      </c>
      <c r="C480" s="15">
        <f>RIGHT(creditcard[[#This Row],[YYYYMM]],2)</f>
        <v/>
      </c>
      <c r="D480" s="15">
        <f>IF(RIGHT(creditcard[[#This Row],[YYYYMM]],2)="--","--","Q"&amp;ROUNDUP(VALUE(RIGHT(creditcard[[#This Row],[YYYYMM]],2))/3,0))</f>
        <v/>
      </c>
      <c r="E480" s="10" t="n">
        <v>6</v>
      </c>
      <c r="F480" s="151" t="inlineStr">
        <is>
          <t>星展</t>
        </is>
      </c>
      <c r="G480" s="152" t="inlineStr">
        <is>
          <t>06 星展</t>
        </is>
      </c>
      <c r="H480" s="153" t="n">
        <v>654328</v>
      </c>
      <c r="I480" s="153" t="n">
        <v>332785</v>
      </c>
      <c r="J480" s="153" t="n">
        <v>62731</v>
      </c>
      <c r="K480" s="153" t="n">
        <v>47015</v>
      </c>
      <c r="L480" s="153" t="n">
        <v>1289</v>
      </c>
      <c r="M480" s="11" t="n"/>
      <c r="N480" s="153" t="n">
        <v>40320</v>
      </c>
      <c r="O480" s="11" t="n"/>
      <c r="P480" s="11" t="n"/>
      <c r="Q480" s="12" t="n"/>
      <c r="R480" s="11" t="n"/>
      <c r="S480" s="11" t="n"/>
      <c r="T480" s="11" t="n"/>
      <c r="U480" s="11" t="n"/>
      <c r="V480" s="154" t="n"/>
      <c r="W480" s="11" t="n"/>
      <c r="X480" s="13" t="n"/>
      <c r="Y480" s="13" t="n"/>
      <c r="Z480" s="13" t="n"/>
      <c r="AA480" s="13" t="n"/>
      <c r="AB480" s="13" t="n"/>
      <c r="AC480" s="13" t="n"/>
      <c r="AD480" s="13" t="n"/>
      <c r="AE480" s="13" t="n"/>
      <c r="AF480" s="13" t="n"/>
      <c r="AG480" s="13" t="n"/>
      <c r="AH480" s="13" t="n"/>
      <c r="AI480" s="13" t="n"/>
    </row>
    <row r="481">
      <c r="A481" s="14" t="inlineStr">
        <is>
          <t>2022--</t>
        </is>
      </c>
      <c r="B481" s="15">
        <f>LEFT(creditcard[[#This Row],[YYYYMM]],4)</f>
        <v/>
      </c>
      <c r="C481" s="15">
        <f>RIGHT(creditcard[[#This Row],[YYYYMM]],2)</f>
        <v/>
      </c>
      <c r="D481" s="15">
        <f>IF(RIGHT(creditcard[[#This Row],[YYYYMM]],2)="--","--","Q"&amp;ROUNDUP(VALUE(RIGHT(creditcard[[#This Row],[YYYYMM]],2))/3,0))</f>
        <v/>
      </c>
      <c r="E481" s="15" t="n">
        <v>7</v>
      </c>
      <c r="F481" s="155" t="inlineStr">
        <is>
          <t>聯邦</t>
        </is>
      </c>
      <c r="G481" s="156" t="inlineStr">
        <is>
          <t>07 聯邦</t>
        </is>
      </c>
      <c r="H481" s="157" t="n">
        <v>2431532</v>
      </c>
      <c r="I481" s="157" t="n">
        <v>1378137</v>
      </c>
      <c r="J481" s="157" t="n">
        <v>361077</v>
      </c>
      <c r="K481" s="157" t="n">
        <v>184994</v>
      </c>
      <c r="L481" s="157" t="n">
        <v>5649.247</v>
      </c>
      <c r="M481" s="16" t="n"/>
      <c r="N481" s="157" t="n">
        <v>112536.194</v>
      </c>
      <c r="O481" s="16" t="n"/>
      <c r="P481" s="16" t="n"/>
      <c r="Q481" s="17" t="n"/>
      <c r="R481" s="16" t="n"/>
      <c r="S481" s="16" t="n"/>
      <c r="T481" s="16" t="n"/>
      <c r="U481" s="16" t="n"/>
      <c r="V481" s="158" t="n"/>
      <c r="W481" s="16" t="n"/>
      <c r="X481" s="18" t="n"/>
      <c r="Y481" s="18" t="n"/>
      <c r="Z481" s="18" t="n"/>
      <c r="AA481" s="18" t="n"/>
      <c r="AB481" s="18" t="n"/>
      <c r="AC481" s="18" t="n"/>
      <c r="AD481" s="18" t="n"/>
      <c r="AE481" s="18" t="n"/>
      <c r="AF481" s="18" t="n"/>
      <c r="AG481" s="18" t="n"/>
      <c r="AH481" s="18" t="n"/>
      <c r="AI481" s="18" t="n"/>
    </row>
    <row r="482">
      <c r="A482" s="9" t="inlineStr">
        <is>
          <t>2022--</t>
        </is>
      </c>
      <c r="B482" s="10">
        <f>LEFT(creditcard[[#This Row],[YYYYMM]],4)</f>
        <v/>
      </c>
      <c r="C482" s="10">
        <f>RIGHT(creditcard[[#This Row],[YYYYMM]],2)</f>
        <v/>
      </c>
      <c r="D482" s="10">
        <f>IF(RIGHT(creditcard[[#This Row],[YYYYMM]],2)="--","--","Q"&amp;ROUNDUP(VALUE(RIGHT(creditcard[[#This Row],[YYYYMM]],2))/3,0))</f>
        <v/>
      </c>
      <c r="E482" s="10" t="n">
        <v>8</v>
      </c>
      <c r="F482" s="151" t="inlineStr">
        <is>
          <t>永豐</t>
        </is>
      </c>
      <c r="G482" s="152" t="inlineStr">
        <is>
          <t>08 永豐</t>
        </is>
      </c>
      <c r="H482" s="153" t="n">
        <v>2270707</v>
      </c>
      <c r="I482" s="153" t="n">
        <v>1230621</v>
      </c>
      <c r="J482" s="153" t="n">
        <v>201894</v>
      </c>
      <c r="K482" s="153" t="n">
        <v>106003</v>
      </c>
      <c r="L482" s="153" t="n">
        <v>3914.663</v>
      </c>
      <c r="M482" s="11" t="n"/>
      <c r="N482" s="153" t="n">
        <v>129501.262</v>
      </c>
      <c r="O482" s="11" t="n"/>
      <c r="P482" s="11" t="n"/>
      <c r="Q482" s="12" t="n"/>
      <c r="R482" s="11" t="n"/>
      <c r="S482" s="11" t="n"/>
      <c r="T482" s="11" t="n"/>
      <c r="U482" s="11" t="n"/>
      <c r="V482" s="154" t="n"/>
      <c r="W482" s="11" t="n"/>
      <c r="X482" s="13" t="n"/>
      <c r="Y482" s="13" t="n"/>
      <c r="Z482" s="13" t="n"/>
      <c r="AA482" s="13" t="n"/>
      <c r="AB482" s="13" t="n"/>
      <c r="AC482" s="13" t="n"/>
      <c r="AD482" s="13" t="n"/>
      <c r="AE482" s="13" t="n"/>
      <c r="AF482" s="13" t="n"/>
      <c r="AG482" s="13" t="n"/>
      <c r="AH482" s="13" t="n"/>
      <c r="AI482" s="13" t="n"/>
    </row>
    <row r="483">
      <c r="A483" s="14" t="inlineStr">
        <is>
          <t>2022--</t>
        </is>
      </c>
      <c r="B483" s="15">
        <f>LEFT(creditcard[[#This Row],[YYYYMM]],4)</f>
        <v/>
      </c>
      <c r="C483" s="15">
        <f>RIGHT(creditcard[[#This Row],[YYYYMM]],2)</f>
        <v/>
      </c>
      <c r="D483" s="15">
        <f>IF(RIGHT(creditcard[[#This Row],[YYYYMM]],2)="--","--","Q"&amp;ROUNDUP(VALUE(RIGHT(creditcard[[#This Row],[YYYYMM]],2))/3,0))</f>
        <v/>
      </c>
      <c r="E483" s="15" t="n">
        <v>9</v>
      </c>
      <c r="F483" s="155" t="inlineStr">
        <is>
          <t>第一</t>
        </is>
      </c>
      <c r="G483" s="156" t="inlineStr">
        <is>
          <t>09 第一</t>
        </is>
      </c>
      <c r="H483" s="157" t="n">
        <v>1499813</v>
      </c>
      <c r="I483" s="157" t="n">
        <v>920217</v>
      </c>
      <c r="J483" s="157" t="n">
        <v>197987</v>
      </c>
      <c r="K483" s="157" t="n">
        <v>125802</v>
      </c>
      <c r="L483" s="157" t="n">
        <v>1613</v>
      </c>
      <c r="M483" s="16" t="n"/>
      <c r="N483" s="157" t="n">
        <v>65764</v>
      </c>
      <c r="O483" s="16" t="n"/>
      <c r="P483" s="16" t="n"/>
      <c r="Q483" s="17" t="n"/>
      <c r="R483" s="16" t="n"/>
      <c r="S483" s="16" t="n"/>
      <c r="T483" s="16" t="n"/>
      <c r="U483" s="16" t="n"/>
      <c r="V483" s="158" t="n"/>
      <c r="W483" s="16" t="n"/>
      <c r="X483" s="18" t="n"/>
      <c r="Y483" s="18" t="n"/>
      <c r="Z483" s="18" t="n"/>
      <c r="AA483" s="18" t="n"/>
      <c r="AB483" s="18" t="n"/>
      <c r="AC483" s="18" t="n"/>
      <c r="AD483" s="18" t="n"/>
      <c r="AE483" s="18" t="n"/>
      <c r="AF483" s="18" t="n"/>
      <c r="AG483" s="18" t="n"/>
      <c r="AH483" s="18" t="n"/>
      <c r="AI483" s="18" t="n"/>
    </row>
    <row r="484">
      <c r="A484" s="14" t="inlineStr">
        <is>
          <t>2022--</t>
        </is>
      </c>
      <c r="B484" s="15">
        <f>LEFT(creditcard[[#This Row],[YYYYMM]],4)</f>
        <v/>
      </c>
      <c r="C484" s="15">
        <f>RIGHT(creditcard[[#This Row],[YYYYMM]],2)</f>
        <v/>
      </c>
      <c r="D484" s="15">
        <f>IF(RIGHT(creditcard[[#This Row],[YYYYMM]],2)="--","--","Q"&amp;ROUNDUP(VALUE(RIGHT(creditcard[[#This Row],[YYYYMM]],2))/3,0))</f>
        <v/>
      </c>
      <c r="E484" s="10" t="n">
        <v>10</v>
      </c>
      <c r="F484" s="151" t="inlineStr">
        <is>
          <t>遠東</t>
        </is>
      </c>
      <c r="G484" s="152" t="inlineStr">
        <is>
          <t>10 遠東</t>
        </is>
      </c>
      <c r="H484" s="153" t="n">
        <v>1564859</v>
      </c>
      <c r="I484" s="153" t="n">
        <v>1003019</v>
      </c>
      <c r="J484" s="153" t="n">
        <v>146244</v>
      </c>
      <c r="K484" s="153" t="n">
        <v>129607</v>
      </c>
      <c r="L484" s="153" t="n">
        <v>3659.902</v>
      </c>
      <c r="M484" s="11" t="n"/>
      <c r="N484" s="153" t="n">
        <v>51552.882</v>
      </c>
      <c r="O484" s="11" t="n"/>
      <c r="P484" s="11" t="n"/>
      <c r="Q484" s="12" t="n"/>
      <c r="R484" s="11" t="n"/>
      <c r="S484" s="11" t="n"/>
      <c r="T484" s="11" t="n"/>
      <c r="U484" s="11" t="n"/>
      <c r="V484" s="154" t="n"/>
      <c r="W484" s="11" t="n"/>
      <c r="X484" s="13" t="n"/>
      <c r="Y484" s="13" t="n"/>
      <c r="Z484" s="13" t="n"/>
      <c r="AA484" s="13" t="n"/>
      <c r="AB484" s="13" t="n"/>
      <c r="AC484" s="13" t="n"/>
      <c r="AD484" s="13" t="n"/>
      <c r="AE484" s="13" t="n"/>
      <c r="AF484" s="13" t="n"/>
      <c r="AG484" s="13" t="n"/>
      <c r="AH484" s="13" t="n"/>
      <c r="AI484" s="13" t="n"/>
    </row>
    <row r="485">
      <c r="A485" s="9" t="inlineStr">
        <is>
          <t>2022--</t>
        </is>
      </c>
      <c r="B485" s="10">
        <f>LEFT(creditcard[[#This Row],[YYYYMM]],4)</f>
        <v/>
      </c>
      <c r="C485" s="10">
        <f>RIGHT(creditcard[[#This Row],[YYYYMM]],2)</f>
        <v/>
      </c>
      <c r="D485" s="10">
        <f>IF(RIGHT(creditcard[[#This Row],[YYYYMM]],2)="--","--","Q"&amp;ROUNDUP(VALUE(RIGHT(creditcard[[#This Row],[YYYYMM]],2))/3,0))</f>
        <v/>
      </c>
      <c r="E485" s="15" t="n">
        <v>11</v>
      </c>
      <c r="F485" s="155" t="inlineStr">
        <is>
          <t>市場總計</t>
        </is>
      </c>
      <c r="G485" s="156" t="inlineStr">
        <is>
          <t>11 市場總計</t>
        </is>
      </c>
      <c r="H485" s="157" t="n">
        <v>56243776</v>
      </c>
      <c r="I485" s="157" t="n">
        <v>35597231</v>
      </c>
      <c r="J485" s="157" t="n">
        <v>7058011</v>
      </c>
      <c r="K485" s="157" t="n">
        <v>3574034</v>
      </c>
      <c r="L485" s="157" t="n">
        <v>105389.181</v>
      </c>
      <c r="M485" s="16" t="n"/>
      <c r="N485" s="157" t="n">
        <v>3478657.786</v>
      </c>
      <c r="O485" s="16" t="n"/>
      <c r="P485" s="16" t="n"/>
      <c r="Q485" s="17" t="n"/>
      <c r="R485" s="16" t="n"/>
      <c r="S485" s="16" t="n"/>
      <c r="T485" s="16" t="n"/>
      <c r="U485" s="16" t="n"/>
      <c r="V485" s="158" t="n">
        <v>4.59</v>
      </c>
      <c r="W485" s="16">
        <f>SUMIFS(H:H,A:A,creditcard[[#This Row],[YYYYMM]],G:G,creditcard[[#This Row],[Item]])</f>
        <v/>
      </c>
      <c r="X485" s="4">
        <f>IFERROR(SUMIFS(H:H,A:A,creditcard[[#This Row],[YYYYMM]],E:E,"&lt;=5")/creditcard[[#This Row],[市場總計]],"")</f>
        <v/>
      </c>
      <c r="Y485" s="4">
        <f>IFERROR(SUMIFS(H:H,A:A,creditcard[[#This Row],[YYYYMM]],E:E,"&lt;=10")/creditcard[[#This Row],[市場總計]],"")</f>
        <v/>
      </c>
      <c r="Z485" s="4">
        <f>IFERROR(SUMIFS(I:I,A:A,creditcard[[#This Row],[YYYYMM]],E:E,"&lt;=5")/creditcard[[#This Row],[有效卡數]],"")</f>
        <v/>
      </c>
      <c r="AA485" s="4">
        <f>IFERROR(SUMIFS(I:I,A:A,creditcard[[#This Row],[YYYYMM]],E:E,"&lt;=10")/creditcard[[#This Row],[有效卡數]],"")</f>
        <v/>
      </c>
      <c r="AB485" s="4">
        <f>IFERROR(SUMIFS(J:J,A:A,creditcard[[#This Row],[YYYYMM]],E:E,"&lt;=5")/creditcard[[#This Row],[當月發卡數]],"")</f>
        <v/>
      </c>
      <c r="AC485" s="4">
        <f>IFERROR(SUMIFS(J:J,A:A,creditcard[[#This Row],[YYYYMM]],E:E,"&lt;=10")/creditcard[[#This Row],[當月發卡數]],"")</f>
        <v/>
      </c>
      <c r="AD485" s="4">
        <f>IFERROR(SUMIFS(K:K,A:A,creditcard[[#This Row],[YYYYMM]],E:E,"&lt;=5")/creditcard[[#This Row],[當月停卡數]],"")</f>
        <v/>
      </c>
      <c r="AE485" s="4">
        <f>IFERROR(SUMIFS(K:K,A:A,creditcard[[#This Row],[YYYYMM]],E:E,"&lt;=10")/creditcard[[#This Row],[當月停卡數]],"")</f>
        <v/>
      </c>
      <c r="AF485" s="4">
        <f>IFERROR(SUMIFS(L:L,A:A,creditcard[[#This Row],[YYYYMM]],E:E,"&lt;=5")/creditcard[[#This Row],[循環信用餘額]],"")</f>
        <v/>
      </c>
      <c r="AG485" s="4">
        <f>IFERROR(SUMIFS(L:L,A:A,creditcard[[#This Row],[YYYYMM]],E:E,"&lt;=10")/creditcard[[#This Row],[循環信用餘額]],"")</f>
        <v/>
      </c>
      <c r="AH485" s="4">
        <f>IFERROR(SUMIFS(N:N,A:A,creditcard[[#This Row],[YYYYMM]],E:E,"&lt;=5")/creditcard[[#This Row],[當月簽帳金額]],"")</f>
        <v/>
      </c>
      <c r="AI485" s="4">
        <f>IFERROR(SUMIFS(N:N,A:A,creditcard[[#This Row],[YYYYMM]],E:E,"&lt;=10")/creditcard[[#This Row],[當月簽帳金額]],"")</f>
        <v/>
      </c>
    </row>
    <row r="486">
      <c r="A486" s="9" t="n">
        <v>202301</v>
      </c>
      <c r="B486" s="10">
        <f>LEFT(creditcard[[#This Row],[YYYYMM]],4)</f>
        <v/>
      </c>
      <c r="C486" s="10">
        <f>RIGHT(creditcard[[#This Row],[YYYYMM]],2)</f>
        <v/>
      </c>
      <c r="D486" s="10">
        <f>IF(RIGHT(creditcard[[#This Row],[YYYYMM]],2)="--","--","Q"&amp;ROUNDUP(VALUE(RIGHT(creditcard[[#This Row],[YYYYMM]],2))/3,0))</f>
        <v/>
      </c>
      <c r="E486" s="10" t="n">
        <v>1</v>
      </c>
      <c r="F486" s="151" t="inlineStr">
        <is>
          <t>中信</t>
        </is>
      </c>
      <c r="G486" s="152" t="inlineStr">
        <is>
          <t>01 中信</t>
        </is>
      </c>
      <c r="H486" s="153" t="n">
        <v>8512764</v>
      </c>
      <c r="I486" s="153" t="n">
        <v>5372346</v>
      </c>
      <c r="J486" s="153" t="n">
        <v>92625</v>
      </c>
      <c r="K486" s="153" t="n">
        <v>201512</v>
      </c>
      <c r="L486" s="153" t="n">
        <v>15887.082</v>
      </c>
      <c r="M486" s="11" t="n"/>
      <c r="N486" s="153" t="n">
        <v>51128.314</v>
      </c>
      <c r="O486" s="11" t="n"/>
      <c r="P486" s="11" t="n"/>
      <c r="Q486" s="12" t="n"/>
      <c r="R486" s="11" t="n"/>
      <c r="S486" s="11" t="n"/>
      <c r="T486" s="11" t="n"/>
      <c r="U486" s="11" t="n"/>
      <c r="V486" s="154" t="n"/>
      <c r="W486" s="11" t="n"/>
      <c r="X486" s="13" t="n"/>
      <c r="Y486" s="13" t="n"/>
      <c r="Z486" s="13" t="n"/>
      <c r="AA486" s="13" t="n"/>
      <c r="AB486" s="13" t="n"/>
      <c r="AC486" s="13" t="n"/>
      <c r="AD486" s="13" t="n"/>
      <c r="AE486" s="13" t="n"/>
      <c r="AF486" s="13" t="n"/>
      <c r="AG486" s="13" t="n"/>
      <c r="AH486" s="13" t="n"/>
      <c r="AI486" s="13" t="n"/>
    </row>
    <row r="487">
      <c r="A487" s="14" t="n">
        <v>202301</v>
      </c>
      <c r="B487" s="15">
        <f>LEFT(creditcard[[#This Row],[YYYYMM]],4)</f>
        <v/>
      </c>
      <c r="C487" s="15">
        <f>RIGHT(creditcard[[#This Row],[YYYYMM]],2)</f>
        <v/>
      </c>
      <c r="D487" s="15">
        <f>IF(RIGHT(creditcard[[#This Row],[YYYYMM]],2)="--","--","Q"&amp;ROUNDUP(VALUE(RIGHT(creditcard[[#This Row],[YYYYMM]],2))/3,0))</f>
        <v/>
      </c>
      <c r="E487" s="15" t="n">
        <v>2</v>
      </c>
      <c r="F487" s="155" t="inlineStr">
        <is>
          <t>富邦</t>
        </is>
      </c>
      <c r="G487" s="156" t="inlineStr">
        <is>
          <t>02 富邦</t>
        </is>
      </c>
      <c r="H487" s="157" t="n">
        <v>4822013</v>
      </c>
      <c r="I487" s="157" t="n">
        <v>3307283</v>
      </c>
      <c r="J487" s="157" t="n">
        <v>46377</v>
      </c>
      <c r="K487" s="157" t="n">
        <v>16726</v>
      </c>
      <c r="L487" s="157" t="n">
        <v>6655.183</v>
      </c>
      <c r="M487" s="16" t="n"/>
      <c r="N487" s="157" t="n">
        <v>30801.191</v>
      </c>
      <c r="O487" s="16" t="n"/>
      <c r="P487" s="16" t="n"/>
      <c r="Q487" s="17" t="n"/>
      <c r="R487" s="16" t="n"/>
      <c r="S487" s="16" t="n"/>
      <c r="T487" s="16" t="n"/>
      <c r="U487" s="16" t="n"/>
      <c r="V487" s="158" t="n"/>
      <c r="W487" s="16" t="n"/>
      <c r="X487" s="18" t="n"/>
      <c r="Y487" s="18" t="n"/>
      <c r="Z487" s="18" t="n"/>
      <c r="AA487" s="18" t="n"/>
      <c r="AB487" s="18" t="n"/>
      <c r="AC487" s="18" t="n"/>
      <c r="AD487" s="18" t="n"/>
      <c r="AE487" s="18" t="n"/>
      <c r="AF487" s="18" t="n"/>
      <c r="AG487" s="18" t="n"/>
      <c r="AH487" s="18" t="n"/>
      <c r="AI487" s="18" t="n"/>
    </row>
    <row r="488">
      <c r="A488" s="9" t="n">
        <v>202301</v>
      </c>
      <c r="B488" s="10">
        <f>LEFT(creditcard[[#This Row],[YYYYMM]],4)</f>
        <v/>
      </c>
      <c r="C488" s="10">
        <f>RIGHT(creditcard[[#This Row],[YYYYMM]],2)</f>
        <v/>
      </c>
      <c r="D488" s="10">
        <f>IF(RIGHT(creditcard[[#This Row],[YYYYMM]],2)="--","--","Q"&amp;ROUNDUP(VALUE(RIGHT(creditcard[[#This Row],[YYYYMM]],2))/3,0))</f>
        <v/>
      </c>
      <c r="E488" s="10" t="n">
        <v>3</v>
      </c>
      <c r="F488" s="151" t="inlineStr">
        <is>
          <t>國泰</t>
        </is>
      </c>
      <c r="G488" s="152" t="inlineStr">
        <is>
          <t>03 國泰</t>
        </is>
      </c>
      <c r="H488" s="153" t="n">
        <v>9232795</v>
      </c>
      <c r="I488" s="153" t="n">
        <v>5994465</v>
      </c>
      <c r="J488" s="153" t="n">
        <v>502672</v>
      </c>
      <c r="K488" s="153" t="n">
        <v>82413</v>
      </c>
      <c r="L488" s="153" t="n">
        <v>17748.484</v>
      </c>
      <c r="M488" s="11" t="n"/>
      <c r="N488" s="153" t="n">
        <v>54289.017</v>
      </c>
      <c r="O488" s="11" t="n"/>
      <c r="P488" s="11" t="n"/>
      <c r="Q488" s="12" t="n"/>
      <c r="R488" s="11" t="n"/>
      <c r="S488" s="11" t="n"/>
      <c r="T488" s="11" t="n"/>
      <c r="U488" s="11" t="n"/>
      <c r="V488" s="154" t="n"/>
      <c r="W488" s="11" t="n"/>
      <c r="X488" s="13" t="n"/>
      <c r="Y488" s="13" t="n"/>
      <c r="Z488" s="13" t="n"/>
      <c r="AA488" s="13" t="n"/>
      <c r="AB488" s="13" t="n"/>
      <c r="AC488" s="13" t="n"/>
      <c r="AD488" s="13" t="n"/>
      <c r="AE488" s="13" t="n"/>
      <c r="AF488" s="13" t="n"/>
      <c r="AG488" s="13" t="n"/>
      <c r="AH488" s="13" t="n"/>
      <c r="AI488" s="13" t="n"/>
    </row>
    <row r="489">
      <c r="A489" s="14" t="n">
        <v>202301</v>
      </c>
      <c r="B489" s="15">
        <f>LEFT(creditcard[[#This Row],[YYYYMM]],4)</f>
        <v/>
      </c>
      <c r="C489" s="15">
        <f>RIGHT(creditcard[[#This Row],[YYYYMM]],2)</f>
        <v/>
      </c>
      <c r="D489" s="15">
        <f>IF(RIGHT(creditcard[[#This Row],[YYYYMM]],2)="--","--","Q"&amp;ROUNDUP(VALUE(RIGHT(creditcard[[#This Row],[YYYYMM]],2))/3,0))</f>
        <v/>
      </c>
      <c r="E489" s="15" t="n">
        <v>4</v>
      </c>
      <c r="F489" s="155" t="inlineStr">
        <is>
          <t>玉山</t>
        </is>
      </c>
      <c r="G489" s="156" t="inlineStr">
        <is>
          <t>04 玉山</t>
        </is>
      </c>
      <c r="H489" s="157" t="n">
        <v>6906423</v>
      </c>
      <c r="I489" s="157" t="n">
        <v>4680156</v>
      </c>
      <c r="J489" s="157" t="n">
        <v>44613</v>
      </c>
      <c r="K489" s="157" t="n">
        <v>29488</v>
      </c>
      <c r="L489" s="157" t="n">
        <v>13086.183</v>
      </c>
      <c r="M489" s="16" t="n"/>
      <c r="N489" s="157" t="n">
        <v>43010.584</v>
      </c>
      <c r="O489" s="16" t="n"/>
      <c r="P489" s="16" t="n"/>
      <c r="Q489" s="17" t="n"/>
      <c r="R489" s="16" t="n"/>
      <c r="S489" s="16" t="n"/>
      <c r="T489" s="16" t="n"/>
      <c r="U489" s="16" t="n"/>
      <c r="V489" s="158" t="n"/>
      <c r="W489" s="16" t="n"/>
      <c r="X489" s="18" t="n"/>
      <c r="Y489" s="18" t="n"/>
      <c r="Z489" s="18" t="n"/>
      <c r="AA489" s="18" t="n"/>
      <c r="AB489" s="18" t="n"/>
      <c r="AC489" s="18" t="n"/>
      <c r="AD489" s="18" t="n"/>
      <c r="AE489" s="18" t="n"/>
      <c r="AF489" s="18" t="n"/>
      <c r="AG489" s="18" t="n"/>
      <c r="AH489" s="18" t="n"/>
      <c r="AI489" s="18" t="n"/>
    </row>
    <row r="490">
      <c r="A490" s="9" t="n">
        <v>202301</v>
      </c>
      <c r="B490" s="10">
        <f>LEFT(creditcard[[#This Row],[YYYYMM]],4)</f>
        <v/>
      </c>
      <c r="C490" s="10">
        <f>RIGHT(creditcard[[#This Row],[YYYYMM]],2)</f>
        <v/>
      </c>
      <c r="D490" s="10">
        <f>IF(RIGHT(creditcard[[#This Row],[YYYYMM]],2)="--","--","Q"&amp;ROUNDUP(VALUE(RIGHT(creditcard[[#This Row],[YYYYMM]],2))/3,0))</f>
        <v/>
      </c>
      <c r="E490" s="10" t="n">
        <v>5</v>
      </c>
      <c r="F490" s="151" t="inlineStr">
        <is>
          <t>台新</t>
        </is>
      </c>
      <c r="G490" s="152" t="inlineStr">
        <is>
          <t>05 台新</t>
        </is>
      </c>
      <c r="H490" s="153" t="n">
        <v>6305956</v>
      </c>
      <c r="I490" s="153" t="n">
        <v>4288417</v>
      </c>
      <c r="J490" s="153" t="n">
        <v>40573</v>
      </c>
      <c r="K490" s="153" t="n">
        <v>34895</v>
      </c>
      <c r="L490" s="153" t="n">
        <v>10410.462</v>
      </c>
      <c r="M490" s="11" t="n"/>
      <c r="N490" s="153" t="n">
        <v>33601.152</v>
      </c>
      <c r="O490" s="11" t="n"/>
      <c r="P490" s="11" t="n"/>
      <c r="Q490" s="12" t="n"/>
      <c r="R490" s="11" t="n"/>
      <c r="S490" s="11" t="n"/>
      <c r="T490" s="11" t="n"/>
      <c r="U490" s="11" t="n"/>
      <c r="V490" s="154" t="n"/>
      <c r="W490" s="11" t="n"/>
      <c r="X490" s="13" t="n"/>
      <c r="Y490" s="13" t="n"/>
      <c r="Z490" s="13" t="n"/>
      <c r="AA490" s="13" t="n"/>
      <c r="AB490" s="13" t="n"/>
      <c r="AC490" s="13" t="n"/>
      <c r="AD490" s="13" t="n"/>
      <c r="AE490" s="13" t="n"/>
      <c r="AF490" s="13" t="n"/>
      <c r="AG490" s="13" t="n"/>
      <c r="AH490" s="13" t="n"/>
      <c r="AI490" s="13" t="n"/>
    </row>
    <row r="491">
      <c r="A491" s="14" t="n">
        <v>202301</v>
      </c>
      <c r="B491" s="15">
        <f>LEFT(creditcard[[#This Row],[YYYYMM]],4)</f>
        <v/>
      </c>
      <c r="C491" s="15">
        <f>RIGHT(creditcard[[#This Row],[YYYYMM]],2)</f>
        <v/>
      </c>
      <c r="D491" s="15">
        <f>IF(RIGHT(creditcard[[#This Row],[YYYYMM]],2)="--","--","Q"&amp;ROUNDUP(VALUE(RIGHT(creditcard[[#This Row],[YYYYMM]],2))/3,0))</f>
        <v/>
      </c>
      <c r="E491" s="15" t="n">
        <v>6</v>
      </c>
      <c r="F491" s="155" t="inlineStr">
        <is>
          <t>星展</t>
        </is>
      </c>
      <c r="G491" s="156" t="inlineStr">
        <is>
          <t>06 星展</t>
        </is>
      </c>
      <c r="H491" s="157" t="n">
        <v>657388</v>
      </c>
      <c r="I491" s="157" t="n">
        <v>335106</v>
      </c>
      <c r="J491" s="157" t="n">
        <v>4916</v>
      </c>
      <c r="K491" s="157" t="n">
        <v>4126</v>
      </c>
      <c r="L491" s="157" t="n">
        <v>1287</v>
      </c>
      <c r="M491" s="16" t="n"/>
      <c r="N491" s="157" t="n">
        <v>3897</v>
      </c>
      <c r="O491" s="16" t="n"/>
      <c r="P491" s="16" t="n"/>
      <c r="Q491" s="17" t="n"/>
      <c r="R491" s="16" t="n"/>
      <c r="S491" s="16" t="n"/>
      <c r="T491" s="16" t="n"/>
      <c r="U491" s="16" t="n"/>
      <c r="V491" s="158" t="n"/>
      <c r="W491" s="16" t="n"/>
      <c r="X491" s="18" t="n"/>
      <c r="Y491" s="18" t="n"/>
      <c r="Z491" s="18" t="n"/>
      <c r="AA491" s="18" t="n"/>
      <c r="AB491" s="18" t="n"/>
      <c r="AC491" s="18" t="n"/>
      <c r="AD491" s="18" t="n"/>
      <c r="AE491" s="18" t="n"/>
      <c r="AF491" s="18" t="n"/>
      <c r="AG491" s="18" t="n"/>
      <c r="AH491" s="18" t="n"/>
      <c r="AI491" s="18" t="n"/>
    </row>
    <row r="492">
      <c r="A492" s="9" t="n">
        <v>202301</v>
      </c>
      <c r="B492" s="10">
        <f>LEFT(creditcard[[#This Row],[YYYYMM]],4)</f>
        <v/>
      </c>
      <c r="C492" s="10">
        <f>RIGHT(creditcard[[#This Row],[YYYYMM]],2)</f>
        <v/>
      </c>
      <c r="D492" s="10">
        <f>IF(RIGHT(creditcard[[#This Row],[YYYYMM]],2)="--","--","Q"&amp;ROUNDUP(VALUE(RIGHT(creditcard[[#This Row],[YYYYMM]],2))/3,0))</f>
        <v/>
      </c>
      <c r="E492" s="10" t="n">
        <v>7</v>
      </c>
      <c r="F492" s="151" t="inlineStr">
        <is>
          <t>聯邦</t>
        </is>
      </c>
      <c r="G492" s="152" t="inlineStr">
        <is>
          <t>07 聯邦</t>
        </is>
      </c>
      <c r="H492" s="153" t="n">
        <v>2465012</v>
      </c>
      <c r="I492" s="153" t="n">
        <v>1410354</v>
      </c>
      <c r="J492" s="153" t="n">
        <v>48812</v>
      </c>
      <c r="K492" s="153" t="n">
        <v>15332</v>
      </c>
      <c r="L492" s="153" t="n">
        <v>5505.391</v>
      </c>
      <c r="M492" s="11" t="n"/>
      <c r="N492" s="153" t="n">
        <v>11405.604</v>
      </c>
      <c r="O492" s="11" t="n"/>
      <c r="P492" s="11" t="n"/>
      <c r="Q492" s="12" t="n"/>
      <c r="R492" s="11" t="n"/>
      <c r="S492" s="11" t="n"/>
      <c r="T492" s="11" t="n"/>
      <c r="U492" s="11" t="n"/>
      <c r="V492" s="154" t="n"/>
      <c r="W492" s="11" t="n"/>
      <c r="X492" s="13" t="n"/>
      <c r="Y492" s="13" t="n"/>
      <c r="Z492" s="13" t="n"/>
      <c r="AA492" s="13" t="n"/>
      <c r="AB492" s="13" t="n"/>
      <c r="AC492" s="13" t="n"/>
      <c r="AD492" s="13" t="n"/>
      <c r="AE492" s="13" t="n"/>
      <c r="AF492" s="13" t="n"/>
      <c r="AG492" s="13" t="n"/>
      <c r="AH492" s="13" t="n"/>
      <c r="AI492" s="13" t="n"/>
    </row>
    <row r="493">
      <c r="A493" s="14" t="n">
        <v>202301</v>
      </c>
      <c r="B493" s="15">
        <f>LEFT(creditcard[[#This Row],[YYYYMM]],4)</f>
        <v/>
      </c>
      <c r="C493" s="15">
        <f>RIGHT(creditcard[[#This Row],[YYYYMM]],2)</f>
        <v/>
      </c>
      <c r="D493" s="15">
        <f>IF(RIGHT(creditcard[[#This Row],[YYYYMM]],2)="--","--","Q"&amp;ROUNDUP(VALUE(RIGHT(creditcard[[#This Row],[YYYYMM]],2))/3,0))</f>
        <v/>
      </c>
      <c r="E493" s="15" t="n">
        <v>8</v>
      </c>
      <c r="F493" s="155" t="inlineStr">
        <is>
          <t>永豐</t>
        </is>
      </c>
      <c r="G493" s="156" t="inlineStr">
        <is>
          <t>08 永豐</t>
        </is>
      </c>
      <c r="H493" s="157" t="n">
        <v>2282610</v>
      </c>
      <c r="I493" s="157" t="n">
        <v>1242575</v>
      </c>
      <c r="J493" s="157" t="n">
        <v>19045</v>
      </c>
      <c r="K493" s="157" t="n">
        <v>7832</v>
      </c>
      <c r="L493" s="157" t="n">
        <v>3898.605</v>
      </c>
      <c r="M493" s="16" t="n"/>
      <c r="N493" s="157" t="n">
        <v>11445.886</v>
      </c>
      <c r="O493" s="16" t="n"/>
      <c r="P493" s="16" t="n"/>
      <c r="Q493" s="17" t="n"/>
      <c r="R493" s="16" t="n"/>
      <c r="S493" s="16" t="n"/>
      <c r="T493" s="16" t="n"/>
      <c r="U493" s="16" t="n"/>
      <c r="V493" s="158" t="n"/>
      <c r="W493" s="16" t="n"/>
      <c r="X493" s="18" t="n"/>
      <c r="Y493" s="18" t="n"/>
      <c r="Z493" s="18" t="n"/>
      <c r="AA493" s="18" t="n"/>
      <c r="AB493" s="18" t="n"/>
      <c r="AC493" s="18" t="n"/>
      <c r="AD493" s="18" t="n"/>
      <c r="AE493" s="18" t="n"/>
      <c r="AF493" s="18" t="n"/>
      <c r="AG493" s="18" t="n"/>
      <c r="AH493" s="18" t="n"/>
      <c r="AI493" s="18" t="n"/>
    </row>
    <row r="494">
      <c r="A494" s="9" t="n">
        <v>202301</v>
      </c>
      <c r="B494" s="10">
        <f>LEFT(creditcard[[#This Row],[YYYYMM]],4)</f>
        <v/>
      </c>
      <c r="C494" s="10">
        <f>RIGHT(creditcard[[#This Row],[YYYYMM]],2)</f>
        <v/>
      </c>
      <c r="D494" s="10">
        <f>IF(RIGHT(creditcard[[#This Row],[YYYYMM]],2)="--","--","Q"&amp;ROUNDUP(VALUE(RIGHT(creditcard[[#This Row],[YYYYMM]],2))/3,0))</f>
        <v/>
      </c>
      <c r="E494" s="10" t="n">
        <v>9</v>
      </c>
      <c r="F494" s="151" t="inlineStr">
        <is>
          <t>第一</t>
        </is>
      </c>
      <c r="G494" s="152" t="inlineStr">
        <is>
          <t>09 第一</t>
        </is>
      </c>
      <c r="H494" s="153" t="n">
        <v>1502082</v>
      </c>
      <c r="I494" s="153" t="n">
        <v>913028</v>
      </c>
      <c r="J494" s="153" t="n">
        <v>11323</v>
      </c>
      <c r="K494" s="153" t="n">
        <v>9812</v>
      </c>
      <c r="L494" s="153" t="n">
        <v>1571</v>
      </c>
      <c r="M494" s="11" t="n"/>
      <c r="N494" s="153" t="n">
        <v>5079</v>
      </c>
      <c r="O494" s="11" t="n"/>
      <c r="P494" s="11" t="n"/>
      <c r="Q494" s="12" t="n"/>
      <c r="R494" s="11" t="n"/>
      <c r="S494" s="11" t="n"/>
      <c r="T494" s="11" t="n"/>
      <c r="U494" s="11" t="n"/>
      <c r="V494" s="154" t="n"/>
      <c r="W494" s="11" t="n"/>
      <c r="X494" s="13" t="n"/>
      <c r="Y494" s="13" t="n"/>
      <c r="Z494" s="13" t="n"/>
      <c r="AA494" s="13" t="n"/>
      <c r="AB494" s="13" t="n"/>
      <c r="AC494" s="13" t="n"/>
      <c r="AD494" s="13" t="n"/>
      <c r="AE494" s="13" t="n"/>
      <c r="AF494" s="13" t="n"/>
      <c r="AG494" s="13" t="n"/>
      <c r="AH494" s="13" t="n"/>
      <c r="AI494" s="13" t="n"/>
    </row>
    <row r="495">
      <c r="A495" s="14" t="n">
        <v>202301</v>
      </c>
      <c r="B495" s="15">
        <f>LEFT(creditcard[[#This Row],[YYYYMM]],4)</f>
        <v/>
      </c>
      <c r="C495" s="15">
        <f>RIGHT(creditcard[[#This Row],[YYYYMM]],2)</f>
        <v/>
      </c>
      <c r="D495" s="15">
        <f>IF(RIGHT(creditcard[[#This Row],[YYYYMM]],2)="--","--","Q"&amp;ROUNDUP(VALUE(RIGHT(creditcard[[#This Row],[YYYYMM]],2))/3,0))</f>
        <v/>
      </c>
      <c r="E495" s="15" t="n">
        <v>10</v>
      </c>
      <c r="F495" s="155" t="inlineStr">
        <is>
          <t>遠東</t>
        </is>
      </c>
      <c r="G495" s="156" t="inlineStr">
        <is>
          <t>10 遠東</t>
        </is>
      </c>
      <c r="H495" s="157" t="n">
        <v>1566611</v>
      </c>
      <c r="I495" s="157" t="n">
        <v>1012499</v>
      </c>
      <c r="J495" s="157" t="n">
        <v>12280</v>
      </c>
      <c r="K495" s="157" t="n">
        <v>10560</v>
      </c>
      <c r="L495" s="157" t="n">
        <v>3743.479</v>
      </c>
      <c r="M495" s="16" t="n"/>
      <c r="N495" s="157" t="n">
        <v>4835.491</v>
      </c>
      <c r="O495" s="16" t="n"/>
      <c r="P495" s="16" t="n"/>
      <c r="Q495" s="17" t="n"/>
      <c r="R495" s="16" t="n"/>
      <c r="S495" s="16" t="n"/>
      <c r="T495" s="16" t="n"/>
      <c r="U495" s="16" t="n"/>
      <c r="V495" s="158" t="n"/>
      <c r="W495" s="16" t="n"/>
      <c r="X495" s="18" t="n"/>
      <c r="Y495" s="18" t="n"/>
      <c r="Z495" s="18" t="n"/>
      <c r="AA495" s="18" t="n"/>
      <c r="AB495" s="18" t="n"/>
      <c r="AC495" s="18" t="n"/>
      <c r="AD495" s="18" t="n"/>
      <c r="AE495" s="18" t="n"/>
      <c r="AF495" s="18" t="n"/>
      <c r="AG495" s="18" t="n"/>
      <c r="AH495" s="18" t="n"/>
      <c r="AI495" s="18" t="n"/>
    </row>
    <row r="496">
      <c r="A496" s="9" t="n">
        <v>202301</v>
      </c>
      <c r="B496" s="10">
        <f>LEFT(creditcard[[#This Row],[YYYYMM]],4)</f>
        <v/>
      </c>
      <c r="C496" s="10">
        <f>RIGHT(creditcard[[#This Row],[YYYYMM]],2)</f>
        <v/>
      </c>
      <c r="D496" s="10">
        <f>IF(RIGHT(creditcard[[#This Row],[YYYYMM]],2)="--","--","Q"&amp;ROUNDUP(VALUE(RIGHT(creditcard[[#This Row],[YYYYMM]],2))/3,0))</f>
        <v/>
      </c>
      <c r="E496" s="10" t="n">
        <v>11</v>
      </c>
      <c r="F496" s="151" t="inlineStr">
        <is>
          <t>市場總計</t>
        </is>
      </c>
      <c r="G496" s="152" t="inlineStr">
        <is>
          <t>11 市場總計</t>
        </is>
      </c>
      <c r="H496" s="153" t="n">
        <v>56648102</v>
      </c>
      <c r="I496" s="153" t="n">
        <v>35932268</v>
      </c>
      <c r="J496" s="153" t="n">
        <v>901005</v>
      </c>
      <c r="K496" s="153" t="n">
        <v>515027</v>
      </c>
      <c r="L496" s="153" t="n">
        <v>104152.171</v>
      </c>
      <c r="M496" s="11" t="n"/>
      <c r="N496" s="153" t="n">
        <v>316171.015</v>
      </c>
      <c r="O496" s="11" t="n"/>
      <c r="P496" s="11" t="n"/>
      <c r="Q496" s="12" t="n"/>
      <c r="R496" s="11" t="n"/>
      <c r="S496" s="11" t="n"/>
      <c r="T496" s="11" t="n"/>
      <c r="U496" s="11" t="n"/>
      <c r="V496" s="154" t="n">
        <v>4.62</v>
      </c>
      <c r="W496" s="11">
        <f>SUMIFS(H:H,A:A,creditcard[[#This Row],[YYYYMM]],G:G,creditcard[[#This Row],[Item]])</f>
        <v/>
      </c>
      <c r="X496" s="4">
        <f>IFERROR(SUMIFS(H:H,A:A,creditcard[[#This Row],[YYYYMM]],E:E,"&lt;=5")/creditcard[[#This Row],[市場總計]],"")</f>
        <v/>
      </c>
      <c r="Y496" s="4">
        <f>IFERROR(SUMIFS(H:H,A:A,creditcard[[#This Row],[YYYYMM]],E:E,"&lt;=10")/creditcard[[#This Row],[市場總計]],"")</f>
        <v/>
      </c>
      <c r="Z496" s="4">
        <f>IFERROR(SUMIFS(I:I,A:A,creditcard[[#This Row],[YYYYMM]],E:E,"&lt;=5")/creditcard[[#This Row],[有效卡數]],"")</f>
        <v/>
      </c>
      <c r="AA496" s="4">
        <f>IFERROR(SUMIFS(I:I,A:A,creditcard[[#This Row],[YYYYMM]],E:E,"&lt;=10")/creditcard[[#This Row],[有效卡數]],"")</f>
        <v/>
      </c>
      <c r="AB496" s="4">
        <f>IFERROR(SUMIFS(J:J,A:A,creditcard[[#This Row],[YYYYMM]],E:E,"&lt;=5")/creditcard[[#This Row],[當月發卡數]],"")</f>
        <v/>
      </c>
      <c r="AC496" s="4">
        <f>IFERROR(SUMIFS(J:J,A:A,creditcard[[#This Row],[YYYYMM]],E:E,"&lt;=10")/creditcard[[#This Row],[當月發卡數]],"")</f>
        <v/>
      </c>
      <c r="AD496" s="4">
        <f>IFERROR(SUMIFS(K:K,A:A,creditcard[[#This Row],[YYYYMM]],E:E,"&lt;=5")/creditcard[[#This Row],[當月停卡數]],"")</f>
        <v/>
      </c>
      <c r="AE496" s="4">
        <f>IFERROR(SUMIFS(K:K,A:A,creditcard[[#This Row],[YYYYMM]],E:E,"&lt;=10")/creditcard[[#This Row],[當月停卡數]],"")</f>
        <v/>
      </c>
      <c r="AF496" s="4">
        <f>IFERROR(SUMIFS(L:L,A:A,creditcard[[#This Row],[YYYYMM]],E:E,"&lt;=5")/creditcard[[#This Row],[循環信用餘額]],"")</f>
        <v/>
      </c>
      <c r="AG496" s="4">
        <f>IFERROR(SUMIFS(L:L,A:A,creditcard[[#This Row],[YYYYMM]],E:E,"&lt;=10")/creditcard[[#This Row],[循環信用餘額]],"")</f>
        <v/>
      </c>
      <c r="AH496" s="4">
        <f>IFERROR(SUMIFS(N:N,A:A,creditcard[[#This Row],[YYYYMM]],E:E,"&lt;=5")/creditcard[[#This Row],[當月簽帳金額]],"")</f>
        <v/>
      </c>
      <c r="AI496" s="4">
        <f>IFERROR(SUMIFS(N:N,A:A,creditcard[[#This Row],[YYYYMM]],E:E,"&lt;=10")/creditcard[[#This Row],[當月簽帳金額]],"")</f>
        <v/>
      </c>
    </row>
    <row r="497">
      <c r="A497" s="14" t="n">
        <v>202302</v>
      </c>
      <c r="B497" s="15">
        <f>LEFT(creditcard[[#This Row],[YYYYMM]],4)</f>
        <v/>
      </c>
      <c r="C497" s="15">
        <f>RIGHT(creditcard[[#This Row],[YYYYMM]],2)</f>
        <v/>
      </c>
      <c r="D497" s="15">
        <f>IF(RIGHT(creditcard[[#This Row],[YYYYMM]],2)="--","--","Q"&amp;ROUNDUP(VALUE(RIGHT(creditcard[[#This Row],[YYYYMM]],2))/3,0))</f>
        <v/>
      </c>
      <c r="E497" s="15" t="n">
        <v>1</v>
      </c>
      <c r="F497" s="155" t="inlineStr">
        <is>
          <t>中信</t>
        </is>
      </c>
      <c r="G497" s="156" t="inlineStr">
        <is>
          <t>01 中信</t>
        </is>
      </c>
      <c r="H497" s="157" t="n">
        <v>8576911</v>
      </c>
      <c r="I497" s="157" t="n">
        <v>5400174</v>
      </c>
      <c r="J497" s="157" t="n">
        <v>106035</v>
      </c>
      <c r="K497" s="157" t="n">
        <v>41888</v>
      </c>
      <c r="L497" s="157" t="n">
        <v>15544.595</v>
      </c>
      <c r="M497" s="16" t="n"/>
      <c r="N497" s="157" t="n">
        <v>44285.231</v>
      </c>
      <c r="O497" s="16" t="n"/>
      <c r="P497" s="16" t="n"/>
      <c r="Q497" s="17" t="n"/>
      <c r="R497" s="16" t="n"/>
      <c r="S497" s="16" t="n"/>
      <c r="T497" s="16" t="n"/>
      <c r="U497" s="16" t="n"/>
      <c r="V497" s="158" t="n"/>
      <c r="W497" s="16" t="n"/>
      <c r="X497" s="18" t="n"/>
      <c r="Y497" s="18" t="n"/>
      <c r="Z497" s="18" t="n"/>
      <c r="AA497" s="18" t="n"/>
      <c r="AB497" s="18" t="n"/>
      <c r="AC497" s="18" t="n"/>
      <c r="AD497" s="18" t="n"/>
      <c r="AE497" s="18" t="n"/>
      <c r="AF497" s="18" t="n"/>
      <c r="AG497" s="18" t="n"/>
      <c r="AH497" s="18" t="n"/>
      <c r="AI497" s="18" t="n"/>
    </row>
    <row r="498">
      <c r="A498" s="9" t="n">
        <v>202302</v>
      </c>
      <c r="B498" s="10">
        <f>LEFT(creditcard[[#This Row],[YYYYMM]],4)</f>
        <v/>
      </c>
      <c r="C498" s="10">
        <f>RIGHT(creditcard[[#This Row],[YYYYMM]],2)</f>
        <v/>
      </c>
      <c r="D498" s="10">
        <f>IF(RIGHT(creditcard[[#This Row],[YYYYMM]],2)="--","--","Q"&amp;ROUNDUP(VALUE(RIGHT(creditcard[[#This Row],[YYYYMM]],2))/3,0))</f>
        <v/>
      </c>
      <c r="E498" s="10" t="n">
        <v>2</v>
      </c>
      <c r="F498" s="151" t="inlineStr">
        <is>
          <t>富邦</t>
        </is>
      </c>
      <c r="G498" s="152" t="inlineStr">
        <is>
          <t>02 富邦</t>
        </is>
      </c>
      <c r="H498" s="153" t="n">
        <v>5179767</v>
      </c>
      <c r="I498" s="153" t="n">
        <v>3401014</v>
      </c>
      <c r="J498" s="153" t="n">
        <v>380374</v>
      </c>
      <c r="K498" s="153" t="n">
        <v>22620</v>
      </c>
      <c r="L498" s="153" t="n">
        <v>6450.565</v>
      </c>
      <c r="M498" s="11" t="n"/>
      <c r="N498" s="153" t="n">
        <v>26780.388</v>
      </c>
      <c r="O498" s="11" t="n"/>
      <c r="P498" s="11" t="n"/>
      <c r="Q498" s="12" t="n"/>
      <c r="R498" s="11" t="n"/>
      <c r="S498" s="11" t="n"/>
      <c r="T498" s="11" t="n"/>
      <c r="U498" s="11" t="n"/>
      <c r="V498" s="154" t="n"/>
      <c r="W498" s="11" t="n"/>
      <c r="X498" s="13" t="n"/>
      <c r="Y498" s="13" t="n"/>
      <c r="Z498" s="13" t="n"/>
      <c r="AA498" s="13" t="n"/>
      <c r="AB498" s="13" t="n"/>
      <c r="AC498" s="13" t="n"/>
      <c r="AD498" s="13" t="n"/>
      <c r="AE498" s="13" t="n"/>
      <c r="AF498" s="13" t="n"/>
      <c r="AG498" s="13" t="n"/>
      <c r="AH498" s="13" t="n"/>
      <c r="AI498" s="13" t="n"/>
    </row>
    <row r="499">
      <c r="A499" s="14" t="n">
        <v>202302</v>
      </c>
      <c r="B499" s="15">
        <f>LEFT(creditcard[[#This Row],[YYYYMM]],4)</f>
        <v/>
      </c>
      <c r="C499" s="15">
        <f>RIGHT(creditcard[[#This Row],[YYYYMM]],2)</f>
        <v/>
      </c>
      <c r="D499" s="15">
        <f>IF(RIGHT(creditcard[[#This Row],[YYYYMM]],2)="--","--","Q"&amp;ROUNDUP(VALUE(RIGHT(creditcard[[#This Row],[YYYYMM]],2))/3,0))</f>
        <v/>
      </c>
      <c r="E499" s="15" t="n">
        <v>3</v>
      </c>
      <c r="F499" s="155" t="inlineStr">
        <is>
          <t>國泰</t>
        </is>
      </c>
      <c r="G499" s="156" t="inlineStr">
        <is>
          <t>03 國泰</t>
        </is>
      </c>
      <c r="H499" s="157" t="n">
        <v>9839723</v>
      </c>
      <c r="I499" s="157" t="n">
        <v>6150389</v>
      </c>
      <c r="J499" s="157" t="n">
        <v>710953</v>
      </c>
      <c r="K499" s="157" t="n">
        <v>104025</v>
      </c>
      <c r="L499" s="157" t="n">
        <v>18356.5</v>
      </c>
      <c r="M499" s="16" t="n"/>
      <c r="N499" s="157" t="n">
        <v>45846.128</v>
      </c>
      <c r="O499" s="16" t="n"/>
      <c r="P499" s="16" t="n"/>
      <c r="Q499" s="17" t="n"/>
      <c r="R499" s="16" t="n"/>
      <c r="S499" s="16" t="n"/>
      <c r="T499" s="16" t="n"/>
      <c r="U499" s="16" t="n"/>
      <c r="V499" s="158" t="n"/>
      <c r="W499" s="16" t="n"/>
      <c r="X499" s="18" t="n"/>
      <c r="Y499" s="18" t="n"/>
      <c r="Z499" s="18" t="n"/>
      <c r="AA499" s="18" t="n"/>
      <c r="AB499" s="18" t="n"/>
      <c r="AC499" s="18" t="n"/>
      <c r="AD499" s="18" t="n"/>
      <c r="AE499" s="18" t="n"/>
      <c r="AF499" s="18" t="n"/>
      <c r="AG499" s="18" t="n"/>
      <c r="AH499" s="18" t="n"/>
      <c r="AI499" s="18" t="n"/>
    </row>
    <row r="500">
      <c r="A500" s="9" t="n">
        <v>202302</v>
      </c>
      <c r="B500" s="10">
        <f>LEFT(creditcard[[#This Row],[YYYYMM]],4)</f>
        <v/>
      </c>
      <c r="C500" s="10">
        <f>RIGHT(creditcard[[#This Row],[YYYYMM]],2)</f>
        <v/>
      </c>
      <c r="D500" s="10">
        <f>IF(RIGHT(creditcard[[#This Row],[YYYYMM]],2)="--","--","Q"&amp;ROUNDUP(VALUE(RIGHT(creditcard[[#This Row],[YYYYMM]],2))/3,0))</f>
        <v/>
      </c>
      <c r="E500" s="10" t="n">
        <v>4</v>
      </c>
      <c r="F500" s="151" t="inlineStr">
        <is>
          <t>玉山</t>
        </is>
      </c>
      <c r="G500" s="152" t="inlineStr">
        <is>
          <t>04 玉山</t>
        </is>
      </c>
      <c r="H500" s="153" t="n">
        <v>6914105</v>
      </c>
      <c r="I500" s="153" t="n">
        <v>4696644</v>
      </c>
      <c r="J500" s="153" t="n">
        <v>49110</v>
      </c>
      <c r="K500" s="153" t="n">
        <v>41428</v>
      </c>
      <c r="L500" s="153" t="n">
        <v>12519.493</v>
      </c>
      <c r="M500" s="11" t="n"/>
      <c r="N500" s="153" t="n">
        <v>34307.227</v>
      </c>
      <c r="O500" s="11" t="n"/>
      <c r="P500" s="11" t="n"/>
      <c r="Q500" s="12" t="n"/>
      <c r="R500" s="11" t="n"/>
      <c r="S500" s="11" t="n"/>
      <c r="T500" s="11" t="n"/>
      <c r="U500" s="11" t="n"/>
      <c r="V500" s="154" t="n"/>
      <c r="W500" s="11" t="n"/>
      <c r="X500" s="13" t="n"/>
      <c r="Y500" s="13" t="n"/>
      <c r="Z500" s="13" t="n"/>
      <c r="AA500" s="13" t="n"/>
      <c r="AB500" s="13" t="n"/>
      <c r="AC500" s="13" t="n"/>
      <c r="AD500" s="13" t="n"/>
      <c r="AE500" s="13" t="n"/>
      <c r="AF500" s="13" t="n"/>
      <c r="AG500" s="13" t="n"/>
      <c r="AH500" s="13" t="n"/>
      <c r="AI500" s="13" t="n"/>
    </row>
    <row r="501">
      <c r="A501" s="14" t="n">
        <v>202302</v>
      </c>
      <c r="B501" s="15">
        <f>LEFT(creditcard[[#This Row],[YYYYMM]],4)</f>
        <v/>
      </c>
      <c r="C501" s="15">
        <f>RIGHT(creditcard[[#This Row],[YYYYMM]],2)</f>
        <v/>
      </c>
      <c r="D501" s="15">
        <f>IF(RIGHT(creditcard[[#This Row],[YYYYMM]],2)="--","--","Q"&amp;ROUNDUP(VALUE(RIGHT(creditcard[[#This Row],[YYYYMM]],2))/3,0))</f>
        <v/>
      </c>
      <c r="E501" s="15" t="n">
        <v>5</v>
      </c>
      <c r="F501" s="155" t="inlineStr">
        <is>
          <t>台新</t>
        </is>
      </c>
      <c r="G501" s="156" t="inlineStr">
        <is>
          <t>05 台新</t>
        </is>
      </c>
      <c r="H501" s="157" t="n">
        <v>6316953</v>
      </c>
      <c r="I501" s="157" t="n">
        <v>4300347</v>
      </c>
      <c r="J501" s="157" t="n">
        <v>48940</v>
      </c>
      <c r="K501" s="157" t="n">
        <v>37943</v>
      </c>
      <c r="L501" s="157" t="n">
        <v>10127.156</v>
      </c>
      <c r="M501" s="16" t="n"/>
      <c r="N501" s="157" t="n">
        <v>28466.695</v>
      </c>
      <c r="O501" s="16" t="n"/>
      <c r="P501" s="16" t="n"/>
      <c r="Q501" s="17" t="n"/>
      <c r="R501" s="16" t="n"/>
      <c r="S501" s="16" t="n"/>
      <c r="T501" s="16" t="n"/>
      <c r="U501" s="16" t="n"/>
      <c r="V501" s="158" t="n"/>
      <c r="W501" s="16" t="n"/>
      <c r="X501" s="18" t="n"/>
      <c r="Y501" s="18" t="n"/>
      <c r="Z501" s="18" t="n"/>
      <c r="AA501" s="18" t="n"/>
      <c r="AB501" s="18" t="n"/>
      <c r="AC501" s="18" t="n"/>
      <c r="AD501" s="18" t="n"/>
      <c r="AE501" s="18" t="n"/>
      <c r="AF501" s="18" t="n"/>
      <c r="AG501" s="18" t="n"/>
      <c r="AH501" s="18" t="n"/>
      <c r="AI501" s="18" t="n"/>
    </row>
    <row r="502">
      <c r="A502" s="9" t="n">
        <v>202302</v>
      </c>
      <c r="B502" s="10">
        <f>LEFT(creditcard[[#This Row],[YYYYMM]],4)</f>
        <v/>
      </c>
      <c r="C502" s="10">
        <f>RIGHT(creditcard[[#This Row],[YYYYMM]],2)</f>
        <v/>
      </c>
      <c r="D502" s="10">
        <f>IF(RIGHT(creditcard[[#This Row],[YYYYMM]],2)="--","--","Q"&amp;ROUNDUP(VALUE(RIGHT(creditcard[[#This Row],[YYYYMM]],2))/3,0))</f>
        <v/>
      </c>
      <c r="E502" s="10" t="n">
        <v>6</v>
      </c>
      <c r="F502" s="151" t="inlineStr">
        <is>
          <t>星展</t>
        </is>
      </c>
      <c r="G502" s="152" t="inlineStr">
        <is>
          <t>06 星展</t>
        </is>
      </c>
      <c r="H502" s="153" t="n">
        <v>659742</v>
      </c>
      <c r="I502" s="153" t="n">
        <v>335128</v>
      </c>
      <c r="J502" s="153" t="n">
        <v>5154</v>
      </c>
      <c r="K502" s="153" t="n">
        <v>3824</v>
      </c>
      <c r="L502" s="153" t="n">
        <v>1329</v>
      </c>
      <c r="M502" s="11" t="n"/>
      <c r="N502" s="153" t="n">
        <v>3314</v>
      </c>
      <c r="O502" s="11" t="n"/>
      <c r="P502" s="11" t="n"/>
      <c r="Q502" s="12" t="n"/>
      <c r="R502" s="11" t="n"/>
      <c r="S502" s="11" t="n"/>
      <c r="T502" s="11" t="n"/>
      <c r="U502" s="11" t="n"/>
      <c r="V502" s="154" t="n"/>
      <c r="W502" s="11" t="n"/>
      <c r="X502" s="13" t="n"/>
      <c r="Y502" s="13" t="n"/>
      <c r="Z502" s="13" t="n"/>
      <c r="AA502" s="13" t="n"/>
      <c r="AB502" s="13" t="n"/>
      <c r="AC502" s="13" t="n"/>
      <c r="AD502" s="13" t="n"/>
      <c r="AE502" s="13" t="n"/>
      <c r="AF502" s="13" t="n"/>
      <c r="AG502" s="13" t="n"/>
      <c r="AH502" s="13" t="n"/>
      <c r="AI502" s="13" t="n"/>
    </row>
    <row r="503">
      <c r="A503" s="14" t="n">
        <v>202302</v>
      </c>
      <c r="B503" s="15">
        <f>LEFT(creditcard[[#This Row],[YYYYMM]],4)</f>
        <v/>
      </c>
      <c r="C503" s="15">
        <f>RIGHT(creditcard[[#This Row],[YYYYMM]],2)</f>
        <v/>
      </c>
      <c r="D503" s="15">
        <f>IF(RIGHT(creditcard[[#This Row],[YYYYMM]],2)="--","--","Q"&amp;ROUNDUP(VALUE(RIGHT(creditcard[[#This Row],[YYYYMM]],2))/3,0))</f>
        <v/>
      </c>
      <c r="E503" s="15" t="n">
        <v>7</v>
      </c>
      <c r="F503" s="155" t="inlineStr">
        <is>
          <t>聯邦</t>
        </is>
      </c>
      <c r="G503" s="156" t="inlineStr">
        <is>
          <t>07 聯邦</t>
        </is>
      </c>
      <c r="H503" s="157" t="n">
        <v>2502271</v>
      </c>
      <c r="I503" s="157" t="n">
        <v>1446152</v>
      </c>
      <c r="J503" s="157" t="n">
        <v>53849</v>
      </c>
      <c r="K503" s="157" t="n">
        <v>16590</v>
      </c>
      <c r="L503" s="157" t="n">
        <v>5494.849</v>
      </c>
      <c r="M503" s="16" t="n"/>
      <c r="N503" s="157" t="n">
        <v>10767.29</v>
      </c>
      <c r="O503" s="16" t="n"/>
      <c r="P503" s="16" t="n"/>
      <c r="Q503" s="17" t="n"/>
      <c r="R503" s="16" t="n"/>
      <c r="S503" s="16" t="n"/>
      <c r="T503" s="16" t="n"/>
      <c r="U503" s="16" t="n"/>
      <c r="V503" s="158" t="n"/>
      <c r="W503" s="16" t="n"/>
      <c r="X503" s="18" t="n"/>
      <c r="Y503" s="18" t="n"/>
      <c r="Z503" s="18" t="n"/>
      <c r="AA503" s="18" t="n"/>
      <c r="AB503" s="18" t="n"/>
      <c r="AC503" s="18" t="n"/>
      <c r="AD503" s="18" t="n"/>
      <c r="AE503" s="18" t="n"/>
      <c r="AF503" s="18" t="n"/>
      <c r="AG503" s="18" t="n"/>
      <c r="AH503" s="18" t="n"/>
      <c r="AI503" s="18" t="n"/>
    </row>
    <row r="504">
      <c r="A504" s="9" t="n">
        <v>202302</v>
      </c>
      <c r="B504" s="10">
        <f>LEFT(creditcard[[#This Row],[YYYYMM]],4)</f>
        <v/>
      </c>
      <c r="C504" s="10">
        <f>RIGHT(creditcard[[#This Row],[YYYYMM]],2)</f>
        <v/>
      </c>
      <c r="D504" s="10">
        <f>IF(RIGHT(creditcard[[#This Row],[YYYYMM]],2)="--","--","Q"&amp;ROUNDUP(VALUE(RIGHT(creditcard[[#This Row],[YYYYMM]],2))/3,0))</f>
        <v/>
      </c>
      <c r="E504" s="10" t="n">
        <v>8</v>
      </c>
      <c r="F504" s="151" t="inlineStr">
        <is>
          <t>永豐</t>
        </is>
      </c>
      <c r="G504" s="152" t="inlineStr">
        <is>
          <t>08 永豐</t>
        </is>
      </c>
      <c r="H504" s="153" t="n">
        <v>2297443</v>
      </c>
      <c r="I504" s="153" t="n">
        <v>1236796</v>
      </c>
      <c r="J504" s="153" t="n">
        <v>23907</v>
      </c>
      <c r="K504" s="153" t="n">
        <v>9775</v>
      </c>
      <c r="L504" s="153" t="n">
        <v>3875.979</v>
      </c>
      <c r="M504" s="11" t="n"/>
      <c r="N504" s="153" t="n">
        <v>9361.928</v>
      </c>
      <c r="O504" s="11" t="n"/>
      <c r="P504" s="11" t="n"/>
      <c r="Q504" s="12" t="n"/>
      <c r="R504" s="11" t="n"/>
      <c r="S504" s="11" t="n"/>
      <c r="T504" s="11" t="n"/>
      <c r="U504" s="11" t="n"/>
      <c r="V504" s="154" t="n"/>
      <c r="W504" s="11" t="n"/>
      <c r="X504" s="13" t="n"/>
      <c r="Y504" s="13" t="n"/>
      <c r="Z504" s="13" t="n"/>
      <c r="AA504" s="13" t="n"/>
      <c r="AB504" s="13" t="n"/>
      <c r="AC504" s="13" t="n"/>
      <c r="AD504" s="13" t="n"/>
      <c r="AE504" s="13" t="n"/>
      <c r="AF504" s="13" t="n"/>
      <c r="AG504" s="13" t="n"/>
      <c r="AH504" s="13" t="n"/>
      <c r="AI504" s="13" t="n"/>
    </row>
    <row r="505">
      <c r="A505" s="14" t="n">
        <v>202302</v>
      </c>
      <c r="B505" s="15">
        <f>LEFT(creditcard[[#This Row],[YYYYMM]],4)</f>
        <v/>
      </c>
      <c r="C505" s="15">
        <f>RIGHT(creditcard[[#This Row],[YYYYMM]],2)</f>
        <v/>
      </c>
      <c r="D505" s="15">
        <f>IF(RIGHT(creditcard[[#This Row],[YYYYMM]],2)="--","--","Q"&amp;ROUNDUP(VALUE(RIGHT(creditcard[[#This Row],[YYYYMM]],2))/3,0))</f>
        <v/>
      </c>
      <c r="E505" s="15" t="n">
        <v>9</v>
      </c>
      <c r="F505" s="155" t="inlineStr">
        <is>
          <t>第一</t>
        </is>
      </c>
      <c r="G505" s="156" t="inlineStr">
        <is>
          <t>09 第一</t>
        </is>
      </c>
      <c r="H505" s="157" t="n">
        <v>1507473</v>
      </c>
      <c r="I505" s="157" t="n">
        <v>917426</v>
      </c>
      <c r="J505" s="157" t="n">
        <v>16556</v>
      </c>
      <c r="K505" s="157" t="n">
        <v>12655</v>
      </c>
      <c r="L505" s="157" t="n">
        <v>1578</v>
      </c>
      <c r="M505" s="16" t="n"/>
      <c r="N505" s="157" t="n">
        <v>5765</v>
      </c>
      <c r="O505" s="16" t="n"/>
      <c r="P505" s="16" t="n"/>
      <c r="Q505" s="17" t="n"/>
      <c r="R505" s="16" t="n"/>
      <c r="S505" s="16" t="n"/>
      <c r="T505" s="16" t="n"/>
      <c r="U505" s="16" t="n"/>
      <c r="V505" s="158" t="n"/>
      <c r="W505" s="16" t="n"/>
      <c r="X505" s="18" t="n"/>
      <c r="Y505" s="18" t="n"/>
      <c r="Z505" s="18" t="n"/>
      <c r="AA505" s="18" t="n"/>
      <c r="AB505" s="18" t="n"/>
      <c r="AC505" s="18" t="n"/>
      <c r="AD505" s="18" t="n"/>
      <c r="AE505" s="18" t="n"/>
      <c r="AF505" s="18" t="n"/>
      <c r="AG505" s="18" t="n"/>
      <c r="AH505" s="18" t="n"/>
      <c r="AI505" s="18" t="n"/>
    </row>
    <row r="506">
      <c r="A506" s="9" t="n">
        <v>202302</v>
      </c>
      <c r="B506" s="10">
        <f>LEFT(creditcard[[#This Row],[YYYYMM]],4)</f>
        <v/>
      </c>
      <c r="C506" s="10">
        <f>RIGHT(creditcard[[#This Row],[YYYYMM]],2)</f>
        <v/>
      </c>
      <c r="D506" s="10">
        <f>IF(RIGHT(creditcard[[#This Row],[YYYYMM]],2)="--","--","Q"&amp;ROUNDUP(VALUE(RIGHT(creditcard[[#This Row],[YYYYMM]],2))/3,0))</f>
        <v/>
      </c>
      <c r="E506" s="10" t="n">
        <v>10</v>
      </c>
      <c r="F506" s="151" t="inlineStr">
        <is>
          <t>遠東</t>
        </is>
      </c>
      <c r="G506" s="152" t="inlineStr">
        <is>
          <t>10 遠東</t>
        </is>
      </c>
      <c r="H506" s="153" t="n">
        <v>1564007</v>
      </c>
      <c r="I506" s="153" t="n">
        <v>1007515</v>
      </c>
      <c r="J506" s="153" t="n">
        <v>11553</v>
      </c>
      <c r="K506" s="153" t="n">
        <v>14189</v>
      </c>
      <c r="L506" s="153" t="n">
        <v>3802.01</v>
      </c>
      <c r="M506" s="11" t="n"/>
      <c r="N506" s="153" t="n">
        <v>3593.927</v>
      </c>
      <c r="O506" s="11" t="n"/>
      <c r="P506" s="11" t="n"/>
      <c r="Q506" s="12" t="n"/>
      <c r="R506" s="11" t="n"/>
      <c r="S506" s="11" t="n"/>
      <c r="T506" s="11" t="n"/>
      <c r="U506" s="11" t="n"/>
      <c r="V506" s="154" t="n"/>
      <c r="W506" s="11" t="n"/>
      <c r="X506" s="13" t="n"/>
      <c r="Y506" s="13" t="n"/>
      <c r="Z506" s="13" t="n"/>
      <c r="AA506" s="13" t="n"/>
      <c r="AB506" s="13" t="n"/>
      <c r="AC506" s="13" t="n"/>
      <c r="AD506" s="13" t="n"/>
      <c r="AE506" s="13" t="n"/>
      <c r="AF506" s="13" t="n"/>
      <c r="AG506" s="13" t="n"/>
      <c r="AH506" s="13" t="n"/>
      <c r="AI506" s="13" t="n"/>
    </row>
    <row r="507">
      <c r="A507" s="14" t="n">
        <v>202302</v>
      </c>
      <c r="B507" s="15">
        <f>LEFT(creditcard[[#This Row],[YYYYMM]],4)</f>
        <v/>
      </c>
      <c r="C507" s="15">
        <f>RIGHT(creditcard[[#This Row],[YYYYMM]],2)</f>
        <v/>
      </c>
      <c r="D507" s="15">
        <f>IF(RIGHT(creditcard[[#This Row],[YYYYMM]],2)="--","--","Q"&amp;ROUNDUP(VALUE(RIGHT(creditcard[[#This Row],[YYYYMM]],2))/3,0))</f>
        <v/>
      </c>
      <c r="E507" s="15" t="n">
        <v>11</v>
      </c>
      <c r="F507" s="155" t="inlineStr">
        <is>
          <t>市場總計</t>
        </is>
      </c>
      <c r="G507" s="156" t="inlineStr">
        <is>
          <t>11 市場總計</t>
        </is>
      </c>
      <c r="H507" s="157" t="n">
        <v>57749578</v>
      </c>
      <c r="I507" s="157" t="n">
        <v>36255016</v>
      </c>
      <c r="J507" s="157" t="n">
        <v>1512004</v>
      </c>
      <c r="K507" s="157" t="n">
        <v>432957</v>
      </c>
      <c r="L507" s="157" t="n">
        <v>102269.231</v>
      </c>
      <c r="M507" s="16" t="n"/>
      <c r="N507" s="157" t="n">
        <v>269598.723</v>
      </c>
      <c r="O507" s="16" t="n"/>
      <c r="P507" s="16" t="n"/>
      <c r="Q507" s="17" t="n"/>
      <c r="R507" s="16" t="n"/>
      <c r="S507" s="16" t="n"/>
      <c r="T507" s="16" t="n"/>
      <c r="U507" s="16" t="n"/>
      <c r="V507" s="158" t="n">
        <v>4.69</v>
      </c>
      <c r="W507" s="16">
        <f>SUMIFS(H:H,A:A,creditcard[[#This Row],[YYYYMM]],G:G,creditcard[[#This Row],[Item]])</f>
        <v/>
      </c>
      <c r="X507" s="4">
        <f>IFERROR(SUMIFS(H:H,A:A,creditcard[[#This Row],[YYYYMM]],E:E,"&lt;=5")/creditcard[[#This Row],[市場總計]],"")</f>
        <v/>
      </c>
      <c r="Y507" s="4">
        <f>IFERROR(SUMIFS(H:H,A:A,creditcard[[#This Row],[YYYYMM]],E:E,"&lt;=10")/creditcard[[#This Row],[市場總計]],"")</f>
        <v/>
      </c>
      <c r="Z507" s="4">
        <f>IFERROR(SUMIFS(I:I,A:A,creditcard[[#This Row],[YYYYMM]],E:E,"&lt;=5")/creditcard[[#This Row],[有效卡數]],"")</f>
        <v/>
      </c>
      <c r="AA507" s="4">
        <f>IFERROR(SUMIFS(I:I,A:A,creditcard[[#This Row],[YYYYMM]],E:E,"&lt;=10")/creditcard[[#This Row],[有效卡數]],"")</f>
        <v/>
      </c>
      <c r="AB507" s="4">
        <f>IFERROR(SUMIFS(J:J,A:A,creditcard[[#This Row],[YYYYMM]],E:E,"&lt;=5")/creditcard[[#This Row],[當月發卡數]],"")</f>
        <v/>
      </c>
      <c r="AC507" s="4">
        <f>IFERROR(SUMIFS(J:J,A:A,creditcard[[#This Row],[YYYYMM]],E:E,"&lt;=10")/creditcard[[#This Row],[當月發卡數]],"")</f>
        <v/>
      </c>
      <c r="AD507" s="4">
        <f>IFERROR(SUMIFS(K:K,A:A,creditcard[[#This Row],[YYYYMM]],E:E,"&lt;=5")/creditcard[[#This Row],[當月停卡數]],"")</f>
        <v/>
      </c>
      <c r="AE507" s="4">
        <f>IFERROR(SUMIFS(K:K,A:A,creditcard[[#This Row],[YYYYMM]],E:E,"&lt;=10")/creditcard[[#This Row],[當月停卡數]],"")</f>
        <v/>
      </c>
      <c r="AF507" s="4">
        <f>IFERROR(SUMIFS(L:L,A:A,creditcard[[#This Row],[YYYYMM]],E:E,"&lt;=5")/creditcard[[#This Row],[循環信用餘額]],"")</f>
        <v/>
      </c>
      <c r="AG507" s="4">
        <f>IFERROR(SUMIFS(L:L,A:A,creditcard[[#This Row],[YYYYMM]],E:E,"&lt;=10")/creditcard[[#This Row],[循環信用餘額]],"")</f>
        <v/>
      </c>
      <c r="AH507" s="4">
        <f>IFERROR(SUMIFS(N:N,A:A,creditcard[[#This Row],[YYYYMM]],E:E,"&lt;=5")/creditcard[[#This Row],[當月簽帳金額]],"")</f>
        <v/>
      </c>
      <c r="AI507" s="4">
        <f>IFERROR(SUMIFS(N:N,A:A,creditcard[[#This Row],[YYYYMM]],E:E,"&lt;=10")/creditcard[[#This Row],[當月簽帳金額]],"")</f>
        <v/>
      </c>
    </row>
    <row r="508">
      <c r="A508" s="9" t="n">
        <v>202303</v>
      </c>
      <c r="B508" s="10">
        <f>LEFT(creditcard[[#This Row],[YYYYMM]],4)</f>
        <v/>
      </c>
      <c r="C508" s="10">
        <f>RIGHT(creditcard[[#This Row],[YYYYMM]],2)</f>
        <v/>
      </c>
      <c r="D508" s="10">
        <f>IF(RIGHT(creditcard[[#This Row],[YYYYMM]],2)="--","--","Q"&amp;ROUNDUP(VALUE(RIGHT(creditcard[[#This Row],[YYYYMM]],2))/3,0))</f>
        <v/>
      </c>
      <c r="E508" s="10" t="n">
        <v>1</v>
      </c>
      <c r="F508" s="151" t="inlineStr">
        <is>
          <t>中信</t>
        </is>
      </c>
      <c r="G508" s="152" t="inlineStr">
        <is>
          <t>01 中信</t>
        </is>
      </c>
      <c r="H508" s="153" t="n">
        <v>8623199</v>
      </c>
      <c r="I508" s="153" t="n">
        <v>5466530</v>
      </c>
      <c r="J508" s="153" t="n">
        <v>126806</v>
      </c>
      <c r="K508" s="153" t="n">
        <v>80518</v>
      </c>
      <c r="L508" s="153" t="n">
        <v>15763.291</v>
      </c>
      <c r="M508" s="11" t="n"/>
      <c r="N508" s="153" t="n">
        <v>58076.845</v>
      </c>
      <c r="O508" s="11" t="n"/>
      <c r="P508" s="11" t="n"/>
      <c r="Q508" s="12" t="n"/>
      <c r="R508" s="11" t="n"/>
      <c r="S508" s="11" t="n"/>
      <c r="T508" s="11" t="n"/>
      <c r="U508" s="11" t="n"/>
      <c r="V508" s="154" t="n"/>
      <c r="W508" s="11" t="n"/>
      <c r="X508" s="13" t="n"/>
      <c r="Y508" s="13" t="n"/>
      <c r="Z508" s="13" t="n"/>
      <c r="AA508" s="13" t="n"/>
      <c r="AB508" s="13" t="n"/>
      <c r="AC508" s="13" t="n"/>
      <c r="AD508" s="13" t="n"/>
      <c r="AE508" s="13" t="n"/>
      <c r="AF508" s="13" t="n"/>
      <c r="AG508" s="13" t="n"/>
      <c r="AH508" s="13" t="n"/>
      <c r="AI508" s="13" t="n"/>
    </row>
    <row r="509">
      <c r="A509" s="14" t="n">
        <v>202303</v>
      </c>
      <c r="B509" s="15">
        <f>LEFT(creditcard[[#This Row],[YYYYMM]],4)</f>
        <v/>
      </c>
      <c r="C509" s="15">
        <f>RIGHT(creditcard[[#This Row],[YYYYMM]],2)</f>
        <v/>
      </c>
      <c r="D509" s="15">
        <f>IF(RIGHT(creditcard[[#This Row],[YYYYMM]],2)="--","--","Q"&amp;ROUNDUP(VALUE(RIGHT(creditcard[[#This Row],[YYYYMM]],2))/3,0))</f>
        <v/>
      </c>
      <c r="E509" s="15" t="n">
        <v>2</v>
      </c>
      <c r="F509" s="155" t="inlineStr">
        <is>
          <t>富邦</t>
        </is>
      </c>
      <c r="G509" s="156" t="inlineStr">
        <is>
          <t>02 富邦</t>
        </is>
      </c>
      <c r="H509" s="157" t="n">
        <v>5536317</v>
      </c>
      <c r="I509" s="157" t="n">
        <v>3650003</v>
      </c>
      <c r="J509" s="157" t="n">
        <v>381268</v>
      </c>
      <c r="K509" s="157" t="n">
        <v>24718</v>
      </c>
      <c r="L509" s="157" t="n">
        <v>6400.321</v>
      </c>
      <c r="M509" s="16" t="n"/>
      <c r="N509" s="157" t="n">
        <v>36185.836</v>
      </c>
      <c r="O509" s="16" t="n"/>
      <c r="P509" s="16" t="n"/>
      <c r="Q509" s="17" t="n"/>
      <c r="R509" s="16" t="n"/>
      <c r="S509" s="16" t="n"/>
      <c r="T509" s="16" t="n"/>
      <c r="U509" s="16" t="n"/>
      <c r="V509" s="158" t="n"/>
      <c r="W509" s="16" t="n"/>
      <c r="X509" s="18" t="n"/>
      <c r="Y509" s="18" t="n"/>
      <c r="Z509" s="18" t="n"/>
      <c r="AA509" s="18" t="n"/>
      <c r="AB509" s="18" t="n"/>
      <c r="AC509" s="18" t="n"/>
      <c r="AD509" s="18" t="n"/>
      <c r="AE509" s="18" t="n"/>
      <c r="AF509" s="18" t="n"/>
      <c r="AG509" s="18" t="n"/>
      <c r="AH509" s="18" t="n"/>
      <c r="AI509" s="18" t="n"/>
    </row>
    <row r="510">
      <c r="A510" s="9" t="n">
        <v>202303</v>
      </c>
      <c r="B510" s="10">
        <f>LEFT(creditcard[[#This Row],[YYYYMM]],4)</f>
        <v/>
      </c>
      <c r="C510" s="10">
        <f>RIGHT(creditcard[[#This Row],[YYYYMM]],2)</f>
        <v/>
      </c>
      <c r="D510" s="10">
        <f>IF(RIGHT(creditcard[[#This Row],[YYYYMM]],2)="--","--","Q"&amp;ROUNDUP(VALUE(RIGHT(creditcard[[#This Row],[YYYYMM]],2))/3,0))</f>
        <v/>
      </c>
      <c r="E510" s="10" t="n">
        <v>3</v>
      </c>
      <c r="F510" s="151" t="inlineStr">
        <is>
          <t>國泰</t>
        </is>
      </c>
      <c r="G510" s="152" t="inlineStr">
        <is>
          <t>03 國泰</t>
        </is>
      </c>
      <c r="H510" s="153" t="n">
        <v>10319780</v>
      </c>
      <c r="I510" s="153" t="n">
        <v>6380658</v>
      </c>
      <c r="J510" s="153" t="n">
        <v>610363</v>
      </c>
      <c r="K510" s="153" t="n">
        <v>130306</v>
      </c>
      <c r="L510" s="153" t="n">
        <v>18419.236</v>
      </c>
      <c r="M510" s="11" t="n"/>
      <c r="N510" s="153" t="n">
        <v>64311.742</v>
      </c>
      <c r="O510" s="11" t="n"/>
      <c r="P510" s="11" t="n"/>
      <c r="Q510" s="12" t="n"/>
      <c r="R510" s="11" t="n"/>
      <c r="S510" s="11" t="n"/>
      <c r="T510" s="11" t="n"/>
      <c r="U510" s="11" t="n"/>
      <c r="V510" s="154" t="n"/>
      <c r="W510" s="11" t="n"/>
      <c r="X510" s="13" t="n"/>
      <c r="Y510" s="13" t="n"/>
      <c r="Z510" s="13" t="n"/>
      <c r="AA510" s="13" t="n"/>
      <c r="AB510" s="13" t="n"/>
      <c r="AC510" s="13" t="n"/>
      <c r="AD510" s="13" t="n"/>
      <c r="AE510" s="13" t="n"/>
      <c r="AF510" s="13" t="n"/>
      <c r="AG510" s="13" t="n"/>
      <c r="AH510" s="13" t="n"/>
      <c r="AI510" s="13" t="n"/>
    </row>
    <row r="511">
      <c r="A511" s="14" t="n">
        <v>202303</v>
      </c>
      <c r="B511" s="15">
        <f>LEFT(creditcard[[#This Row],[YYYYMM]],4)</f>
        <v/>
      </c>
      <c r="C511" s="15">
        <f>RIGHT(creditcard[[#This Row],[YYYYMM]],2)</f>
        <v/>
      </c>
      <c r="D511" s="15">
        <f>IF(RIGHT(creditcard[[#This Row],[YYYYMM]],2)="--","--","Q"&amp;ROUNDUP(VALUE(RIGHT(creditcard[[#This Row],[YYYYMM]],2))/3,0))</f>
        <v/>
      </c>
      <c r="E511" s="15" t="n">
        <v>4</v>
      </c>
      <c r="F511" s="155" t="inlineStr">
        <is>
          <t>玉山</t>
        </is>
      </c>
      <c r="G511" s="156" t="inlineStr">
        <is>
          <t>04 玉山</t>
        </is>
      </c>
      <c r="H511" s="157" t="n">
        <v>6990605</v>
      </c>
      <c r="I511" s="157" t="n">
        <v>4700695</v>
      </c>
      <c r="J511" s="157" t="n">
        <v>117205</v>
      </c>
      <c r="K511" s="157" t="n">
        <v>40705</v>
      </c>
      <c r="L511" s="157" t="n">
        <v>12696.928</v>
      </c>
      <c r="M511" s="16" t="n"/>
      <c r="N511" s="157" t="n">
        <v>41944.767</v>
      </c>
      <c r="O511" s="16" t="n"/>
      <c r="P511" s="16" t="n"/>
      <c r="Q511" s="17" t="n"/>
      <c r="R511" s="16" t="n"/>
      <c r="S511" s="16" t="n"/>
      <c r="T511" s="16" t="n"/>
      <c r="U511" s="16" t="n"/>
      <c r="V511" s="158" t="n"/>
      <c r="W511" s="16" t="n"/>
      <c r="X511" s="18" t="n"/>
      <c r="Y511" s="18" t="n"/>
      <c r="Z511" s="18" t="n"/>
      <c r="AA511" s="18" t="n"/>
      <c r="AB511" s="18" t="n"/>
      <c r="AC511" s="18" t="n"/>
      <c r="AD511" s="18" t="n"/>
      <c r="AE511" s="18" t="n"/>
      <c r="AF511" s="18" t="n"/>
      <c r="AG511" s="18" t="n"/>
      <c r="AH511" s="18" t="n"/>
      <c r="AI511" s="18" t="n"/>
    </row>
    <row r="512">
      <c r="A512" s="9" t="n">
        <v>202303</v>
      </c>
      <c r="B512" s="10">
        <f>LEFT(creditcard[[#This Row],[YYYYMM]],4)</f>
        <v/>
      </c>
      <c r="C512" s="10">
        <f>RIGHT(creditcard[[#This Row],[YYYYMM]],2)</f>
        <v/>
      </c>
      <c r="D512" s="10">
        <f>IF(RIGHT(creditcard[[#This Row],[YYYYMM]],2)="--","--","Q"&amp;ROUNDUP(VALUE(RIGHT(creditcard[[#This Row],[YYYYMM]],2))/3,0))</f>
        <v/>
      </c>
      <c r="E512" s="10" t="n">
        <v>5</v>
      </c>
      <c r="F512" s="151" t="inlineStr">
        <is>
          <t>台新</t>
        </is>
      </c>
      <c r="G512" s="152" t="inlineStr">
        <is>
          <t>05 台新</t>
        </is>
      </c>
      <c r="H512" s="153" t="n">
        <v>6358614</v>
      </c>
      <c r="I512" s="153" t="n">
        <v>4331528</v>
      </c>
      <c r="J512" s="153" t="n">
        <v>73221</v>
      </c>
      <c r="K512" s="153" t="n">
        <v>31560</v>
      </c>
      <c r="L512" s="153" t="n">
        <v>10014.805</v>
      </c>
      <c r="M512" s="11" t="n"/>
      <c r="N512" s="153" t="n">
        <v>36018.117</v>
      </c>
      <c r="O512" s="11" t="n"/>
      <c r="P512" s="11" t="n"/>
      <c r="Q512" s="12" t="n"/>
      <c r="R512" s="11" t="n"/>
      <c r="S512" s="11" t="n"/>
      <c r="T512" s="11" t="n"/>
      <c r="U512" s="11" t="n"/>
      <c r="V512" s="154" t="n"/>
      <c r="W512" s="11" t="n"/>
      <c r="X512" s="13" t="n"/>
      <c r="Y512" s="13" t="n"/>
      <c r="Z512" s="13" t="n"/>
      <c r="AA512" s="13" t="n"/>
      <c r="AB512" s="13" t="n"/>
      <c r="AC512" s="13" t="n"/>
      <c r="AD512" s="13" t="n"/>
      <c r="AE512" s="13" t="n"/>
      <c r="AF512" s="13" t="n"/>
      <c r="AG512" s="13" t="n"/>
      <c r="AH512" s="13" t="n"/>
      <c r="AI512" s="13" t="n"/>
    </row>
    <row r="513">
      <c r="A513" s="14" t="n">
        <v>202303</v>
      </c>
      <c r="B513" s="15">
        <f>LEFT(creditcard[[#This Row],[YYYYMM]],4)</f>
        <v/>
      </c>
      <c r="C513" s="15">
        <f>RIGHT(creditcard[[#This Row],[YYYYMM]],2)</f>
        <v/>
      </c>
      <c r="D513" s="15">
        <f>IF(RIGHT(creditcard[[#This Row],[YYYYMM]],2)="--","--","Q"&amp;ROUNDUP(VALUE(RIGHT(creditcard[[#This Row],[YYYYMM]],2))/3,0))</f>
        <v/>
      </c>
      <c r="E513" s="15" t="n">
        <v>6</v>
      </c>
      <c r="F513" s="155" t="inlineStr">
        <is>
          <t>星展</t>
        </is>
      </c>
      <c r="G513" s="156" t="inlineStr">
        <is>
          <t>06 星展</t>
        </is>
      </c>
      <c r="H513" s="157" t="n">
        <v>661906</v>
      </c>
      <c r="I513" s="157" t="n">
        <v>337786</v>
      </c>
      <c r="J513" s="157" t="n">
        <v>7106</v>
      </c>
      <c r="K513" s="157" t="n">
        <v>4808</v>
      </c>
      <c r="L513" s="157" t="n">
        <v>1291</v>
      </c>
      <c r="M513" s="16" t="n"/>
      <c r="N513" s="157" t="n">
        <v>4354</v>
      </c>
      <c r="O513" s="16" t="n"/>
      <c r="P513" s="16" t="n"/>
      <c r="Q513" s="17" t="n"/>
      <c r="R513" s="16" t="n"/>
      <c r="S513" s="16" t="n"/>
      <c r="T513" s="16" t="n"/>
      <c r="U513" s="16" t="n"/>
      <c r="V513" s="158" t="n"/>
      <c r="W513" s="16" t="n"/>
      <c r="X513" s="18" t="n"/>
      <c r="Y513" s="18" t="n"/>
      <c r="Z513" s="18" t="n"/>
      <c r="AA513" s="18" t="n"/>
      <c r="AB513" s="18" t="n"/>
      <c r="AC513" s="18" t="n"/>
      <c r="AD513" s="18" t="n"/>
      <c r="AE513" s="18" t="n"/>
      <c r="AF513" s="18" t="n"/>
      <c r="AG513" s="18" t="n"/>
      <c r="AH513" s="18" t="n"/>
      <c r="AI513" s="18" t="n"/>
    </row>
    <row r="514">
      <c r="A514" s="9" t="n">
        <v>202303</v>
      </c>
      <c r="B514" s="10">
        <f>LEFT(creditcard[[#This Row],[YYYYMM]],4)</f>
        <v/>
      </c>
      <c r="C514" s="10">
        <f>RIGHT(creditcard[[#This Row],[YYYYMM]],2)</f>
        <v/>
      </c>
      <c r="D514" s="10">
        <f>IF(RIGHT(creditcard[[#This Row],[YYYYMM]],2)="--","--","Q"&amp;ROUNDUP(VALUE(RIGHT(creditcard[[#This Row],[YYYYMM]],2))/3,0))</f>
        <v/>
      </c>
      <c r="E514" s="10" t="n">
        <v>7</v>
      </c>
      <c r="F514" s="151" t="inlineStr">
        <is>
          <t>聯邦</t>
        </is>
      </c>
      <c r="G514" s="152" t="inlineStr">
        <is>
          <t>07 聯邦</t>
        </is>
      </c>
      <c r="H514" s="153" t="n">
        <v>2543402</v>
      </c>
      <c r="I514" s="153" t="n">
        <v>1478870</v>
      </c>
      <c r="J514" s="153" t="n">
        <v>60860</v>
      </c>
      <c r="K514" s="153" t="n">
        <v>19729</v>
      </c>
      <c r="L514" s="153" t="n">
        <v>5578.559</v>
      </c>
      <c r="M514" s="11" t="n"/>
      <c r="N514" s="153" t="n">
        <v>12685.051</v>
      </c>
      <c r="O514" s="11" t="n"/>
      <c r="P514" s="11" t="n"/>
      <c r="Q514" s="12" t="n"/>
      <c r="R514" s="11" t="n"/>
      <c r="S514" s="11" t="n"/>
      <c r="T514" s="11" t="n"/>
      <c r="U514" s="11" t="n"/>
      <c r="V514" s="154" t="n"/>
      <c r="W514" s="11" t="n"/>
      <c r="X514" s="13" t="n"/>
      <c r="Y514" s="13" t="n"/>
      <c r="Z514" s="13" t="n"/>
      <c r="AA514" s="13" t="n"/>
      <c r="AB514" s="13" t="n"/>
      <c r="AC514" s="13" t="n"/>
      <c r="AD514" s="13" t="n"/>
      <c r="AE514" s="13" t="n"/>
      <c r="AF514" s="13" t="n"/>
      <c r="AG514" s="13" t="n"/>
      <c r="AH514" s="13" t="n"/>
      <c r="AI514" s="13" t="n"/>
    </row>
    <row r="515">
      <c r="A515" s="14" t="n">
        <v>202303</v>
      </c>
      <c r="B515" s="15">
        <f>LEFT(creditcard[[#This Row],[YYYYMM]],4)</f>
        <v/>
      </c>
      <c r="C515" s="15">
        <f>RIGHT(creditcard[[#This Row],[YYYYMM]],2)</f>
        <v/>
      </c>
      <c r="D515" s="15">
        <f>IF(RIGHT(creditcard[[#This Row],[YYYYMM]],2)="--","--","Q"&amp;ROUNDUP(VALUE(RIGHT(creditcard[[#This Row],[YYYYMM]],2))/3,0))</f>
        <v/>
      </c>
      <c r="E515" s="15" t="n">
        <v>8</v>
      </c>
      <c r="F515" s="155" t="inlineStr">
        <is>
          <t>永豐</t>
        </is>
      </c>
      <c r="G515" s="156" t="inlineStr">
        <is>
          <t>08 永豐</t>
        </is>
      </c>
      <c r="H515" s="157" t="n">
        <v>2291349</v>
      </c>
      <c r="I515" s="157" t="n">
        <v>1241034</v>
      </c>
      <c r="J515" s="157" t="n">
        <v>16159</v>
      </c>
      <c r="K515" s="157" t="n">
        <v>22941</v>
      </c>
      <c r="L515" s="157" t="n">
        <v>3847.72</v>
      </c>
      <c r="M515" s="16" t="n"/>
      <c r="N515" s="157" t="n">
        <v>12136.101</v>
      </c>
      <c r="O515" s="16" t="n"/>
      <c r="P515" s="16" t="n"/>
      <c r="Q515" s="17" t="n"/>
      <c r="R515" s="16" t="n"/>
      <c r="S515" s="16" t="n"/>
      <c r="T515" s="16" t="n"/>
      <c r="U515" s="16" t="n"/>
      <c r="V515" s="158" t="n"/>
      <c r="W515" s="16" t="n"/>
      <c r="X515" s="18" t="n"/>
      <c r="Y515" s="18" t="n"/>
      <c r="Z515" s="18" t="n"/>
      <c r="AA515" s="18" t="n"/>
      <c r="AB515" s="18" t="n"/>
      <c r="AC515" s="18" t="n"/>
      <c r="AD515" s="18" t="n"/>
      <c r="AE515" s="18" t="n"/>
      <c r="AF515" s="18" t="n"/>
      <c r="AG515" s="18" t="n"/>
      <c r="AH515" s="18" t="n"/>
      <c r="AI515" s="18" t="n"/>
    </row>
    <row r="516">
      <c r="A516" s="9" t="n">
        <v>202303</v>
      </c>
      <c r="B516" s="10">
        <f>LEFT(creditcard[[#This Row],[YYYYMM]],4)</f>
        <v/>
      </c>
      <c r="C516" s="10">
        <f>RIGHT(creditcard[[#This Row],[YYYYMM]],2)</f>
        <v/>
      </c>
      <c r="D516" s="10">
        <f>IF(RIGHT(creditcard[[#This Row],[YYYYMM]],2)="--","--","Q"&amp;ROUNDUP(VALUE(RIGHT(creditcard[[#This Row],[YYYYMM]],2))/3,0))</f>
        <v/>
      </c>
      <c r="E516" s="10" t="n">
        <v>9</v>
      </c>
      <c r="F516" s="151" t="inlineStr">
        <is>
          <t>第一</t>
        </is>
      </c>
      <c r="G516" s="152" t="inlineStr">
        <is>
          <t>09 第一</t>
        </is>
      </c>
      <c r="H516" s="153" t="n">
        <v>1517413</v>
      </c>
      <c r="I516" s="153" t="n">
        <v>925554</v>
      </c>
      <c r="J516" s="153" t="n">
        <v>20964</v>
      </c>
      <c r="K516" s="153" t="n">
        <v>11588</v>
      </c>
      <c r="L516" s="153" t="n">
        <v>1561</v>
      </c>
      <c r="M516" s="11" t="n"/>
      <c r="N516" s="153" t="n">
        <v>6555</v>
      </c>
      <c r="O516" s="11" t="n"/>
      <c r="P516" s="11" t="n"/>
      <c r="Q516" s="12" t="n"/>
      <c r="R516" s="11" t="n"/>
      <c r="S516" s="11" t="n"/>
      <c r="T516" s="11" t="n"/>
      <c r="U516" s="11" t="n"/>
      <c r="V516" s="154" t="n"/>
      <c r="W516" s="11" t="n"/>
      <c r="X516" s="13" t="n"/>
      <c r="Y516" s="13" t="n"/>
      <c r="Z516" s="13" t="n"/>
      <c r="AA516" s="13" t="n"/>
      <c r="AB516" s="13" t="n"/>
      <c r="AC516" s="13" t="n"/>
      <c r="AD516" s="13" t="n"/>
      <c r="AE516" s="13" t="n"/>
      <c r="AF516" s="13" t="n"/>
      <c r="AG516" s="13" t="n"/>
      <c r="AH516" s="13" t="n"/>
      <c r="AI516" s="13" t="n"/>
    </row>
    <row r="517">
      <c r="A517" s="14" t="n">
        <v>202303</v>
      </c>
      <c r="B517" s="15">
        <f>LEFT(creditcard[[#This Row],[YYYYMM]],4)</f>
        <v/>
      </c>
      <c r="C517" s="15">
        <f>RIGHT(creditcard[[#This Row],[YYYYMM]],2)</f>
        <v/>
      </c>
      <c r="D517" s="15">
        <f>IF(RIGHT(creditcard[[#This Row],[YYYYMM]],2)="--","--","Q"&amp;ROUNDUP(VALUE(RIGHT(creditcard[[#This Row],[YYYYMM]],2))/3,0))</f>
        <v/>
      </c>
      <c r="E517" s="15" t="n">
        <v>10</v>
      </c>
      <c r="F517" s="155" t="inlineStr">
        <is>
          <t>遠東</t>
        </is>
      </c>
      <c r="G517" s="156" t="inlineStr">
        <is>
          <t>10 遠東</t>
        </is>
      </c>
      <c r="H517" s="157" t="n">
        <v>1432853</v>
      </c>
      <c r="I517" s="157" t="n">
        <v>1016400</v>
      </c>
      <c r="J517" s="157" t="n">
        <v>11998</v>
      </c>
      <c r="K517" s="157" t="n">
        <v>143185</v>
      </c>
      <c r="L517" s="157" t="n">
        <v>3523.537</v>
      </c>
      <c r="M517" s="16" t="n"/>
      <c r="N517" s="157" t="n">
        <v>4727.941</v>
      </c>
      <c r="O517" s="16" t="n"/>
      <c r="P517" s="16" t="n"/>
      <c r="Q517" s="17" t="n"/>
      <c r="R517" s="16" t="n"/>
      <c r="S517" s="16" t="n"/>
      <c r="T517" s="16" t="n"/>
      <c r="U517" s="16" t="n"/>
      <c r="V517" s="158" t="n"/>
      <c r="W517" s="16" t="n"/>
      <c r="X517" s="18" t="n"/>
      <c r="Y517" s="18" t="n"/>
      <c r="Z517" s="18" t="n"/>
      <c r="AA517" s="18" t="n"/>
      <c r="AB517" s="18" t="n"/>
      <c r="AC517" s="18" t="n"/>
      <c r="AD517" s="18" t="n"/>
      <c r="AE517" s="18" t="n"/>
      <c r="AF517" s="18" t="n"/>
      <c r="AG517" s="18" t="n"/>
      <c r="AH517" s="18" t="n"/>
      <c r="AI517" s="18" t="n"/>
    </row>
    <row r="518">
      <c r="A518" s="9" t="n">
        <v>202303</v>
      </c>
      <c r="B518" s="10">
        <f>LEFT(creditcard[[#This Row],[YYYYMM]],4)</f>
        <v/>
      </c>
      <c r="C518" s="10">
        <f>RIGHT(creditcard[[#This Row],[YYYYMM]],2)</f>
        <v/>
      </c>
      <c r="D518" s="10">
        <f>IF(RIGHT(creditcard[[#This Row],[YYYYMM]],2)="--","--","Q"&amp;ROUNDUP(VALUE(RIGHT(creditcard[[#This Row],[YYYYMM]],2))/3,0))</f>
        <v/>
      </c>
      <c r="E518" s="10" t="n">
        <v>11</v>
      </c>
      <c r="F518" s="151" t="inlineStr">
        <is>
          <t>市場總計</t>
        </is>
      </c>
      <c r="G518" s="152" t="inlineStr">
        <is>
          <t>11 市場總計</t>
        </is>
      </c>
      <c r="H518" s="153" t="n">
        <v>58706029</v>
      </c>
      <c r="I518" s="153" t="n">
        <v>37037131</v>
      </c>
      <c r="J518" s="153" t="n">
        <v>1563264</v>
      </c>
      <c r="K518" s="153" t="n">
        <v>623218</v>
      </c>
      <c r="L518" s="153" t="n">
        <v>102770.292</v>
      </c>
      <c r="M518" s="11" t="n"/>
      <c r="N518" s="153" t="n">
        <v>346912.61</v>
      </c>
      <c r="O518" s="11" t="n"/>
      <c r="P518" s="11" t="n"/>
      <c r="Q518" s="12" t="n"/>
      <c r="R518" s="11" t="n"/>
      <c r="S518" s="11" t="n"/>
      <c r="T518" s="11" t="n"/>
      <c r="U518" s="11" t="n"/>
      <c r="V518" s="154" t="n">
        <v>4.77</v>
      </c>
      <c r="W518" s="11">
        <f>SUMIFS(H:H,A:A,creditcard[[#This Row],[YYYYMM]],G:G,creditcard[[#This Row],[Item]])</f>
        <v/>
      </c>
      <c r="X518" s="4">
        <f>IFERROR(SUMIFS(H:H,A:A,creditcard[[#This Row],[YYYYMM]],E:E,"&lt;=5")/creditcard[[#This Row],[市場總計]],"")</f>
        <v/>
      </c>
      <c r="Y518" s="4">
        <f>IFERROR(SUMIFS(H:H,A:A,creditcard[[#This Row],[YYYYMM]],E:E,"&lt;=10")/creditcard[[#This Row],[市場總計]],"")</f>
        <v/>
      </c>
      <c r="Z518" s="4">
        <f>IFERROR(SUMIFS(I:I,A:A,creditcard[[#This Row],[YYYYMM]],E:E,"&lt;=5")/creditcard[[#This Row],[有效卡數]],"")</f>
        <v/>
      </c>
      <c r="AA518" s="4">
        <f>IFERROR(SUMIFS(I:I,A:A,creditcard[[#This Row],[YYYYMM]],E:E,"&lt;=10")/creditcard[[#This Row],[有效卡數]],"")</f>
        <v/>
      </c>
      <c r="AB518" s="4">
        <f>IFERROR(SUMIFS(J:J,A:A,creditcard[[#This Row],[YYYYMM]],E:E,"&lt;=5")/creditcard[[#This Row],[當月發卡數]],"")</f>
        <v/>
      </c>
      <c r="AC518" s="4">
        <f>IFERROR(SUMIFS(J:J,A:A,creditcard[[#This Row],[YYYYMM]],E:E,"&lt;=10")/creditcard[[#This Row],[當月發卡數]],"")</f>
        <v/>
      </c>
      <c r="AD518" s="4">
        <f>IFERROR(SUMIFS(K:K,A:A,creditcard[[#This Row],[YYYYMM]],E:E,"&lt;=5")/creditcard[[#This Row],[當月停卡數]],"")</f>
        <v/>
      </c>
      <c r="AE518" s="4">
        <f>IFERROR(SUMIFS(K:K,A:A,creditcard[[#This Row],[YYYYMM]],E:E,"&lt;=10")/creditcard[[#This Row],[當月停卡數]],"")</f>
        <v/>
      </c>
      <c r="AF518" s="4">
        <f>IFERROR(SUMIFS(L:L,A:A,creditcard[[#This Row],[YYYYMM]],E:E,"&lt;=5")/creditcard[[#This Row],[循環信用餘額]],"")</f>
        <v/>
      </c>
      <c r="AG518" s="4">
        <f>IFERROR(SUMIFS(L:L,A:A,creditcard[[#This Row],[YYYYMM]],E:E,"&lt;=10")/creditcard[[#This Row],[循環信用餘額]],"")</f>
        <v/>
      </c>
      <c r="AH518" s="4">
        <f>IFERROR(SUMIFS(N:N,A:A,creditcard[[#This Row],[YYYYMM]],E:E,"&lt;=5")/creditcard[[#This Row],[當月簽帳金額]],"")</f>
        <v/>
      </c>
      <c r="AI518" s="4">
        <f>IFERROR(SUMIFS(N:N,A:A,creditcard[[#This Row],[YYYYMM]],E:E,"&lt;=10")/creditcard[[#This Row],[當月簽帳金額]],"")</f>
        <v/>
      </c>
    </row>
    <row r="519">
      <c r="A519" s="14" t="n">
        <v>202304</v>
      </c>
      <c r="B519" s="15">
        <f>LEFT(creditcard[[#This Row],[YYYYMM]],4)</f>
        <v/>
      </c>
      <c r="C519" s="15">
        <f>RIGHT(creditcard[[#This Row],[YYYYMM]],2)</f>
        <v/>
      </c>
      <c r="D519" s="15">
        <f>IF(RIGHT(creditcard[[#This Row],[YYYYMM]],2)="--","--","Q"&amp;ROUNDUP(VALUE(RIGHT(creditcard[[#This Row],[YYYYMM]],2))/3,0))</f>
        <v/>
      </c>
      <c r="E519" s="15" t="n">
        <v>1</v>
      </c>
      <c r="F519" s="155" t="inlineStr">
        <is>
          <t>中信</t>
        </is>
      </c>
      <c r="G519" s="156" t="inlineStr">
        <is>
          <t>01 中信</t>
        </is>
      </c>
      <c r="H519" s="157" t="n">
        <v>8681234</v>
      </c>
      <c r="I519" s="157" t="n">
        <v>5498319</v>
      </c>
      <c r="J519" s="157" t="n">
        <v>97345</v>
      </c>
      <c r="K519" s="157" t="n">
        <v>39310</v>
      </c>
      <c r="L519" s="157" t="n">
        <v>15494.155</v>
      </c>
      <c r="M519" s="16" t="n"/>
      <c r="N519" s="157" t="n">
        <v>47839.22</v>
      </c>
      <c r="O519" s="16" t="n"/>
      <c r="P519" s="16" t="n"/>
      <c r="Q519" s="17" t="n"/>
      <c r="R519" s="16" t="n"/>
      <c r="S519" s="16" t="n"/>
      <c r="T519" s="16" t="n"/>
      <c r="U519" s="16" t="n"/>
      <c r="V519" s="158" t="n"/>
      <c r="W519" s="16" t="n"/>
      <c r="X519" s="18" t="n"/>
      <c r="Y519" s="18" t="n"/>
      <c r="Z519" s="18" t="n"/>
      <c r="AA519" s="18" t="n"/>
      <c r="AB519" s="18" t="n"/>
      <c r="AC519" s="18" t="n"/>
      <c r="AD519" s="18" t="n"/>
      <c r="AE519" s="18" t="n"/>
      <c r="AF519" s="18" t="n"/>
      <c r="AG519" s="18" t="n"/>
      <c r="AH519" s="18" t="n"/>
      <c r="AI519" s="18" t="n"/>
    </row>
    <row r="520">
      <c r="A520" s="9" t="n">
        <v>202304</v>
      </c>
      <c r="B520" s="10">
        <f>LEFT(creditcard[[#This Row],[YYYYMM]],4)</f>
        <v/>
      </c>
      <c r="C520" s="10">
        <f>RIGHT(creditcard[[#This Row],[YYYYMM]],2)</f>
        <v/>
      </c>
      <c r="D520" s="10">
        <f>IF(RIGHT(creditcard[[#This Row],[YYYYMM]],2)="--","--","Q"&amp;ROUNDUP(VALUE(RIGHT(creditcard[[#This Row],[YYYYMM]],2))/3,0))</f>
        <v/>
      </c>
      <c r="E520" s="10" t="n">
        <v>2</v>
      </c>
      <c r="F520" s="151" t="inlineStr">
        <is>
          <t>富邦</t>
        </is>
      </c>
      <c r="G520" s="152" t="inlineStr">
        <is>
          <t>02 富邦</t>
        </is>
      </c>
      <c r="H520" s="153" t="n">
        <v>5908703</v>
      </c>
      <c r="I520" s="153" t="n">
        <v>3884748</v>
      </c>
      <c r="J520" s="153" t="n">
        <v>260215</v>
      </c>
      <c r="K520" s="153" t="n">
        <v>18951</v>
      </c>
      <c r="L520" s="153" t="n">
        <v>6822.826</v>
      </c>
      <c r="M520" s="11" t="n"/>
      <c r="N520" s="153" t="n">
        <v>30014.746</v>
      </c>
      <c r="O520" s="11" t="n"/>
      <c r="P520" s="11" t="n"/>
      <c r="Q520" s="12" t="n"/>
      <c r="R520" s="11" t="n"/>
      <c r="S520" s="11" t="n"/>
      <c r="T520" s="11" t="n"/>
      <c r="U520" s="11" t="n"/>
      <c r="V520" s="154" t="n"/>
      <c r="W520" s="11" t="n"/>
      <c r="X520" s="13" t="n"/>
      <c r="Y520" s="13" t="n"/>
      <c r="Z520" s="13" t="n"/>
      <c r="AA520" s="13" t="n"/>
      <c r="AB520" s="13" t="n"/>
      <c r="AC520" s="13" t="n"/>
      <c r="AD520" s="13" t="n"/>
      <c r="AE520" s="13" t="n"/>
      <c r="AF520" s="13" t="n"/>
      <c r="AG520" s="13" t="n"/>
      <c r="AH520" s="13" t="n"/>
      <c r="AI520" s="13" t="n"/>
    </row>
    <row r="521">
      <c r="A521" s="14" t="n">
        <v>202304</v>
      </c>
      <c r="B521" s="15">
        <f>LEFT(creditcard[[#This Row],[YYYYMM]],4)</f>
        <v/>
      </c>
      <c r="C521" s="15">
        <f>RIGHT(creditcard[[#This Row],[YYYYMM]],2)</f>
        <v/>
      </c>
      <c r="D521" s="15">
        <f>IF(RIGHT(creditcard[[#This Row],[YYYYMM]],2)="--","--","Q"&amp;ROUNDUP(VALUE(RIGHT(creditcard[[#This Row],[YYYYMM]],2))/3,0))</f>
        <v/>
      </c>
      <c r="E521" s="15" t="n">
        <v>3</v>
      </c>
      <c r="F521" s="155" t="inlineStr">
        <is>
          <t>國泰</t>
        </is>
      </c>
      <c r="G521" s="156" t="inlineStr">
        <is>
          <t>03 國泰</t>
        </is>
      </c>
      <c r="H521" s="157" t="n">
        <v>10288846</v>
      </c>
      <c r="I521" s="157" t="n">
        <v>6503877</v>
      </c>
      <c r="J521" s="157" t="n">
        <v>62183</v>
      </c>
      <c r="K521" s="157" t="n">
        <v>93117</v>
      </c>
      <c r="L521" s="157" t="n">
        <v>19312.763</v>
      </c>
      <c r="M521" s="16" t="n"/>
      <c r="N521" s="157" t="n">
        <v>49984.137</v>
      </c>
      <c r="O521" s="16" t="n"/>
      <c r="P521" s="16" t="n"/>
      <c r="Q521" s="17" t="n"/>
      <c r="R521" s="16" t="n"/>
      <c r="S521" s="16" t="n"/>
      <c r="T521" s="16" t="n"/>
      <c r="U521" s="16" t="n"/>
      <c r="V521" s="158" t="n"/>
      <c r="W521" s="16" t="n"/>
      <c r="X521" s="18" t="n"/>
      <c r="Y521" s="18" t="n"/>
      <c r="Z521" s="18" t="n"/>
      <c r="AA521" s="18" t="n"/>
      <c r="AB521" s="18" t="n"/>
      <c r="AC521" s="18" t="n"/>
      <c r="AD521" s="18" t="n"/>
      <c r="AE521" s="18" t="n"/>
      <c r="AF521" s="18" t="n"/>
      <c r="AG521" s="18" t="n"/>
      <c r="AH521" s="18" t="n"/>
      <c r="AI521" s="18" t="n"/>
    </row>
    <row r="522">
      <c r="A522" s="9" t="n">
        <v>202304</v>
      </c>
      <c r="B522" s="10">
        <f>LEFT(creditcard[[#This Row],[YYYYMM]],4)</f>
        <v/>
      </c>
      <c r="C522" s="10">
        <f>RIGHT(creditcard[[#This Row],[YYYYMM]],2)</f>
        <v/>
      </c>
      <c r="D522" s="10">
        <f>IF(RIGHT(creditcard[[#This Row],[YYYYMM]],2)="--","--","Q"&amp;ROUNDUP(VALUE(RIGHT(creditcard[[#This Row],[YYYYMM]],2))/3,0))</f>
        <v/>
      </c>
      <c r="E522" s="10" t="n">
        <v>4</v>
      </c>
      <c r="F522" s="151" t="inlineStr">
        <is>
          <t>玉山</t>
        </is>
      </c>
      <c r="G522" s="152" t="inlineStr">
        <is>
          <t>04 玉山</t>
        </is>
      </c>
      <c r="H522" s="153" t="n">
        <v>7007847</v>
      </c>
      <c r="I522" s="153" t="n">
        <v>4719597</v>
      </c>
      <c r="J522" s="153" t="n">
        <v>58771</v>
      </c>
      <c r="K522" s="153" t="n">
        <v>41529</v>
      </c>
      <c r="L522" s="153" t="n">
        <v>12672.282</v>
      </c>
      <c r="M522" s="11" t="n"/>
      <c r="N522" s="153" t="n">
        <v>37423.703</v>
      </c>
      <c r="O522" s="11" t="n"/>
      <c r="P522" s="11" t="n"/>
      <c r="Q522" s="12" t="n"/>
      <c r="R522" s="11" t="n"/>
      <c r="S522" s="11" t="n"/>
      <c r="T522" s="11" t="n"/>
      <c r="U522" s="11" t="n"/>
      <c r="V522" s="154" t="n"/>
      <c r="W522" s="11" t="n"/>
      <c r="X522" s="13" t="n"/>
      <c r="Y522" s="13" t="n"/>
      <c r="Z522" s="13" t="n"/>
      <c r="AA522" s="13" t="n"/>
      <c r="AB522" s="13" t="n"/>
      <c r="AC522" s="13" t="n"/>
      <c r="AD522" s="13" t="n"/>
      <c r="AE522" s="13" t="n"/>
      <c r="AF522" s="13" t="n"/>
      <c r="AG522" s="13" t="n"/>
      <c r="AH522" s="13" t="n"/>
      <c r="AI522" s="13" t="n"/>
    </row>
    <row r="523">
      <c r="A523" s="14" t="n">
        <v>202304</v>
      </c>
      <c r="B523" s="15">
        <f>LEFT(creditcard[[#This Row],[YYYYMM]],4)</f>
        <v/>
      </c>
      <c r="C523" s="15">
        <f>RIGHT(creditcard[[#This Row],[YYYYMM]],2)</f>
        <v/>
      </c>
      <c r="D523" s="15">
        <f>IF(RIGHT(creditcard[[#This Row],[YYYYMM]],2)="--","--","Q"&amp;ROUNDUP(VALUE(RIGHT(creditcard[[#This Row],[YYYYMM]],2))/3,0))</f>
        <v/>
      </c>
      <c r="E523" s="15" t="n">
        <v>5</v>
      </c>
      <c r="F523" s="155" t="inlineStr">
        <is>
          <t>台新</t>
        </is>
      </c>
      <c r="G523" s="156" t="inlineStr">
        <is>
          <t>05 台新</t>
        </is>
      </c>
      <c r="H523" s="157" t="n">
        <v>6385442</v>
      </c>
      <c r="I523" s="157" t="n">
        <v>4360140</v>
      </c>
      <c r="J523" s="157" t="n">
        <v>51140</v>
      </c>
      <c r="K523" s="157" t="n">
        <v>24312</v>
      </c>
      <c r="L523" s="157" t="n">
        <v>9972.728999999999</v>
      </c>
      <c r="M523" s="16" t="n"/>
      <c r="N523" s="157" t="n">
        <v>30282.705</v>
      </c>
      <c r="O523" s="16" t="n"/>
      <c r="P523" s="16" t="n"/>
      <c r="Q523" s="17" t="n"/>
      <c r="R523" s="16" t="n"/>
      <c r="S523" s="16" t="n"/>
      <c r="T523" s="16" t="n"/>
      <c r="U523" s="16" t="n"/>
      <c r="V523" s="158" t="n"/>
      <c r="W523" s="16" t="n"/>
      <c r="X523" s="18" t="n"/>
      <c r="Y523" s="18" t="n"/>
      <c r="Z523" s="18" t="n"/>
      <c r="AA523" s="18" t="n"/>
      <c r="AB523" s="18" t="n"/>
      <c r="AC523" s="18" t="n"/>
      <c r="AD523" s="18" t="n"/>
      <c r="AE523" s="18" t="n"/>
      <c r="AF523" s="18" t="n"/>
      <c r="AG523" s="18" t="n"/>
      <c r="AH523" s="18" t="n"/>
      <c r="AI523" s="18" t="n"/>
    </row>
    <row r="524">
      <c r="A524" s="9" t="n">
        <v>202304</v>
      </c>
      <c r="B524" s="10">
        <f>LEFT(creditcard[[#This Row],[YYYYMM]],4)</f>
        <v/>
      </c>
      <c r="C524" s="10">
        <f>RIGHT(creditcard[[#This Row],[YYYYMM]],2)</f>
        <v/>
      </c>
      <c r="D524" s="10">
        <f>IF(RIGHT(creditcard[[#This Row],[YYYYMM]],2)="--","--","Q"&amp;ROUNDUP(VALUE(RIGHT(creditcard[[#This Row],[YYYYMM]],2))/3,0))</f>
        <v/>
      </c>
      <c r="E524" s="10" t="n">
        <v>6</v>
      </c>
      <c r="F524" s="151" t="inlineStr">
        <is>
          <t>星展</t>
        </is>
      </c>
      <c r="G524" s="152" t="inlineStr">
        <is>
          <t>06 星展</t>
        </is>
      </c>
      <c r="H524" s="153" t="n">
        <v>666421</v>
      </c>
      <c r="I524" s="153" t="n">
        <v>341644</v>
      </c>
      <c r="J524" s="153" t="n">
        <v>5942</v>
      </c>
      <c r="K524" s="153" t="n">
        <v>4268</v>
      </c>
      <c r="L524" s="153" t="n">
        <v>1295</v>
      </c>
      <c r="M524" s="11" t="n"/>
      <c r="N524" s="153" t="n">
        <v>3529</v>
      </c>
      <c r="O524" s="11" t="n"/>
      <c r="P524" s="11" t="n"/>
      <c r="Q524" s="12" t="n"/>
      <c r="R524" s="11" t="n"/>
      <c r="S524" s="11" t="n"/>
      <c r="T524" s="11" t="n"/>
      <c r="U524" s="11" t="n"/>
      <c r="V524" s="154" t="n"/>
      <c r="W524" s="11" t="n"/>
      <c r="X524" s="13" t="n"/>
      <c r="Y524" s="13" t="n"/>
      <c r="Z524" s="13" t="n"/>
      <c r="AA524" s="13" t="n"/>
      <c r="AB524" s="13" t="n"/>
      <c r="AC524" s="13" t="n"/>
      <c r="AD524" s="13" t="n"/>
      <c r="AE524" s="13" t="n"/>
      <c r="AF524" s="13" t="n"/>
      <c r="AG524" s="13" t="n"/>
      <c r="AH524" s="13" t="n"/>
      <c r="AI524" s="13" t="n"/>
    </row>
    <row r="525">
      <c r="A525" s="14" t="n">
        <v>202304</v>
      </c>
      <c r="B525" s="15">
        <f>LEFT(creditcard[[#This Row],[YYYYMM]],4)</f>
        <v/>
      </c>
      <c r="C525" s="15">
        <f>RIGHT(creditcard[[#This Row],[YYYYMM]],2)</f>
        <v/>
      </c>
      <c r="D525" s="15">
        <f>IF(RIGHT(creditcard[[#This Row],[YYYYMM]],2)="--","--","Q"&amp;ROUNDUP(VALUE(RIGHT(creditcard[[#This Row],[YYYYMM]],2))/3,0))</f>
        <v/>
      </c>
      <c r="E525" s="15" t="n">
        <v>7</v>
      </c>
      <c r="F525" s="155" t="inlineStr">
        <is>
          <t>聯邦</t>
        </is>
      </c>
      <c r="G525" s="156" t="inlineStr">
        <is>
          <t>07 聯邦</t>
        </is>
      </c>
      <c r="H525" s="157" t="n">
        <v>2566875</v>
      </c>
      <c r="I525" s="157" t="n">
        <v>1515979</v>
      </c>
      <c r="J525" s="157" t="n">
        <v>39356</v>
      </c>
      <c r="K525" s="157" t="n">
        <v>15883</v>
      </c>
      <c r="L525" s="157" t="n">
        <v>5539.38</v>
      </c>
      <c r="M525" s="16" t="n"/>
      <c r="N525" s="157" t="n">
        <v>11949.762</v>
      </c>
      <c r="O525" s="16" t="n"/>
      <c r="P525" s="16" t="n"/>
      <c r="Q525" s="17" t="n"/>
      <c r="R525" s="16" t="n"/>
      <c r="S525" s="16" t="n"/>
      <c r="T525" s="16" t="n"/>
      <c r="U525" s="16" t="n"/>
      <c r="V525" s="158" t="n"/>
      <c r="W525" s="16" t="n"/>
      <c r="X525" s="18" t="n"/>
      <c r="Y525" s="18" t="n"/>
      <c r="Z525" s="18" t="n"/>
      <c r="AA525" s="18" t="n"/>
      <c r="AB525" s="18" t="n"/>
      <c r="AC525" s="18" t="n"/>
      <c r="AD525" s="18" t="n"/>
      <c r="AE525" s="18" t="n"/>
      <c r="AF525" s="18" t="n"/>
      <c r="AG525" s="18" t="n"/>
      <c r="AH525" s="18" t="n"/>
      <c r="AI525" s="18" t="n"/>
    </row>
    <row r="526">
      <c r="A526" s="9" t="n">
        <v>202304</v>
      </c>
      <c r="B526" s="10">
        <f>LEFT(creditcard[[#This Row],[YYYYMM]],4)</f>
        <v/>
      </c>
      <c r="C526" s="10">
        <f>RIGHT(creditcard[[#This Row],[YYYYMM]],2)</f>
        <v/>
      </c>
      <c r="D526" s="10">
        <f>IF(RIGHT(creditcard[[#This Row],[YYYYMM]],2)="--","--","Q"&amp;ROUNDUP(VALUE(RIGHT(creditcard[[#This Row],[YYYYMM]],2))/3,0))</f>
        <v/>
      </c>
      <c r="E526" s="10" t="n">
        <v>8</v>
      </c>
      <c r="F526" s="151" t="inlineStr">
        <is>
          <t>永豐</t>
        </is>
      </c>
      <c r="G526" s="152" t="inlineStr">
        <is>
          <t>08 永豐</t>
        </is>
      </c>
      <c r="H526" s="153" t="n">
        <v>2287091</v>
      </c>
      <c r="I526" s="153" t="n">
        <v>1239205</v>
      </c>
      <c r="J526" s="153" t="n">
        <v>9740</v>
      </c>
      <c r="K526" s="153" t="n">
        <v>14915</v>
      </c>
      <c r="L526" s="153" t="n">
        <v>3778.206</v>
      </c>
      <c r="M526" s="11" t="n"/>
      <c r="N526" s="153" t="n">
        <v>9519.351000000001</v>
      </c>
      <c r="O526" s="11" t="n"/>
      <c r="P526" s="11" t="n"/>
      <c r="Q526" s="12" t="n"/>
      <c r="R526" s="11" t="n"/>
      <c r="S526" s="11" t="n"/>
      <c r="T526" s="11" t="n"/>
      <c r="U526" s="11" t="n"/>
      <c r="V526" s="154" t="n"/>
      <c r="W526" s="11" t="n"/>
      <c r="X526" s="13" t="n"/>
      <c r="Y526" s="13" t="n"/>
      <c r="Z526" s="13" t="n"/>
      <c r="AA526" s="13" t="n"/>
      <c r="AB526" s="13" t="n"/>
      <c r="AC526" s="13" t="n"/>
      <c r="AD526" s="13" t="n"/>
      <c r="AE526" s="13" t="n"/>
      <c r="AF526" s="13" t="n"/>
      <c r="AG526" s="13" t="n"/>
      <c r="AH526" s="13" t="n"/>
      <c r="AI526" s="13" t="n"/>
    </row>
    <row r="527">
      <c r="A527" s="14" t="n">
        <v>202304</v>
      </c>
      <c r="B527" s="15">
        <f>LEFT(creditcard[[#This Row],[YYYYMM]],4)</f>
        <v/>
      </c>
      <c r="C527" s="15">
        <f>RIGHT(creditcard[[#This Row],[YYYYMM]],2)</f>
        <v/>
      </c>
      <c r="D527" s="15">
        <f>IF(RIGHT(creditcard[[#This Row],[YYYYMM]],2)="--","--","Q"&amp;ROUNDUP(VALUE(RIGHT(creditcard[[#This Row],[YYYYMM]],2))/3,0))</f>
        <v/>
      </c>
      <c r="E527" s="15" t="n">
        <v>9</v>
      </c>
      <c r="F527" s="155" t="inlineStr">
        <is>
          <t>第一</t>
        </is>
      </c>
      <c r="G527" s="156" t="inlineStr">
        <is>
          <t>09 第一</t>
        </is>
      </c>
      <c r="H527" s="157" t="n">
        <v>1521755</v>
      </c>
      <c r="I527" s="157" t="n">
        <v>929005</v>
      </c>
      <c r="J527" s="157" t="n">
        <v>13764</v>
      </c>
      <c r="K527" s="157" t="n">
        <v>9966</v>
      </c>
      <c r="L527" s="157" t="n">
        <v>1551</v>
      </c>
      <c r="M527" s="16" t="n"/>
      <c r="N527" s="157" t="n">
        <v>5276</v>
      </c>
      <c r="O527" s="16" t="n"/>
      <c r="P527" s="16" t="n"/>
      <c r="Q527" s="17" t="n"/>
      <c r="R527" s="16" t="n"/>
      <c r="S527" s="16" t="n"/>
      <c r="T527" s="16" t="n"/>
      <c r="U527" s="16" t="n"/>
      <c r="V527" s="158" t="n"/>
      <c r="W527" s="16" t="n"/>
      <c r="X527" s="18" t="n"/>
      <c r="Y527" s="18" t="n"/>
      <c r="Z527" s="18" t="n"/>
      <c r="AA527" s="18" t="n"/>
      <c r="AB527" s="18" t="n"/>
      <c r="AC527" s="18" t="n"/>
      <c r="AD527" s="18" t="n"/>
      <c r="AE527" s="18" t="n"/>
      <c r="AF527" s="18" t="n"/>
      <c r="AG527" s="18" t="n"/>
      <c r="AH527" s="18" t="n"/>
      <c r="AI527" s="18" t="n"/>
    </row>
    <row r="528">
      <c r="A528" s="9" t="n">
        <v>202304</v>
      </c>
      <c r="B528" s="10">
        <f>LEFT(creditcard[[#This Row],[YYYYMM]],4)</f>
        <v/>
      </c>
      <c r="C528" s="10">
        <f>RIGHT(creditcard[[#This Row],[YYYYMM]],2)</f>
        <v/>
      </c>
      <c r="D528" s="10">
        <f>IF(RIGHT(creditcard[[#This Row],[YYYYMM]],2)="--","--","Q"&amp;ROUNDUP(VALUE(RIGHT(creditcard[[#This Row],[YYYYMM]],2))/3,0))</f>
        <v/>
      </c>
      <c r="E528" s="10" t="n">
        <v>10</v>
      </c>
      <c r="F528" s="151" t="inlineStr">
        <is>
          <t>遠東</t>
        </is>
      </c>
      <c r="G528" s="152" t="inlineStr">
        <is>
          <t>10 遠東</t>
        </is>
      </c>
      <c r="H528" s="153" t="n">
        <v>1433355</v>
      </c>
      <c r="I528" s="153" t="n">
        <v>1013139</v>
      </c>
      <c r="J528" s="153" t="n">
        <v>10275</v>
      </c>
      <c r="K528" s="153" t="n">
        <v>9820</v>
      </c>
      <c r="L528" s="153" t="n">
        <v>3809.327</v>
      </c>
      <c r="M528" s="11" t="n"/>
      <c r="N528" s="153" t="n">
        <v>3798.275</v>
      </c>
      <c r="O528" s="11" t="n"/>
      <c r="P528" s="11" t="n"/>
      <c r="Q528" s="12" t="n"/>
      <c r="R528" s="11" t="n"/>
      <c r="S528" s="11" t="n"/>
      <c r="T528" s="11" t="n"/>
      <c r="U528" s="11" t="n"/>
      <c r="V528" s="154" t="n"/>
      <c r="W528" s="11" t="n"/>
      <c r="X528" s="13" t="n"/>
      <c r="Y528" s="13" t="n"/>
      <c r="Z528" s="13" t="n"/>
      <c r="AA528" s="13" t="n"/>
      <c r="AB528" s="13" t="n"/>
      <c r="AC528" s="13" t="n"/>
      <c r="AD528" s="13" t="n"/>
      <c r="AE528" s="13" t="n"/>
      <c r="AF528" s="13" t="n"/>
      <c r="AG528" s="13" t="n"/>
      <c r="AH528" s="13" t="n"/>
      <c r="AI528" s="13" t="n"/>
    </row>
    <row r="529">
      <c r="A529" s="14" t="n">
        <v>202304</v>
      </c>
      <c r="B529" s="15">
        <f>LEFT(creditcard[[#This Row],[YYYYMM]],4)</f>
        <v/>
      </c>
      <c r="C529" s="15">
        <f>RIGHT(creditcard[[#This Row],[YYYYMM]],2)</f>
        <v/>
      </c>
      <c r="D529" s="15">
        <f>IF(RIGHT(creditcard[[#This Row],[YYYYMM]],2)="--","--","Q"&amp;ROUNDUP(VALUE(RIGHT(creditcard[[#This Row],[YYYYMM]],2))/3,0))</f>
        <v/>
      </c>
      <c r="E529" s="15" t="n">
        <v>11</v>
      </c>
      <c r="F529" s="155" t="inlineStr">
        <is>
          <t>市場總計</t>
        </is>
      </c>
      <c r="G529" s="156" t="inlineStr">
        <is>
          <t>11 市場總計</t>
        </is>
      </c>
      <c r="H529" s="157" t="n">
        <v>59060934</v>
      </c>
      <c r="I529" s="157" t="n">
        <v>37431383</v>
      </c>
      <c r="J529" s="157" t="n">
        <v>695336</v>
      </c>
      <c r="K529" s="157" t="n">
        <v>366901</v>
      </c>
      <c r="L529" s="157" t="n">
        <v>103687.089</v>
      </c>
      <c r="M529" s="16" t="n"/>
      <c r="N529" s="157" t="n">
        <v>288999.489</v>
      </c>
      <c r="O529" s="16" t="n"/>
      <c r="P529" s="16" t="n"/>
      <c r="Q529" s="17" t="n"/>
      <c r="R529" s="16" t="n"/>
      <c r="S529" s="16" t="n"/>
      <c r="T529" s="16" t="n"/>
      <c r="U529" s="16" t="n"/>
      <c r="V529" s="158" t="n">
        <v>4.78</v>
      </c>
      <c r="W529" s="16">
        <f>SUMIFS(H:H,A:A,creditcard[[#This Row],[YYYYMM]],G:G,creditcard[[#This Row],[Item]])</f>
        <v/>
      </c>
      <c r="X529" s="4">
        <f>IFERROR(SUMIFS(H:H,A:A,creditcard[[#This Row],[YYYYMM]],E:E,"&lt;=5")/creditcard[[#This Row],[市場總計]],"")</f>
        <v/>
      </c>
      <c r="Y529" s="4">
        <f>IFERROR(SUMIFS(H:H,A:A,creditcard[[#This Row],[YYYYMM]],E:E,"&lt;=10")/creditcard[[#This Row],[市場總計]],"")</f>
        <v/>
      </c>
      <c r="Z529" s="4">
        <f>IFERROR(SUMIFS(I:I,A:A,creditcard[[#This Row],[YYYYMM]],E:E,"&lt;=5")/creditcard[[#This Row],[有效卡數]],"")</f>
        <v/>
      </c>
      <c r="AA529" s="4">
        <f>IFERROR(SUMIFS(I:I,A:A,creditcard[[#This Row],[YYYYMM]],E:E,"&lt;=10")/creditcard[[#This Row],[有效卡數]],"")</f>
        <v/>
      </c>
      <c r="AB529" s="4">
        <f>IFERROR(SUMIFS(J:J,A:A,creditcard[[#This Row],[YYYYMM]],E:E,"&lt;=5")/creditcard[[#This Row],[當月發卡數]],"")</f>
        <v/>
      </c>
      <c r="AC529" s="4">
        <f>IFERROR(SUMIFS(J:J,A:A,creditcard[[#This Row],[YYYYMM]],E:E,"&lt;=10")/creditcard[[#This Row],[當月發卡數]],"")</f>
        <v/>
      </c>
      <c r="AD529" s="4">
        <f>IFERROR(SUMIFS(K:K,A:A,creditcard[[#This Row],[YYYYMM]],E:E,"&lt;=5")/creditcard[[#This Row],[當月停卡數]],"")</f>
        <v/>
      </c>
      <c r="AE529" s="4">
        <f>IFERROR(SUMIFS(K:K,A:A,creditcard[[#This Row],[YYYYMM]],E:E,"&lt;=10")/creditcard[[#This Row],[當月停卡數]],"")</f>
        <v/>
      </c>
      <c r="AF529" s="4">
        <f>IFERROR(SUMIFS(L:L,A:A,creditcard[[#This Row],[YYYYMM]],E:E,"&lt;=5")/creditcard[[#This Row],[循環信用餘額]],"")</f>
        <v/>
      </c>
      <c r="AG529" s="4">
        <f>IFERROR(SUMIFS(L:L,A:A,creditcard[[#This Row],[YYYYMM]],E:E,"&lt;=10")/creditcard[[#This Row],[循環信用餘額]],"")</f>
        <v/>
      </c>
      <c r="AH529" s="4">
        <f>IFERROR(SUMIFS(N:N,A:A,creditcard[[#This Row],[YYYYMM]],E:E,"&lt;=5")/creditcard[[#This Row],[當月簽帳金額]],"")</f>
        <v/>
      </c>
      <c r="AI529" s="4">
        <f>IFERROR(SUMIFS(N:N,A:A,creditcard[[#This Row],[YYYYMM]],E:E,"&lt;=10")/creditcard[[#This Row],[當月簽帳金額]],"")</f>
        <v/>
      </c>
    </row>
    <row r="530">
      <c r="A530" s="9" t="n">
        <v>202305</v>
      </c>
      <c r="B530" s="10">
        <f>LEFT(creditcard[[#This Row],[YYYYMM]],4)</f>
        <v/>
      </c>
      <c r="C530" s="10">
        <f>RIGHT(creditcard[[#This Row],[YYYYMM]],2)</f>
        <v/>
      </c>
      <c r="D530" s="10">
        <f>IF(RIGHT(creditcard[[#This Row],[YYYYMM]],2)="--","--","Q"&amp;ROUNDUP(VALUE(RIGHT(creditcard[[#This Row],[YYYYMM]],2))/3,0))</f>
        <v/>
      </c>
      <c r="E530" s="10" t="n">
        <v>1</v>
      </c>
      <c r="F530" s="151" t="inlineStr">
        <is>
          <t>中信</t>
        </is>
      </c>
      <c r="G530" s="152" t="inlineStr">
        <is>
          <t>01 中信</t>
        </is>
      </c>
      <c r="H530" s="153" t="n">
        <v>8733173</v>
      </c>
      <c r="I530" s="153" t="n">
        <v>5542794</v>
      </c>
      <c r="J530" s="153" t="n">
        <v>121263</v>
      </c>
      <c r="K530" s="153" t="n">
        <v>69324</v>
      </c>
      <c r="L530" s="153" t="n">
        <v>15642.679</v>
      </c>
      <c r="M530" s="11" t="n"/>
      <c r="N530" s="153" t="n">
        <v>58039.659</v>
      </c>
      <c r="O530" s="11" t="n"/>
      <c r="P530" s="11" t="n"/>
      <c r="Q530" s="12" t="n"/>
      <c r="R530" s="11" t="n"/>
      <c r="S530" s="11" t="n"/>
      <c r="T530" s="11" t="n"/>
      <c r="U530" s="11" t="n"/>
      <c r="V530" s="154" t="n"/>
      <c r="W530" s="11" t="n"/>
      <c r="X530" s="13" t="n"/>
      <c r="Y530" s="13" t="n"/>
      <c r="Z530" s="13" t="n"/>
      <c r="AA530" s="13" t="n"/>
      <c r="AB530" s="13" t="n"/>
      <c r="AC530" s="13" t="n"/>
      <c r="AD530" s="13" t="n"/>
      <c r="AE530" s="13" t="n"/>
      <c r="AF530" s="13" t="n"/>
      <c r="AG530" s="13" t="n"/>
      <c r="AH530" s="13" t="n"/>
      <c r="AI530" s="13" t="n"/>
    </row>
    <row r="531">
      <c r="A531" s="14" t="n">
        <v>202305</v>
      </c>
      <c r="B531" s="15">
        <f>LEFT(creditcard[[#This Row],[YYYYMM]],4)</f>
        <v/>
      </c>
      <c r="C531" s="15">
        <f>RIGHT(creditcard[[#This Row],[YYYYMM]],2)</f>
        <v/>
      </c>
      <c r="D531" s="15">
        <f>IF(RIGHT(creditcard[[#This Row],[YYYYMM]],2)="--","--","Q"&amp;ROUNDUP(VALUE(RIGHT(creditcard[[#This Row],[YYYYMM]],2))/3,0))</f>
        <v/>
      </c>
      <c r="E531" s="15" t="n">
        <v>2</v>
      </c>
      <c r="F531" s="155" t="inlineStr">
        <is>
          <t>富邦</t>
        </is>
      </c>
      <c r="G531" s="156" t="inlineStr">
        <is>
          <t>02 富邦</t>
        </is>
      </c>
      <c r="H531" s="157" t="n">
        <v>6284183</v>
      </c>
      <c r="I531" s="157" t="n">
        <v>4090926</v>
      </c>
      <c r="J531" s="157" t="n">
        <v>400172</v>
      </c>
      <c r="K531" s="157" t="n">
        <v>24692</v>
      </c>
      <c r="L531" s="157" t="n">
        <v>6841.493</v>
      </c>
      <c r="M531" s="16" t="n"/>
      <c r="N531" s="157" t="n">
        <v>38045.86</v>
      </c>
      <c r="O531" s="16" t="n"/>
      <c r="P531" s="16" t="n"/>
      <c r="Q531" s="17" t="n"/>
      <c r="R531" s="16" t="n"/>
      <c r="S531" s="16" t="n"/>
      <c r="T531" s="16" t="n"/>
      <c r="U531" s="16" t="n"/>
      <c r="V531" s="158" t="n"/>
      <c r="W531" s="16" t="n"/>
      <c r="X531" s="18" t="n"/>
      <c r="Y531" s="18" t="n"/>
      <c r="Z531" s="18" t="n"/>
      <c r="AA531" s="18" t="n"/>
      <c r="AB531" s="18" t="n"/>
      <c r="AC531" s="18" t="n"/>
      <c r="AD531" s="18" t="n"/>
      <c r="AE531" s="18" t="n"/>
      <c r="AF531" s="18" t="n"/>
      <c r="AG531" s="18" t="n"/>
      <c r="AH531" s="18" t="n"/>
      <c r="AI531" s="18" t="n"/>
    </row>
    <row r="532">
      <c r="A532" s="9" t="n">
        <v>202305</v>
      </c>
      <c r="B532" s="10">
        <f>LEFT(creditcard[[#This Row],[YYYYMM]],4)</f>
        <v/>
      </c>
      <c r="C532" s="10">
        <f>RIGHT(creditcard[[#This Row],[YYYYMM]],2)</f>
        <v/>
      </c>
      <c r="D532" s="10">
        <f>IF(RIGHT(creditcard[[#This Row],[YYYYMM]],2)="--","--","Q"&amp;ROUNDUP(VALUE(RIGHT(creditcard[[#This Row],[YYYYMM]],2))/3,0))</f>
        <v/>
      </c>
      <c r="E532" s="10" t="n">
        <v>3</v>
      </c>
      <c r="F532" s="151" t="inlineStr">
        <is>
          <t>國泰</t>
        </is>
      </c>
      <c r="G532" s="152" t="inlineStr">
        <is>
          <t>03 國泰</t>
        </is>
      </c>
      <c r="H532" s="153" t="n">
        <v>10274471</v>
      </c>
      <c r="I532" s="153" t="n">
        <v>6572542</v>
      </c>
      <c r="J532" s="153" t="n">
        <v>74774</v>
      </c>
      <c r="K532" s="153" t="n">
        <v>89149</v>
      </c>
      <c r="L532" s="153" t="n">
        <v>18823.598</v>
      </c>
      <c r="M532" s="11" t="n"/>
      <c r="N532" s="153" t="n">
        <v>62874.767</v>
      </c>
      <c r="O532" s="11" t="n"/>
      <c r="P532" s="11" t="n"/>
      <c r="Q532" s="12" t="n"/>
      <c r="R532" s="11" t="n"/>
      <c r="S532" s="11" t="n"/>
      <c r="T532" s="11" t="n"/>
      <c r="U532" s="11" t="n"/>
      <c r="V532" s="154" t="n"/>
      <c r="W532" s="11" t="n"/>
      <c r="X532" s="13" t="n"/>
      <c r="Y532" s="13" t="n"/>
      <c r="Z532" s="13" t="n"/>
      <c r="AA532" s="13" t="n"/>
      <c r="AB532" s="13" t="n"/>
      <c r="AC532" s="13" t="n"/>
      <c r="AD532" s="13" t="n"/>
      <c r="AE532" s="13" t="n"/>
      <c r="AF532" s="13" t="n"/>
      <c r="AG532" s="13" t="n"/>
      <c r="AH532" s="13" t="n"/>
      <c r="AI532" s="13" t="n"/>
    </row>
    <row r="533">
      <c r="A533" s="14" t="n">
        <v>202305</v>
      </c>
      <c r="B533" s="15">
        <f>LEFT(creditcard[[#This Row],[YYYYMM]],4)</f>
        <v/>
      </c>
      <c r="C533" s="15">
        <f>RIGHT(creditcard[[#This Row],[YYYYMM]],2)</f>
        <v/>
      </c>
      <c r="D533" s="15">
        <f>IF(RIGHT(creditcard[[#This Row],[YYYYMM]],2)="--","--","Q"&amp;ROUNDUP(VALUE(RIGHT(creditcard[[#This Row],[YYYYMM]],2))/3,0))</f>
        <v/>
      </c>
      <c r="E533" s="15" t="n">
        <v>4</v>
      </c>
      <c r="F533" s="155" t="inlineStr">
        <is>
          <t>玉山</t>
        </is>
      </c>
      <c r="G533" s="156" t="inlineStr">
        <is>
          <t>04 玉山</t>
        </is>
      </c>
      <c r="H533" s="157" t="n">
        <v>7025336</v>
      </c>
      <c r="I533" s="157" t="n">
        <v>4729932</v>
      </c>
      <c r="J533" s="157" t="n">
        <v>62491</v>
      </c>
      <c r="K533" s="157" t="n">
        <v>45002</v>
      </c>
      <c r="L533" s="157" t="n">
        <v>12586.339</v>
      </c>
      <c r="M533" s="16" t="n"/>
      <c r="N533" s="157" t="n">
        <v>44188.915</v>
      </c>
      <c r="O533" s="16" t="n"/>
      <c r="P533" s="16" t="n"/>
      <c r="Q533" s="17" t="n"/>
      <c r="R533" s="16" t="n"/>
      <c r="S533" s="16" t="n"/>
      <c r="T533" s="16" t="n"/>
      <c r="U533" s="16" t="n"/>
      <c r="V533" s="158" t="n"/>
      <c r="W533" s="16" t="n"/>
      <c r="X533" s="18" t="n"/>
      <c r="Y533" s="18" t="n"/>
      <c r="Z533" s="18" t="n"/>
      <c r="AA533" s="18" t="n"/>
      <c r="AB533" s="18" t="n"/>
      <c r="AC533" s="18" t="n"/>
      <c r="AD533" s="18" t="n"/>
      <c r="AE533" s="18" t="n"/>
      <c r="AF533" s="18" t="n"/>
      <c r="AG533" s="18" t="n"/>
      <c r="AH533" s="18" t="n"/>
      <c r="AI533" s="18" t="n"/>
    </row>
    <row r="534">
      <c r="A534" s="9" t="n">
        <v>202305</v>
      </c>
      <c r="B534" s="10">
        <f>LEFT(creditcard[[#This Row],[YYYYMM]],4)</f>
        <v/>
      </c>
      <c r="C534" s="10">
        <f>RIGHT(creditcard[[#This Row],[YYYYMM]],2)</f>
        <v/>
      </c>
      <c r="D534" s="10">
        <f>IF(RIGHT(creditcard[[#This Row],[YYYYMM]],2)="--","--","Q"&amp;ROUNDUP(VALUE(RIGHT(creditcard[[#This Row],[YYYYMM]],2))/3,0))</f>
        <v/>
      </c>
      <c r="E534" s="10" t="n">
        <v>5</v>
      </c>
      <c r="F534" s="151" t="inlineStr">
        <is>
          <t>台新</t>
        </is>
      </c>
      <c r="G534" s="152" t="inlineStr">
        <is>
          <t>05 台新</t>
        </is>
      </c>
      <c r="H534" s="153" t="n">
        <v>6422062</v>
      </c>
      <c r="I534" s="153" t="n">
        <v>4386060</v>
      </c>
      <c r="J534" s="153" t="n">
        <v>63686</v>
      </c>
      <c r="K534" s="153" t="n">
        <v>27066</v>
      </c>
      <c r="L534" s="153" t="n">
        <v>9921.106</v>
      </c>
      <c r="M534" s="11" t="n"/>
      <c r="N534" s="153" t="n">
        <v>37865.377</v>
      </c>
      <c r="O534" s="11" t="n"/>
      <c r="P534" s="11" t="n"/>
      <c r="Q534" s="12" t="n"/>
      <c r="R534" s="11" t="n"/>
      <c r="S534" s="11" t="n"/>
      <c r="T534" s="11" t="n"/>
      <c r="U534" s="11" t="n"/>
      <c r="V534" s="154" t="n"/>
      <c r="W534" s="11" t="n"/>
      <c r="X534" s="13" t="n"/>
      <c r="Y534" s="13" t="n"/>
      <c r="Z534" s="13" t="n"/>
      <c r="AA534" s="13" t="n"/>
      <c r="AB534" s="13" t="n"/>
      <c r="AC534" s="13" t="n"/>
      <c r="AD534" s="13" t="n"/>
      <c r="AE534" s="13" t="n"/>
      <c r="AF534" s="13" t="n"/>
      <c r="AG534" s="13" t="n"/>
      <c r="AH534" s="13" t="n"/>
      <c r="AI534" s="13" t="n"/>
    </row>
    <row r="535">
      <c r="A535" s="14" t="n">
        <v>202305</v>
      </c>
      <c r="B535" s="15">
        <f>LEFT(creditcard[[#This Row],[YYYYMM]],4)</f>
        <v/>
      </c>
      <c r="C535" s="15">
        <f>RIGHT(creditcard[[#This Row],[YYYYMM]],2)</f>
        <v/>
      </c>
      <c r="D535" s="15">
        <f>IF(RIGHT(creditcard[[#This Row],[YYYYMM]],2)="--","--","Q"&amp;ROUNDUP(VALUE(RIGHT(creditcard[[#This Row],[YYYYMM]],2))/3,0))</f>
        <v/>
      </c>
      <c r="E535" s="15" t="n">
        <v>6</v>
      </c>
      <c r="F535" s="155" t="inlineStr">
        <is>
          <t>星展</t>
        </is>
      </c>
      <c r="G535" s="156" t="inlineStr">
        <is>
          <t>06 星展</t>
        </is>
      </c>
      <c r="H535" s="157" t="n">
        <v>669337</v>
      </c>
      <c r="I535" s="157" t="n">
        <v>345489</v>
      </c>
      <c r="J535" s="157" t="n">
        <v>7279</v>
      </c>
      <c r="K535" s="157" t="n">
        <v>4675</v>
      </c>
      <c r="L535" s="157" t="n">
        <v>1281</v>
      </c>
      <c r="M535" s="16" t="n"/>
      <c r="N535" s="157" t="n">
        <v>4293</v>
      </c>
      <c r="O535" s="16" t="n"/>
      <c r="P535" s="16" t="n"/>
      <c r="Q535" s="17" t="n"/>
      <c r="R535" s="16" t="n"/>
      <c r="S535" s="16" t="n"/>
      <c r="T535" s="16" t="n"/>
      <c r="U535" s="16" t="n"/>
      <c r="V535" s="158" t="n"/>
      <c r="W535" s="16" t="n"/>
      <c r="X535" s="18" t="n"/>
      <c r="Y535" s="18" t="n"/>
      <c r="Z535" s="18" t="n"/>
      <c r="AA535" s="18" t="n"/>
      <c r="AB535" s="18" t="n"/>
      <c r="AC535" s="18" t="n"/>
      <c r="AD535" s="18" t="n"/>
      <c r="AE535" s="18" t="n"/>
      <c r="AF535" s="18" t="n"/>
      <c r="AG535" s="18" t="n"/>
      <c r="AH535" s="18" t="n"/>
      <c r="AI535" s="18" t="n"/>
    </row>
    <row r="536">
      <c r="A536" s="9" t="n">
        <v>202305</v>
      </c>
      <c r="B536" s="10">
        <f>LEFT(creditcard[[#This Row],[YYYYMM]],4)</f>
        <v/>
      </c>
      <c r="C536" s="10">
        <f>RIGHT(creditcard[[#This Row],[YYYYMM]],2)</f>
        <v/>
      </c>
      <c r="D536" s="10">
        <f>IF(RIGHT(creditcard[[#This Row],[YYYYMM]],2)="--","--","Q"&amp;ROUNDUP(VALUE(RIGHT(creditcard[[#This Row],[YYYYMM]],2))/3,0))</f>
        <v/>
      </c>
      <c r="E536" s="10" t="n">
        <v>7</v>
      </c>
      <c r="F536" s="151" t="inlineStr">
        <is>
          <t>聯邦</t>
        </is>
      </c>
      <c r="G536" s="152" t="inlineStr">
        <is>
          <t>07 聯邦</t>
        </is>
      </c>
      <c r="H536" s="153" t="n">
        <v>2589725</v>
      </c>
      <c r="I536" s="153" t="n">
        <v>1537647</v>
      </c>
      <c r="J536" s="153" t="n">
        <v>40478</v>
      </c>
      <c r="K536" s="153" t="n">
        <v>17628</v>
      </c>
      <c r="L536" s="153" t="n">
        <v>5681.802</v>
      </c>
      <c r="M536" s="11" t="n"/>
      <c r="N536" s="153" t="n">
        <v>13711.998</v>
      </c>
      <c r="O536" s="11" t="n"/>
      <c r="P536" s="11" t="n"/>
      <c r="Q536" s="12" t="n"/>
      <c r="R536" s="11" t="n"/>
      <c r="S536" s="11" t="n"/>
      <c r="T536" s="11" t="n"/>
      <c r="U536" s="11" t="n"/>
      <c r="V536" s="154" t="n"/>
      <c r="W536" s="11" t="n"/>
      <c r="X536" s="13" t="n"/>
      <c r="Y536" s="13" t="n"/>
      <c r="Z536" s="13" t="n"/>
      <c r="AA536" s="13" t="n"/>
      <c r="AB536" s="13" t="n"/>
      <c r="AC536" s="13" t="n"/>
      <c r="AD536" s="13" t="n"/>
      <c r="AE536" s="13" t="n"/>
      <c r="AF536" s="13" t="n"/>
      <c r="AG536" s="13" t="n"/>
      <c r="AH536" s="13" t="n"/>
      <c r="AI536" s="13" t="n"/>
    </row>
    <row r="537">
      <c r="A537" s="14" t="n">
        <v>202305</v>
      </c>
      <c r="B537" s="15">
        <f>LEFT(creditcard[[#This Row],[YYYYMM]],4)</f>
        <v/>
      </c>
      <c r="C537" s="15">
        <f>RIGHT(creditcard[[#This Row],[YYYYMM]],2)</f>
        <v/>
      </c>
      <c r="D537" s="15">
        <f>IF(RIGHT(creditcard[[#This Row],[YYYYMM]],2)="--","--","Q"&amp;ROUNDUP(VALUE(RIGHT(creditcard[[#This Row],[YYYYMM]],2))/3,0))</f>
        <v/>
      </c>
      <c r="E537" s="15" t="n">
        <v>8</v>
      </c>
      <c r="F537" s="155" t="inlineStr">
        <is>
          <t>永豐</t>
        </is>
      </c>
      <c r="G537" s="156" t="inlineStr">
        <is>
          <t>08 永豐</t>
        </is>
      </c>
      <c r="H537" s="157" t="n">
        <v>2293273</v>
      </c>
      <c r="I537" s="157" t="n">
        <v>1241647</v>
      </c>
      <c r="J537" s="157" t="n">
        <v>15156</v>
      </c>
      <c r="K537" s="157" t="n">
        <v>9723</v>
      </c>
      <c r="L537" s="157" t="n">
        <v>3767.616</v>
      </c>
      <c r="M537" s="16" t="n"/>
      <c r="N537" s="157" t="n">
        <v>11636.877</v>
      </c>
      <c r="O537" s="16" t="n"/>
      <c r="P537" s="16" t="n"/>
      <c r="Q537" s="17" t="n"/>
      <c r="R537" s="16" t="n"/>
      <c r="S537" s="16" t="n"/>
      <c r="T537" s="16" t="n"/>
      <c r="U537" s="16" t="n"/>
      <c r="V537" s="158" t="n"/>
      <c r="W537" s="16" t="n"/>
      <c r="X537" s="18" t="n"/>
      <c r="Y537" s="18" t="n"/>
      <c r="Z537" s="18" t="n"/>
      <c r="AA537" s="18" t="n"/>
      <c r="AB537" s="18" t="n"/>
      <c r="AC537" s="18" t="n"/>
      <c r="AD537" s="18" t="n"/>
      <c r="AE537" s="18" t="n"/>
      <c r="AF537" s="18" t="n"/>
      <c r="AG537" s="18" t="n"/>
      <c r="AH537" s="18" t="n"/>
      <c r="AI537" s="18" t="n"/>
    </row>
    <row r="538">
      <c r="A538" s="9" t="n">
        <v>202305</v>
      </c>
      <c r="B538" s="10">
        <f>LEFT(creditcard[[#This Row],[YYYYMM]],4)</f>
        <v/>
      </c>
      <c r="C538" s="10">
        <f>RIGHT(creditcard[[#This Row],[YYYYMM]],2)</f>
        <v/>
      </c>
      <c r="D538" s="10">
        <f>IF(RIGHT(creditcard[[#This Row],[YYYYMM]],2)="--","--","Q"&amp;ROUNDUP(VALUE(RIGHT(creditcard[[#This Row],[YYYYMM]],2))/3,0))</f>
        <v/>
      </c>
      <c r="E538" s="10" t="n">
        <v>9</v>
      </c>
      <c r="F538" s="151" t="inlineStr">
        <is>
          <t>第一</t>
        </is>
      </c>
      <c r="G538" s="152" t="inlineStr">
        <is>
          <t>09 第一</t>
        </is>
      </c>
      <c r="H538" s="153" t="n">
        <v>1528314</v>
      </c>
      <c r="I538" s="153" t="n">
        <v>932036</v>
      </c>
      <c r="J538" s="153" t="n">
        <v>17953</v>
      </c>
      <c r="K538" s="153" t="n">
        <v>11940</v>
      </c>
      <c r="L538" s="153" t="n">
        <v>1581.534</v>
      </c>
      <c r="M538" s="11" t="n"/>
      <c r="N538" s="153" t="n">
        <v>6560.637</v>
      </c>
      <c r="O538" s="11" t="n"/>
      <c r="P538" s="11" t="n"/>
      <c r="Q538" s="12" t="n"/>
      <c r="R538" s="11" t="n"/>
      <c r="S538" s="11" t="n"/>
      <c r="T538" s="11" t="n"/>
      <c r="U538" s="11" t="n"/>
      <c r="V538" s="154" t="n"/>
      <c r="W538" s="11" t="n"/>
      <c r="X538" s="13" t="n"/>
      <c r="Y538" s="13" t="n"/>
      <c r="Z538" s="13" t="n"/>
      <c r="AA538" s="13" t="n"/>
      <c r="AB538" s="13" t="n"/>
      <c r="AC538" s="13" t="n"/>
      <c r="AD538" s="13" t="n"/>
      <c r="AE538" s="13" t="n"/>
      <c r="AF538" s="13" t="n"/>
      <c r="AG538" s="13" t="n"/>
      <c r="AH538" s="13" t="n"/>
      <c r="AI538" s="13" t="n"/>
    </row>
    <row r="539">
      <c r="A539" s="14" t="n">
        <v>202305</v>
      </c>
      <c r="B539" s="15">
        <f>LEFT(creditcard[[#This Row],[YYYYMM]],4)</f>
        <v/>
      </c>
      <c r="C539" s="15">
        <f>RIGHT(creditcard[[#This Row],[YYYYMM]],2)</f>
        <v/>
      </c>
      <c r="D539" s="15">
        <f>IF(RIGHT(creditcard[[#This Row],[YYYYMM]],2)="--","--","Q"&amp;ROUNDUP(VALUE(RIGHT(creditcard[[#This Row],[YYYYMM]],2))/3,0))</f>
        <v/>
      </c>
      <c r="E539" s="15" t="n">
        <v>10</v>
      </c>
      <c r="F539" s="155" t="inlineStr">
        <is>
          <t>遠東</t>
        </is>
      </c>
      <c r="G539" s="156" t="inlineStr">
        <is>
          <t>10 遠東</t>
        </is>
      </c>
      <c r="H539" s="157" t="n">
        <v>1434023</v>
      </c>
      <c r="I539" s="157" t="n">
        <v>1008779</v>
      </c>
      <c r="J539" s="157" t="n">
        <v>10656</v>
      </c>
      <c r="K539" s="157" t="n">
        <v>10030</v>
      </c>
      <c r="L539" s="157" t="n">
        <v>3508.351</v>
      </c>
      <c r="M539" s="16" t="n"/>
      <c r="N539" s="157" t="n">
        <v>4683.91</v>
      </c>
      <c r="O539" s="16" t="n"/>
      <c r="P539" s="16" t="n"/>
      <c r="Q539" s="17" t="n"/>
      <c r="R539" s="16" t="n"/>
      <c r="S539" s="16" t="n"/>
      <c r="T539" s="16" t="n"/>
      <c r="U539" s="16" t="n"/>
      <c r="V539" s="158" t="n"/>
      <c r="W539" s="16" t="n"/>
      <c r="X539" s="18" t="n"/>
      <c r="Y539" s="18" t="n"/>
      <c r="Z539" s="18" t="n"/>
      <c r="AA539" s="18" t="n"/>
      <c r="AB539" s="18" t="n"/>
      <c r="AC539" s="18" t="n"/>
      <c r="AD539" s="18" t="n"/>
      <c r="AE539" s="18" t="n"/>
      <c r="AF539" s="18" t="n"/>
      <c r="AG539" s="18" t="n"/>
      <c r="AH539" s="18" t="n"/>
      <c r="AI539" s="18" t="n"/>
    </row>
    <row r="540">
      <c r="A540" s="9" t="n">
        <v>202305</v>
      </c>
      <c r="B540" s="10">
        <f>LEFT(creditcard[[#This Row],[YYYYMM]],4)</f>
        <v/>
      </c>
      <c r="C540" s="10">
        <f>RIGHT(creditcard[[#This Row],[YYYYMM]],2)</f>
        <v/>
      </c>
      <c r="D540" s="10">
        <f>IF(RIGHT(creditcard[[#This Row],[YYYYMM]],2)="--","--","Q"&amp;ROUNDUP(VALUE(RIGHT(creditcard[[#This Row],[YYYYMM]],2))/3,0))</f>
        <v/>
      </c>
      <c r="E540" s="10" t="n">
        <v>11</v>
      </c>
      <c r="F540" s="151" t="inlineStr">
        <is>
          <t>市場總計</t>
        </is>
      </c>
      <c r="G540" s="152" t="inlineStr">
        <is>
          <t>11 市場總計</t>
        </is>
      </c>
      <c r="H540" s="153" t="n">
        <v>59602769</v>
      </c>
      <c r="I540" s="153" t="n">
        <v>37778736</v>
      </c>
      <c r="J540" s="153" t="n">
        <v>939348</v>
      </c>
      <c r="K540" s="153" t="n">
        <v>412172</v>
      </c>
      <c r="L540" s="153" t="n">
        <v>102771.763</v>
      </c>
      <c r="M540" s="11" t="n"/>
      <c r="N540" s="153" t="n">
        <v>350716.332</v>
      </c>
      <c r="O540" s="11" t="n"/>
      <c r="P540" s="11" t="n"/>
      <c r="Q540" s="12" t="n"/>
      <c r="R540" s="11" t="n"/>
      <c r="S540" s="11" t="n"/>
      <c r="T540" s="11" t="n"/>
      <c r="U540" s="11" t="n"/>
      <c r="V540" s="154" t="n">
        <v>4.8</v>
      </c>
      <c r="W540" s="11">
        <f>SUMIFS(H:H,A:A,creditcard[[#This Row],[YYYYMM]],G:G,creditcard[[#This Row],[Item]])</f>
        <v/>
      </c>
      <c r="X540" s="4">
        <f>IFERROR(SUMIFS(H:H,A:A,creditcard[[#This Row],[YYYYMM]],E:E,"&lt;=5")/creditcard[[#This Row],[市場總計]],"")</f>
        <v/>
      </c>
      <c r="Y540" s="4">
        <f>IFERROR(SUMIFS(H:H,A:A,creditcard[[#This Row],[YYYYMM]],E:E,"&lt;=10")/creditcard[[#This Row],[市場總計]],"")</f>
        <v/>
      </c>
      <c r="Z540" s="4">
        <f>IFERROR(SUMIFS(I:I,A:A,creditcard[[#This Row],[YYYYMM]],E:E,"&lt;=5")/creditcard[[#This Row],[有效卡數]],"")</f>
        <v/>
      </c>
      <c r="AA540" s="4">
        <f>IFERROR(SUMIFS(I:I,A:A,creditcard[[#This Row],[YYYYMM]],E:E,"&lt;=10")/creditcard[[#This Row],[有效卡數]],"")</f>
        <v/>
      </c>
      <c r="AB540" s="4">
        <f>IFERROR(SUMIFS(J:J,A:A,creditcard[[#This Row],[YYYYMM]],E:E,"&lt;=5")/creditcard[[#This Row],[當月發卡數]],"")</f>
        <v/>
      </c>
      <c r="AC540" s="4">
        <f>IFERROR(SUMIFS(J:J,A:A,creditcard[[#This Row],[YYYYMM]],E:E,"&lt;=10")/creditcard[[#This Row],[當月發卡數]],"")</f>
        <v/>
      </c>
      <c r="AD540" s="4">
        <f>IFERROR(SUMIFS(K:K,A:A,creditcard[[#This Row],[YYYYMM]],E:E,"&lt;=5")/creditcard[[#This Row],[當月停卡數]],"")</f>
        <v/>
      </c>
      <c r="AE540" s="4">
        <f>IFERROR(SUMIFS(K:K,A:A,creditcard[[#This Row],[YYYYMM]],E:E,"&lt;=10")/creditcard[[#This Row],[當月停卡數]],"")</f>
        <v/>
      </c>
      <c r="AF540" s="4">
        <f>IFERROR(SUMIFS(L:L,A:A,creditcard[[#This Row],[YYYYMM]],E:E,"&lt;=5")/creditcard[[#This Row],[循環信用餘額]],"")</f>
        <v/>
      </c>
      <c r="AG540" s="4">
        <f>IFERROR(SUMIFS(L:L,A:A,creditcard[[#This Row],[YYYYMM]],E:E,"&lt;=10")/creditcard[[#This Row],[循環信用餘額]],"")</f>
        <v/>
      </c>
      <c r="AH540" s="4">
        <f>IFERROR(SUMIFS(N:N,A:A,creditcard[[#This Row],[YYYYMM]],E:E,"&lt;=5")/creditcard[[#This Row],[當月簽帳金額]],"")</f>
        <v/>
      </c>
      <c r="AI540" s="4">
        <f>IFERROR(SUMIFS(N:N,A:A,creditcard[[#This Row],[YYYYMM]],E:E,"&lt;=10")/creditcard[[#This Row],[當月簽帳金額]],"")</f>
        <v/>
      </c>
    </row>
    <row r="541">
      <c r="A541" s="14" t="n">
        <v>202306</v>
      </c>
      <c r="B541" s="15">
        <f>LEFT(creditcard[[#This Row],[YYYYMM]],4)</f>
        <v/>
      </c>
      <c r="C541" s="15">
        <f>RIGHT(creditcard[[#This Row],[YYYYMM]],2)</f>
        <v/>
      </c>
      <c r="D541" s="15">
        <f>IF(RIGHT(creditcard[[#This Row],[YYYYMM]],2)="--","--","Q"&amp;ROUNDUP(VALUE(RIGHT(creditcard[[#This Row],[YYYYMM]],2))/3,0))</f>
        <v/>
      </c>
      <c r="E541" s="15" t="n">
        <v>1</v>
      </c>
      <c r="F541" s="155" t="inlineStr">
        <is>
          <t>中信</t>
        </is>
      </c>
      <c r="G541" s="156" t="inlineStr">
        <is>
          <t>01 中信</t>
        </is>
      </c>
      <c r="H541" s="157" t="n">
        <v>8794919</v>
      </c>
      <c r="I541" s="157" t="n">
        <v>5576113</v>
      </c>
      <c r="J541" s="157" t="n">
        <v>110919</v>
      </c>
      <c r="K541" s="157" t="n">
        <v>49173</v>
      </c>
      <c r="L541" s="157" t="n">
        <v>15618.57</v>
      </c>
      <c r="M541" s="16" t="n"/>
      <c r="N541" s="157" t="n">
        <v>121793.528</v>
      </c>
      <c r="O541" s="16" t="n"/>
      <c r="P541" s="16" t="n"/>
      <c r="Q541" s="17" t="n"/>
      <c r="R541" s="16" t="n"/>
      <c r="S541" s="16" t="n"/>
      <c r="T541" s="16" t="n"/>
      <c r="U541" s="16" t="n"/>
      <c r="V541" s="158" t="n"/>
      <c r="W541" s="16" t="n"/>
      <c r="X541" s="18" t="n"/>
      <c r="Y541" s="18" t="n"/>
      <c r="Z541" s="18" t="n"/>
      <c r="AA541" s="18" t="n"/>
      <c r="AB541" s="18" t="n"/>
      <c r="AC541" s="18" t="n"/>
      <c r="AD541" s="18" t="n"/>
      <c r="AE541" s="18" t="n"/>
      <c r="AF541" s="18" t="n"/>
      <c r="AG541" s="18" t="n"/>
      <c r="AH541" s="18" t="n"/>
      <c r="AI541" s="18" t="n"/>
    </row>
    <row r="542">
      <c r="A542" s="9" t="n">
        <v>202306</v>
      </c>
      <c r="B542" s="10">
        <f>LEFT(creditcard[[#This Row],[YYYYMM]],4)</f>
        <v/>
      </c>
      <c r="C542" s="10">
        <f>RIGHT(creditcard[[#This Row],[YYYYMM]],2)</f>
        <v/>
      </c>
      <c r="D542" s="10">
        <f>IF(RIGHT(creditcard[[#This Row],[YYYYMM]],2)="--","--","Q"&amp;ROUNDUP(VALUE(RIGHT(creditcard[[#This Row],[YYYYMM]],2))/3,0))</f>
        <v/>
      </c>
      <c r="E542" s="10" t="n">
        <v>2</v>
      </c>
      <c r="F542" s="151" t="inlineStr">
        <is>
          <t>富邦</t>
        </is>
      </c>
      <c r="G542" s="152" t="inlineStr">
        <is>
          <t>02 富邦</t>
        </is>
      </c>
      <c r="H542" s="153" t="n">
        <v>6492947</v>
      </c>
      <c r="I542" s="153" t="n">
        <v>4250871</v>
      </c>
      <c r="J542" s="153" t="n">
        <v>276509</v>
      </c>
      <c r="K542" s="153" t="n">
        <v>67745</v>
      </c>
      <c r="L542" s="153" t="n">
        <v>7010.94</v>
      </c>
      <c r="M542" s="11" t="n"/>
      <c r="N542" s="153" t="n">
        <v>44406.604</v>
      </c>
      <c r="O542" s="11" t="n"/>
      <c r="P542" s="11" t="n"/>
      <c r="Q542" s="12" t="n"/>
      <c r="R542" s="11" t="n"/>
      <c r="S542" s="11" t="n"/>
      <c r="T542" s="11" t="n"/>
      <c r="U542" s="11" t="n"/>
      <c r="V542" s="154" t="n"/>
      <c r="W542" s="11" t="n"/>
      <c r="X542" s="13" t="n"/>
      <c r="Y542" s="13" t="n"/>
      <c r="Z542" s="13" t="n"/>
      <c r="AA542" s="13" t="n"/>
      <c r="AB542" s="13" t="n"/>
      <c r="AC542" s="13" t="n"/>
      <c r="AD542" s="13" t="n"/>
      <c r="AE542" s="13" t="n"/>
      <c r="AF542" s="13" t="n"/>
      <c r="AG542" s="13" t="n"/>
      <c r="AH542" s="13" t="n"/>
      <c r="AI542" s="13" t="n"/>
    </row>
    <row r="543">
      <c r="A543" s="14" t="n">
        <v>202306</v>
      </c>
      <c r="B543" s="15">
        <f>LEFT(creditcard[[#This Row],[YYYYMM]],4)</f>
        <v/>
      </c>
      <c r="C543" s="15">
        <f>RIGHT(creditcard[[#This Row],[YYYYMM]],2)</f>
        <v/>
      </c>
      <c r="D543" s="15">
        <f>IF(RIGHT(creditcard[[#This Row],[YYYYMM]],2)="--","--","Q"&amp;ROUNDUP(VALUE(RIGHT(creditcard[[#This Row],[YYYYMM]],2))/3,0))</f>
        <v/>
      </c>
      <c r="E543" s="15" t="n">
        <v>3</v>
      </c>
      <c r="F543" s="155" t="inlineStr">
        <is>
          <t>國泰</t>
        </is>
      </c>
      <c r="G543" s="156" t="inlineStr">
        <is>
          <t>03 國泰</t>
        </is>
      </c>
      <c r="H543" s="157" t="n">
        <v>10263176</v>
      </c>
      <c r="I543" s="157" t="n">
        <v>6600001</v>
      </c>
      <c r="J543" s="157" t="n">
        <v>61818</v>
      </c>
      <c r="K543" s="157" t="n">
        <v>73113</v>
      </c>
      <c r="L543" s="157" t="n">
        <v>19399.437</v>
      </c>
      <c r="M543" s="16" t="n"/>
      <c r="N543" s="157" t="n">
        <v>85481.427</v>
      </c>
      <c r="O543" s="16" t="n"/>
      <c r="P543" s="16" t="n"/>
      <c r="Q543" s="17" t="n"/>
      <c r="R543" s="16" t="n"/>
      <c r="S543" s="16" t="n"/>
      <c r="T543" s="16" t="n"/>
      <c r="U543" s="16" t="n"/>
      <c r="V543" s="158" t="n"/>
      <c r="W543" s="16" t="n"/>
      <c r="X543" s="18" t="n"/>
      <c r="Y543" s="18" t="n"/>
      <c r="Z543" s="18" t="n"/>
      <c r="AA543" s="18" t="n"/>
      <c r="AB543" s="18" t="n"/>
      <c r="AC543" s="18" t="n"/>
      <c r="AD543" s="18" t="n"/>
      <c r="AE543" s="18" t="n"/>
      <c r="AF543" s="18" t="n"/>
      <c r="AG543" s="18" t="n"/>
      <c r="AH543" s="18" t="n"/>
      <c r="AI543" s="18" t="n"/>
    </row>
    <row r="544">
      <c r="A544" s="9" t="n">
        <v>202306</v>
      </c>
      <c r="B544" s="10">
        <f>LEFT(creditcard[[#This Row],[YYYYMM]],4)</f>
        <v/>
      </c>
      <c r="C544" s="10">
        <f>RIGHT(creditcard[[#This Row],[YYYYMM]],2)</f>
        <v/>
      </c>
      <c r="D544" s="10">
        <f>IF(RIGHT(creditcard[[#This Row],[YYYYMM]],2)="--","--","Q"&amp;ROUNDUP(VALUE(RIGHT(creditcard[[#This Row],[YYYYMM]],2))/3,0))</f>
        <v/>
      </c>
      <c r="E544" s="10" t="n">
        <v>4</v>
      </c>
      <c r="F544" s="151" t="inlineStr">
        <is>
          <t>玉山</t>
        </is>
      </c>
      <c r="G544" s="152" t="inlineStr">
        <is>
          <t>04 玉山</t>
        </is>
      </c>
      <c r="H544" s="153" t="n">
        <v>7041497</v>
      </c>
      <c r="I544" s="153" t="n">
        <v>4731255</v>
      </c>
      <c r="J544" s="153" t="n">
        <v>58112</v>
      </c>
      <c r="K544" s="153" t="n">
        <v>41951</v>
      </c>
      <c r="L544" s="153" t="n">
        <v>12748.001</v>
      </c>
      <c r="M544" s="11" t="n"/>
      <c r="N544" s="153" t="n">
        <v>83277.53200000001</v>
      </c>
      <c r="O544" s="11" t="n"/>
      <c r="P544" s="11" t="n"/>
      <c r="Q544" s="12" t="n"/>
      <c r="R544" s="11" t="n"/>
      <c r="S544" s="11" t="n"/>
      <c r="T544" s="11" t="n"/>
      <c r="U544" s="11" t="n"/>
      <c r="V544" s="154" t="n"/>
      <c r="W544" s="11" t="n"/>
      <c r="X544" s="13" t="n"/>
      <c r="Y544" s="13" t="n"/>
      <c r="Z544" s="13" t="n"/>
      <c r="AA544" s="13" t="n"/>
      <c r="AB544" s="13" t="n"/>
      <c r="AC544" s="13" t="n"/>
      <c r="AD544" s="13" t="n"/>
      <c r="AE544" s="13" t="n"/>
      <c r="AF544" s="13" t="n"/>
      <c r="AG544" s="13" t="n"/>
      <c r="AH544" s="13" t="n"/>
      <c r="AI544" s="13" t="n"/>
    </row>
    <row r="545">
      <c r="A545" s="14" t="n">
        <v>202306</v>
      </c>
      <c r="B545" s="15">
        <f>LEFT(creditcard[[#This Row],[YYYYMM]],4)</f>
        <v/>
      </c>
      <c r="C545" s="15">
        <f>RIGHT(creditcard[[#This Row],[YYYYMM]],2)</f>
        <v/>
      </c>
      <c r="D545" s="15">
        <f>IF(RIGHT(creditcard[[#This Row],[YYYYMM]],2)="--","--","Q"&amp;ROUNDUP(VALUE(RIGHT(creditcard[[#This Row],[YYYYMM]],2))/3,0))</f>
        <v/>
      </c>
      <c r="E545" s="15" t="n">
        <v>5</v>
      </c>
      <c r="F545" s="155" t="inlineStr">
        <is>
          <t>台新</t>
        </is>
      </c>
      <c r="G545" s="156" t="inlineStr">
        <is>
          <t>05 台新</t>
        </is>
      </c>
      <c r="H545" s="157" t="n">
        <v>6443483</v>
      </c>
      <c r="I545" s="157" t="n">
        <v>4399712</v>
      </c>
      <c r="J545" s="157" t="n">
        <v>51693</v>
      </c>
      <c r="K545" s="157" t="n">
        <v>30272</v>
      </c>
      <c r="L545" s="157" t="n">
        <v>10030.617</v>
      </c>
      <c r="M545" s="16" t="n"/>
      <c r="N545" s="157" t="n">
        <v>61015.306</v>
      </c>
      <c r="O545" s="16" t="n"/>
      <c r="P545" s="16" t="n"/>
      <c r="Q545" s="17" t="n"/>
      <c r="R545" s="16" t="n"/>
      <c r="S545" s="16" t="n"/>
      <c r="T545" s="16" t="n"/>
      <c r="U545" s="16" t="n"/>
      <c r="V545" s="158" t="n"/>
      <c r="W545" s="16" t="n"/>
      <c r="X545" s="18" t="n"/>
      <c r="Y545" s="18" t="n"/>
      <c r="Z545" s="18" t="n"/>
      <c r="AA545" s="18" t="n"/>
      <c r="AB545" s="18" t="n"/>
      <c r="AC545" s="18" t="n"/>
      <c r="AD545" s="18" t="n"/>
      <c r="AE545" s="18" t="n"/>
      <c r="AF545" s="18" t="n"/>
      <c r="AG545" s="18" t="n"/>
      <c r="AH545" s="18" t="n"/>
      <c r="AI545" s="18" t="n"/>
    </row>
    <row r="546">
      <c r="A546" s="9" t="n">
        <v>202306</v>
      </c>
      <c r="B546" s="10">
        <f>LEFT(creditcard[[#This Row],[YYYYMM]],4)</f>
        <v/>
      </c>
      <c r="C546" s="10">
        <f>RIGHT(creditcard[[#This Row],[YYYYMM]],2)</f>
        <v/>
      </c>
      <c r="D546" s="10">
        <f>IF(RIGHT(creditcard[[#This Row],[YYYYMM]],2)="--","--","Q"&amp;ROUNDUP(VALUE(RIGHT(creditcard[[#This Row],[YYYYMM]],2))/3,0))</f>
        <v/>
      </c>
      <c r="E546" s="10" t="n">
        <v>6</v>
      </c>
      <c r="F546" s="151" t="inlineStr">
        <is>
          <t>星展</t>
        </is>
      </c>
      <c r="G546" s="152" t="inlineStr">
        <is>
          <t>06 星展</t>
        </is>
      </c>
      <c r="H546" s="153" t="n">
        <v>673473</v>
      </c>
      <c r="I546" s="153" t="n">
        <v>349446</v>
      </c>
      <c r="J546" s="153" t="n">
        <v>6342</v>
      </c>
      <c r="K546" s="153" t="n">
        <v>5038</v>
      </c>
      <c r="L546" s="153" t="n">
        <v>1284</v>
      </c>
      <c r="M546" s="11" t="n"/>
      <c r="N546" s="153" t="n">
        <v>5326</v>
      </c>
      <c r="O546" s="11" t="n"/>
      <c r="P546" s="11" t="n"/>
      <c r="Q546" s="12" t="n"/>
      <c r="R546" s="11" t="n"/>
      <c r="S546" s="11" t="n"/>
      <c r="T546" s="11" t="n"/>
      <c r="U546" s="11" t="n"/>
      <c r="V546" s="154" t="n"/>
      <c r="W546" s="11" t="n"/>
      <c r="X546" s="13" t="n"/>
      <c r="Y546" s="13" t="n"/>
      <c r="Z546" s="13" t="n"/>
      <c r="AA546" s="13" t="n"/>
      <c r="AB546" s="13" t="n"/>
      <c r="AC546" s="13" t="n"/>
      <c r="AD546" s="13" t="n"/>
      <c r="AE546" s="13" t="n"/>
      <c r="AF546" s="13" t="n"/>
      <c r="AG546" s="13" t="n"/>
      <c r="AH546" s="13" t="n"/>
      <c r="AI546" s="13" t="n"/>
    </row>
    <row r="547">
      <c r="A547" s="14" t="n">
        <v>202306</v>
      </c>
      <c r="B547" s="15">
        <f>LEFT(creditcard[[#This Row],[YYYYMM]],4)</f>
        <v/>
      </c>
      <c r="C547" s="15">
        <f>RIGHT(creditcard[[#This Row],[YYYYMM]],2)</f>
        <v/>
      </c>
      <c r="D547" s="15">
        <f>IF(RIGHT(creditcard[[#This Row],[YYYYMM]],2)="--","--","Q"&amp;ROUNDUP(VALUE(RIGHT(creditcard[[#This Row],[YYYYMM]],2))/3,0))</f>
        <v/>
      </c>
      <c r="E547" s="15" t="n">
        <v>7</v>
      </c>
      <c r="F547" s="155" t="inlineStr">
        <is>
          <t>聯邦</t>
        </is>
      </c>
      <c r="G547" s="156" t="inlineStr">
        <is>
          <t>07 聯邦</t>
        </is>
      </c>
      <c r="H547" s="157" t="n">
        <v>2613324</v>
      </c>
      <c r="I547" s="157" t="n">
        <v>1558805</v>
      </c>
      <c r="J547" s="157" t="n">
        <v>39886</v>
      </c>
      <c r="K547" s="157" t="n">
        <v>16287</v>
      </c>
      <c r="L547" s="157" t="n">
        <v>5788.711</v>
      </c>
      <c r="M547" s="16" t="n"/>
      <c r="N547" s="157" t="n">
        <v>15143.135</v>
      </c>
      <c r="O547" s="16" t="n"/>
      <c r="P547" s="16" t="n"/>
      <c r="Q547" s="17" t="n"/>
      <c r="R547" s="16" t="n"/>
      <c r="S547" s="16" t="n"/>
      <c r="T547" s="16" t="n"/>
      <c r="U547" s="16" t="n"/>
      <c r="V547" s="158" t="n"/>
      <c r="W547" s="16" t="n"/>
      <c r="X547" s="18" t="n"/>
      <c r="Y547" s="18" t="n"/>
      <c r="Z547" s="18" t="n"/>
      <c r="AA547" s="18" t="n"/>
      <c r="AB547" s="18" t="n"/>
      <c r="AC547" s="18" t="n"/>
      <c r="AD547" s="18" t="n"/>
      <c r="AE547" s="18" t="n"/>
      <c r="AF547" s="18" t="n"/>
      <c r="AG547" s="18" t="n"/>
      <c r="AH547" s="18" t="n"/>
      <c r="AI547" s="18" t="n"/>
    </row>
    <row r="548">
      <c r="A548" s="9" t="n">
        <v>202306</v>
      </c>
      <c r="B548" s="10">
        <f>LEFT(creditcard[[#This Row],[YYYYMM]],4)</f>
        <v/>
      </c>
      <c r="C548" s="10">
        <f>RIGHT(creditcard[[#This Row],[YYYYMM]],2)</f>
        <v/>
      </c>
      <c r="D548" s="10">
        <f>IF(RIGHT(creditcard[[#This Row],[YYYYMM]],2)="--","--","Q"&amp;ROUNDUP(VALUE(RIGHT(creditcard[[#This Row],[YYYYMM]],2))/3,0))</f>
        <v/>
      </c>
      <c r="E548" s="10" t="n">
        <v>8</v>
      </c>
      <c r="F548" s="151" t="inlineStr">
        <is>
          <t>永豐</t>
        </is>
      </c>
      <c r="G548" s="152" t="inlineStr">
        <is>
          <t>08 永豐</t>
        </is>
      </c>
      <c r="H548" s="153" t="n">
        <v>2298947</v>
      </c>
      <c r="I548" s="153" t="n">
        <v>1243426</v>
      </c>
      <c r="J548" s="153" t="n">
        <v>14160</v>
      </c>
      <c r="K548" s="153" t="n">
        <v>9484</v>
      </c>
      <c r="L548" s="153" t="n">
        <v>3741.784</v>
      </c>
      <c r="M548" s="11" t="n"/>
      <c r="N548" s="153" t="n">
        <v>13821.374</v>
      </c>
      <c r="O548" s="11" t="n"/>
      <c r="P548" s="11" t="n"/>
      <c r="Q548" s="12" t="n"/>
      <c r="R548" s="11" t="n"/>
      <c r="S548" s="11" t="n"/>
      <c r="T548" s="11" t="n"/>
      <c r="U548" s="11" t="n"/>
      <c r="V548" s="154" t="n"/>
      <c r="W548" s="11" t="n"/>
      <c r="X548" s="13" t="n"/>
      <c r="Y548" s="13" t="n"/>
      <c r="Z548" s="13" t="n"/>
      <c r="AA548" s="13" t="n"/>
      <c r="AB548" s="13" t="n"/>
      <c r="AC548" s="13" t="n"/>
      <c r="AD548" s="13" t="n"/>
      <c r="AE548" s="13" t="n"/>
      <c r="AF548" s="13" t="n"/>
      <c r="AG548" s="13" t="n"/>
      <c r="AH548" s="13" t="n"/>
      <c r="AI548" s="13" t="n"/>
    </row>
    <row r="549">
      <c r="A549" s="14" t="n">
        <v>202306</v>
      </c>
      <c r="B549" s="15">
        <f>LEFT(creditcard[[#This Row],[YYYYMM]],4)</f>
        <v/>
      </c>
      <c r="C549" s="15">
        <f>RIGHT(creditcard[[#This Row],[YYYYMM]],2)</f>
        <v/>
      </c>
      <c r="D549" s="15">
        <f>IF(RIGHT(creditcard[[#This Row],[YYYYMM]],2)="--","--","Q"&amp;ROUNDUP(VALUE(RIGHT(creditcard[[#This Row],[YYYYMM]],2))/3,0))</f>
        <v/>
      </c>
      <c r="E549" s="15" t="n">
        <v>9</v>
      </c>
      <c r="F549" s="155" t="inlineStr">
        <is>
          <t>第一</t>
        </is>
      </c>
      <c r="G549" s="156" t="inlineStr">
        <is>
          <t>09 第一</t>
        </is>
      </c>
      <c r="H549" s="157" t="n">
        <v>1534262</v>
      </c>
      <c r="I549" s="157" t="n">
        <v>933474</v>
      </c>
      <c r="J549" s="157" t="n">
        <v>15986</v>
      </c>
      <c r="K549" s="157" t="n">
        <v>10274</v>
      </c>
      <c r="L549" s="157" t="n">
        <v>1591.176</v>
      </c>
      <c r="M549" s="16" t="n"/>
      <c r="N549" s="157" t="n">
        <v>7559.025</v>
      </c>
      <c r="O549" s="16" t="n"/>
      <c r="P549" s="16" t="n"/>
      <c r="Q549" s="17" t="n"/>
      <c r="R549" s="16" t="n"/>
      <c r="S549" s="16" t="n"/>
      <c r="T549" s="16" t="n"/>
      <c r="U549" s="16" t="n"/>
      <c r="V549" s="158" t="n"/>
      <c r="W549" s="16" t="n"/>
      <c r="X549" s="18" t="n"/>
      <c r="Y549" s="18" t="n"/>
      <c r="Z549" s="18" t="n"/>
      <c r="AA549" s="18" t="n"/>
      <c r="AB549" s="18" t="n"/>
      <c r="AC549" s="18" t="n"/>
      <c r="AD549" s="18" t="n"/>
      <c r="AE549" s="18" t="n"/>
      <c r="AF549" s="18" t="n"/>
      <c r="AG549" s="18" t="n"/>
      <c r="AH549" s="18" t="n"/>
      <c r="AI549" s="18" t="n"/>
    </row>
    <row r="550">
      <c r="A550" s="9" t="n">
        <v>202306</v>
      </c>
      <c r="B550" s="10">
        <f>LEFT(creditcard[[#This Row],[YYYYMM]],4)</f>
        <v/>
      </c>
      <c r="C550" s="10">
        <f>RIGHT(creditcard[[#This Row],[YYYYMM]],2)</f>
        <v/>
      </c>
      <c r="D550" s="10">
        <f>IF(RIGHT(creditcard[[#This Row],[YYYYMM]],2)="--","--","Q"&amp;ROUNDUP(VALUE(RIGHT(creditcard[[#This Row],[YYYYMM]],2))/3,0))</f>
        <v/>
      </c>
      <c r="E550" s="10" t="n">
        <v>10</v>
      </c>
      <c r="F550" s="151" t="inlineStr">
        <is>
          <t>遠東</t>
        </is>
      </c>
      <c r="G550" s="152" t="inlineStr">
        <is>
          <t>10 遠東</t>
        </is>
      </c>
      <c r="H550" s="153" t="n">
        <v>1435109</v>
      </c>
      <c r="I550" s="153" t="n">
        <v>1000240</v>
      </c>
      <c r="J550" s="153" t="n">
        <v>9646</v>
      </c>
      <c r="K550" s="153" t="n">
        <v>8595</v>
      </c>
      <c r="L550" s="153" t="n">
        <v>3532.59</v>
      </c>
      <c r="M550" s="11" t="n"/>
      <c r="N550" s="153" t="n">
        <v>4934.734</v>
      </c>
      <c r="O550" s="11" t="n"/>
      <c r="P550" s="11" t="n"/>
      <c r="Q550" s="12" t="n"/>
      <c r="R550" s="11" t="n"/>
      <c r="S550" s="11" t="n"/>
      <c r="T550" s="11" t="n"/>
      <c r="U550" s="11" t="n"/>
      <c r="V550" s="154" t="n"/>
      <c r="W550" s="11" t="n"/>
      <c r="X550" s="13" t="n"/>
      <c r="Y550" s="13" t="n"/>
      <c r="Z550" s="13" t="n"/>
      <c r="AA550" s="13" t="n"/>
      <c r="AB550" s="13" t="n"/>
      <c r="AC550" s="13" t="n"/>
      <c r="AD550" s="13" t="n"/>
      <c r="AE550" s="13" t="n"/>
      <c r="AF550" s="13" t="n"/>
      <c r="AG550" s="13" t="n"/>
      <c r="AH550" s="13" t="n"/>
      <c r="AI550" s="13" t="n"/>
    </row>
    <row r="551">
      <c r="A551" s="14" t="n">
        <v>202306</v>
      </c>
      <c r="B551" s="15">
        <f>LEFT(creditcard[[#This Row],[YYYYMM]],4)</f>
        <v/>
      </c>
      <c r="C551" s="15">
        <f>RIGHT(creditcard[[#This Row],[YYYYMM]],2)</f>
        <v/>
      </c>
      <c r="D551" s="15">
        <f>IF(RIGHT(creditcard[[#This Row],[YYYYMM]],2)="--","--","Q"&amp;ROUNDUP(VALUE(RIGHT(creditcard[[#This Row],[YYYYMM]],2))/3,0))</f>
        <v/>
      </c>
      <c r="E551" s="15" t="n">
        <v>11</v>
      </c>
      <c r="F551" s="155" t="inlineStr">
        <is>
          <t>市場總計</t>
        </is>
      </c>
      <c r="G551" s="156" t="inlineStr">
        <is>
          <t>11 市場總計</t>
        </is>
      </c>
      <c r="H551" s="157" t="n">
        <v>59860433</v>
      </c>
      <c r="I551" s="157" t="n">
        <v>38043120</v>
      </c>
      <c r="J551" s="157" t="n">
        <v>767591</v>
      </c>
      <c r="K551" s="157" t="n">
        <v>526896</v>
      </c>
      <c r="L551" s="157" t="n">
        <v>104337.859</v>
      </c>
      <c r="M551" s="16" t="n"/>
      <c r="N551" s="157" t="n">
        <v>528135.811</v>
      </c>
      <c r="O551" s="16" t="n"/>
      <c r="P551" s="16" t="n"/>
      <c r="Q551" s="17" t="n"/>
      <c r="R551" s="16" t="n"/>
      <c r="S551" s="16" t="n"/>
      <c r="T551" s="16" t="n"/>
      <c r="U551" s="16" t="n"/>
      <c r="V551" s="158" t="n">
        <v>4.81</v>
      </c>
      <c r="W551" s="16">
        <f>SUMIFS(H:H,A:A,creditcard[[#This Row],[YYYYMM]],G:G,creditcard[[#This Row],[Item]])</f>
        <v/>
      </c>
      <c r="X551" s="4">
        <f>IFERROR(SUMIFS(H:H,A:A,creditcard[[#This Row],[YYYYMM]],E:E,"&lt;=5")/creditcard[[#This Row],[市場總計]],"")</f>
        <v/>
      </c>
      <c r="Y551" s="4">
        <f>IFERROR(SUMIFS(H:H,A:A,creditcard[[#This Row],[YYYYMM]],E:E,"&lt;=10")/creditcard[[#This Row],[市場總計]],"")</f>
        <v/>
      </c>
      <c r="Z551" s="4">
        <f>IFERROR(SUMIFS(I:I,A:A,creditcard[[#This Row],[YYYYMM]],E:E,"&lt;=5")/creditcard[[#This Row],[有效卡數]],"")</f>
        <v/>
      </c>
      <c r="AA551" s="4">
        <f>IFERROR(SUMIFS(I:I,A:A,creditcard[[#This Row],[YYYYMM]],E:E,"&lt;=10")/creditcard[[#This Row],[有效卡數]],"")</f>
        <v/>
      </c>
      <c r="AB551" s="4">
        <f>IFERROR(SUMIFS(J:J,A:A,creditcard[[#This Row],[YYYYMM]],E:E,"&lt;=5")/creditcard[[#This Row],[當月發卡數]],"")</f>
        <v/>
      </c>
      <c r="AC551" s="4">
        <f>IFERROR(SUMIFS(J:J,A:A,creditcard[[#This Row],[YYYYMM]],E:E,"&lt;=10")/creditcard[[#This Row],[當月發卡數]],"")</f>
        <v/>
      </c>
      <c r="AD551" s="4">
        <f>IFERROR(SUMIFS(K:K,A:A,creditcard[[#This Row],[YYYYMM]],E:E,"&lt;=5")/creditcard[[#This Row],[當月停卡數]],"")</f>
        <v/>
      </c>
      <c r="AE551" s="4">
        <f>IFERROR(SUMIFS(K:K,A:A,creditcard[[#This Row],[YYYYMM]],E:E,"&lt;=10")/creditcard[[#This Row],[當月停卡數]],"")</f>
        <v/>
      </c>
      <c r="AF551" s="4">
        <f>IFERROR(SUMIFS(L:L,A:A,creditcard[[#This Row],[YYYYMM]],E:E,"&lt;=5")/creditcard[[#This Row],[循環信用餘額]],"")</f>
        <v/>
      </c>
      <c r="AG551" s="4">
        <f>IFERROR(SUMIFS(L:L,A:A,creditcard[[#This Row],[YYYYMM]],E:E,"&lt;=10")/creditcard[[#This Row],[循環信用餘額]],"")</f>
        <v/>
      </c>
      <c r="AH551" s="4">
        <f>IFERROR(SUMIFS(N:N,A:A,creditcard[[#This Row],[YYYYMM]],E:E,"&lt;=5")/creditcard[[#This Row],[當月簽帳金額]],"")</f>
        <v/>
      </c>
      <c r="AI551" s="4">
        <f>IFERROR(SUMIFS(N:N,A:A,creditcard[[#This Row],[YYYYMM]],E:E,"&lt;=10")/creditcard[[#This Row],[當月簽帳金額]],"")</f>
        <v/>
      </c>
    </row>
    <row r="552">
      <c r="A552" s="9" t="n">
        <v>202307</v>
      </c>
      <c r="B552" s="10">
        <f>LEFT(creditcard[[#This Row],[YYYYMM]],4)</f>
        <v/>
      </c>
      <c r="C552" s="10">
        <f>RIGHT(creditcard[[#This Row],[YYYYMM]],2)</f>
        <v/>
      </c>
      <c r="D552" s="10">
        <f>IF(RIGHT(creditcard[[#This Row],[YYYYMM]],2)="--","--","Q"&amp;ROUNDUP(VALUE(RIGHT(creditcard[[#This Row],[YYYYMM]],2))/3,0))</f>
        <v/>
      </c>
      <c r="E552" s="10" t="n">
        <v>1</v>
      </c>
      <c r="F552" s="151" t="inlineStr">
        <is>
          <t>中信</t>
        </is>
      </c>
      <c r="G552" s="152" t="inlineStr">
        <is>
          <t>01 中信</t>
        </is>
      </c>
      <c r="H552" s="153" t="n">
        <v>8857022</v>
      </c>
      <c r="I552" s="153" t="n">
        <v>5613050</v>
      </c>
      <c r="J552" s="153" t="n">
        <v>112489</v>
      </c>
      <c r="K552" s="153" t="n">
        <v>50386</v>
      </c>
      <c r="L552" s="153" t="n">
        <v>15920.749</v>
      </c>
      <c r="M552" s="11" t="n"/>
      <c r="N552" s="153" t="n">
        <v>55971.336</v>
      </c>
      <c r="O552" s="11" t="n"/>
      <c r="P552" s="11" t="n"/>
      <c r="Q552" s="12" t="n"/>
      <c r="R552" s="11" t="n"/>
      <c r="S552" s="11" t="n"/>
      <c r="T552" s="11" t="n"/>
      <c r="U552" s="11" t="n"/>
      <c r="V552" s="154" t="n"/>
      <c r="W552" s="11" t="n"/>
      <c r="X552" s="13" t="n"/>
      <c r="Y552" s="13" t="n"/>
      <c r="Z552" s="13" t="n"/>
      <c r="AA552" s="13" t="n"/>
      <c r="AB552" s="13" t="n"/>
      <c r="AC552" s="13" t="n"/>
      <c r="AD552" s="13" t="n"/>
      <c r="AE552" s="13" t="n"/>
      <c r="AF552" s="13" t="n"/>
      <c r="AG552" s="13" t="n"/>
      <c r="AH552" s="13" t="n"/>
      <c r="AI552" s="13" t="n"/>
    </row>
    <row r="553">
      <c r="A553" s="14" t="n">
        <v>202307</v>
      </c>
      <c r="B553" s="15">
        <f>LEFT(creditcard[[#This Row],[YYYYMM]],4)</f>
        <v/>
      </c>
      <c r="C553" s="15">
        <f>RIGHT(creditcard[[#This Row],[YYYYMM]],2)</f>
        <v/>
      </c>
      <c r="D553" s="15">
        <f>IF(RIGHT(creditcard[[#This Row],[YYYYMM]],2)="--","--","Q"&amp;ROUNDUP(VALUE(RIGHT(creditcard[[#This Row],[YYYYMM]],2))/3,0))</f>
        <v/>
      </c>
      <c r="E553" s="15" t="n">
        <v>2</v>
      </c>
      <c r="F553" s="155" t="inlineStr">
        <is>
          <t>富邦</t>
        </is>
      </c>
      <c r="G553" s="156" t="inlineStr">
        <is>
          <t>02 富邦</t>
        </is>
      </c>
      <c r="H553" s="157" t="n">
        <v>6796538</v>
      </c>
      <c r="I553" s="157" t="n">
        <v>4432547</v>
      </c>
      <c r="J553" s="157" t="n">
        <v>360977</v>
      </c>
      <c r="K553" s="157" t="n">
        <v>57386</v>
      </c>
      <c r="L553" s="157" t="n">
        <v>7268.011</v>
      </c>
      <c r="M553" s="16" t="n"/>
      <c r="N553" s="157" t="n">
        <v>35263.945</v>
      </c>
      <c r="O553" s="16" t="n"/>
      <c r="P553" s="16" t="n"/>
      <c r="Q553" s="17" t="n"/>
      <c r="R553" s="16" t="n"/>
      <c r="S553" s="16" t="n"/>
      <c r="T553" s="16" t="n"/>
      <c r="U553" s="16" t="n"/>
      <c r="V553" s="158" t="n"/>
      <c r="W553" s="16" t="n"/>
      <c r="X553" s="18" t="n"/>
      <c r="Y553" s="18" t="n"/>
      <c r="Z553" s="18" t="n"/>
      <c r="AA553" s="18" t="n"/>
      <c r="AB553" s="18" t="n"/>
      <c r="AC553" s="18" t="n"/>
      <c r="AD553" s="18" t="n"/>
      <c r="AE553" s="18" t="n"/>
      <c r="AF553" s="18" t="n"/>
      <c r="AG553" s="18" t="n"/>
      <c r="AH553" s="18" t="n"/>
      <c r="AI553" s="18" t="n"/>
    </row>
    <row r="554">
      <c r="A554" s="9" t="n">
        <v>202307</v>
      </c>
      <c r="B554" s="10">
        <f>LEFT(creditcard[[#This Row],[YYYYMM]],4)</f>
        <v/>
      </c>
      <c r="C554" s="10">
        <f>RIGHT(creditcard[[#This Row],[YYYYMM]],2)</f>
        <v/>
      </c>
      <c r="D554" s="10">
        <f>IF(RIGHT(creditcard[[#This Row],[YYYYMM]],2)="--","--","Q"&amp;ROUNDUP(VALUE(RIGHT(creditcard[[#This Row],[YYYYMM]],2))/3,0))</f>
        <v/>
      </c>
      <c r="E554" s="10" t="n">
        <v>3</v>
      </c>
      <c r="F554" s="151" t="inlineStr">
        <is>
          <t>國泰</t>
        </is>
      </c>
      <c r="G554" s="152" t="inlineStr">
        <is>
          <t>03 國泰</t>
        </is>
      </c>
      <c r="H554" s="153" t="n">
        <v>10408270</v>
      </c>
      <c r="I554" s="153" t="n">
        <v>6604141</v>
      </c>
      <c r="J554" s="153" t="n">
        <v>209595</v>
      </c>
      <c r="K554" s="153" t="n">
        <v>64501</v>
      </c>
      <c r="L554" s="153" t="n">
        <v>19631.096</v>
      </c>
      <c r="M554" s="11" t="n"/>
      <c r="N554" s="153" t="n">
        <v>55156.137</v>
      </c>
      <c r="O554" s="11" t="n"/>
      <c r="P554" s="11" t="n"/>
      <c r="Q554" s="12" t="n"/>
      <c r="R554" s="11" t="n"/>
      <c r="S554" s="11" t="n"/>
      <c r="T554" s="11" t="n"/>
      <c r="U554" s="11" t="n"/>
      <c r="V554" s="154" t="n"/>
      <c r="W554" s="11" t="n"/>
      <c r="X554" s="13" t="n"/>
      <c r="Y554" s="13" t="n"/>
      <c r="Z554" s="13" t="n"/>
      <c r="AA554" s="13" t="n"/>
      <c r="AB554" s="13" t="n"/>
      <c r="AC554" s="13" t="n"/>
      <c r="AD554" s="13" t="n"/>
      <c r="AE554" s="13" t="n"/>
      <c r="AF554" s="13" t="n"/>
      <c r="AG554" s="13" t="n"/>
      <c r="AH554" s="13" t="n"/>
      <c r="AI554" s="13" t="n"/>
    </row>
    <row r="555">
      <c r="A555" s="14" t="n">
        <v>202307</v>
      </c>
      <c r="B555" s="15">
        <f>LEFT(creditcard[[#This Row],[YYYYMM]],4)</f>
        <v/>
      </c>
      <c r="C555" s="15">
        <f>RIGHT(creditcard[[#This Row],[YYYYMM]],2)</f>
        <v/>
      </c>
      <c r="D555" s="15">
        <f>IF(RIGHT(creditcard[[#This Row],[YYYYMM]],2)="--","--","Q"&amp;ROUNDUP(VALUE(RIGHT(creditcard[[#This Row],[YYYYMM]],2))/3,0))</f>
        <v/>
      </c>
      <c r="E555" s="15" t="n">
        <v>4</v>
      </c>
      <c r="F555" s="155" t="inlineStr">
        <is>
          <t>玉山</t>
        </is>
      </c>
      <c r="G555" s="156" t="inlineStr">
        <is>
          <t>04 玉山</t>
        </is>
      </c>
      <c r="H555" s="157" t="n">
        <v>7069476</v>
      </c>
      <c r="I555" s="157" t="n">
        <v>4745873</v>
      </c>
      <c r="J555" s="157" t="n">
        <v>77963</v>
      </c>
      <c r="K555" s="157" t="n">
        <v>49984</v>
      </c>
      <c r="L555" s="157" t="n">
        <v>12921.674</v>
      </c>
      <c r="M555" s="16" t="n"/>
      <c r="N555" s="157" t="n">
        <v>43156.487</v>
      </c>
      <c r="O555" s="16" t="n"/>
      <c r="P555" s="16" t="n"/>
      <c r="Q555" s="17" t="n"/>
      <c r="R555" s="16" t="n"/>
      <c r="S555" s="16" t="n"/>
      <c r="T555" s="16" t="n"/>
      <c r="U555" s="16" t="n"/>
      <c r="V555" s="158" t="n"/>
      <c r="W555" s="16" t="n"/>
      <c r="X555" s="18" t="n"/>
      <c r="Y555" s="18" t="n"/>
      <c r="Z555" s="18" t="n"/>
      <c r="AA555" s="18" t="n"/>
      <c r="AB555" s="18" t="n"/>
      <c r="AC555" s="18" t="n"/>
      <c r="AD555" s="18" t="n"/>
      <c r="AE555" s="18" t="n"/>
      <c r="AF555" s="18" t="n"/>
      <c r="AG555" s="18" t="n"/>
      <c r="AH555" s="18" t="n"/>
      <c r="AI555" s="18" t="n"/>
    </row>
    <row r="556">
      <c r="A556" s="9" t="n">
        <v>202307</v>
      </c>
      <c r="B556" s="10">
        <f>LEFT(creditcard[[#This Row],[YYYYMM]],4)</f>
        <v/>
      </c>
      <c r="C556" s="10">
        <f>RIGHT(creditcard[[#This Row],[YYYYMM]],2)</f>
        <v/>
      </c>
      <c r="D556" s="10">
        <f>IF(RIGHT(creditcard[[#This Row],[YYYYMM]],2)="--","--","Q"&amp;ROUNDUP(VALUE(RIGHT(creditcard[[#This Row],[YYYYMM]],2))/3,0))</f>
        <v/>
      </c>
      <c r="E556" s="10" t="n">
        <v>5</v>
      </c>
      <c r="F556" s="151" t="inlineStr">
        <is>
          <t>台新</t>
        </is>
      </c>
      <c r="G556" s="152" t="inlineStr">
        <is>
          <t>05 台新</t>
        </is>
      </c>
      <c r="H556" s="153" t="n">
        <v>6467760</v>
      </c>
      <c r="I556" s="153" t="n">
        <v>4419399</v>
      </c>
      <c r="J556" s="153" t="n">
        <v>62726</v>
      </c>
      <c r="K556" s="153" t="n">
        <v>38449</v>
      </c>
      <c r="L556" s="153" t="n">
        <v>10174.868</v>
      </c>
      <c r="M556" s="11" t="n"/>
      <c r="N556" s="153" t="n">
        <v>35623.004</v>
      </c>
      <c r="O556" s="11" t="n"/>
      <c r="P556" s="11" t="n"/>
      <c r="Q556" s="12" t="n"/>
      <c r="R556" s="11" t="n"/>
      <c r="S556" s="11" t="n"/>
      <c r="T556" s="11" t="n"/>
      <c r="U556" s="11" t="n"/>
      <c r="V556" s="154" t="n"/>
      <c r="W556" s="11" t="n"/>
      <c r="X556" s="13" t="n"/>
      <c r="Y556" s="13" t="n"/>
      <c r="Z556" s="13" t="n"/>
      <c r="AA556" s="13" t="n"/>
      <c r="AB556" s="13" t="n"/>
      <c r="AC556" s="13" t="n"/>
      <c r="AD556" s="13" t="n"/>
      <c r="AE556" s="13" t="n"/>
      <c r="AF556" s="13" t="n"/>
      <c r="AG556" s="13" t="n"/>
      <c r="AH556" s="13" t="n"/>
      <c r="AI556" s="13" t="n"/>
    </row>
    <row r="557">
      <c r="A557" s="14" t="n">
        <v>202307</v>
      </c>
      <c r="B557" s="15">
        <f>LEFT(creditcard[[#This Row],[YYYYMM]],4)</f>
        <v/>
      </c>
      <c r="C557" s="15">
        <f>RIGHT(creditcard[[#This Row],[YYYYMM]],2)</f>
        <v/>
      </c>
      <c r="D557" s="15">
        <f>IF(RIGHT(creditcard[[#This Row],[YYYYMM]],2)="--","--","Q"&amp;ROUNDUP(VALUE(RIGHT(creditcard[[#This Row],[YYYYMM]],2))/3,0))</f>
        <v/>
      </c>
      <c r="E557" s="15" t="n">
        <v>6</v>
      </c>
      <c r="F557" s="155" t="inlineStr">
        <is>
          <t>星展</t>
        </is>
      </c>
      <c r="G557" s="156" t="inlineStr">
        <is>
          <t>06 星展</t>
        </is>
      </c>
      <c r="H557" s="157" t="n">
        <v>675471</v>
      </c>
      <c r="I557" s="157" t="n">
        <v>351912</v>
      </c>
      <c r="J557" s="157" t="n">
        <v>17078</v>
      </c>
      <c r="K557" s="157" t="n">
        <v>6375</v>
      </c>
      <c r="L557" s="157" t="n">
        <v>1272.891</v>
      </c>
      <c r="M557" s="16" t="n"/>
      <c r="N557" s="157" t="n">
        <v>4104.759</v>
      </c>
      <c r="O557" s="16" t="n"/>
      <c r="P557" s="16" t="n"/>
      <c r="Q557" s="17" t="n"/>
      <c r="R557" s="16" t="n"/>
      <c r="S557" s="16" t="n"/>
      <c r="T557" s="16" t="n"/>
      <c r="U557" s="16" t="n"/>
      <c r="V557" s="158" t="n"/>
      <c r="W557" s="16" t="n"/>
      <c r="X557" s="18" t="n"/>
      <c r="Y557" s="18" t="n"/>
      <c r="Z557" s="18" t="n"/>
      <c r="AA557" s="18" t="n"/>
      <c r="AB557" s="18" t="n"/>
      <c r="AC557" s="18" t="n"/>
      <c r="AD557" s="18" t="n"/>
      <c r="AE557" s="18" t="n"/>
      <c r="AF557" s="18" t="n"/>
      <c r="AG557" s="18" t="n"/>
      <c r="AH557" s="18" t="n"/>
      <c r="AI557" s="18" t="n"/>
    </row>
    <row r="558">
      <c r="A558" s="9" t="n">
        <v>202307</v>
      </c>
      <c r="B558" s="10">
        <f>LEFT(creditcard[[#This Row],[YYYYMM]],4)</f>
        <v/>
      </c>
      <c r="C558" s="10">
        <f>RIGHT(creditcard[[#This Row],[YYYYMM]],2)</f>
        <v/>
      </c>
      <c r="D558" s="10">
        <f>IF(RIGHT(creditcard[[#This Row],[YYYYMM]],2)="--","--","Q"&amp;ROUNDUP(VALUE(RIGHT(creditcard[[#This Row],[YYYYMM]],2))/3,0))</f>
        <v/>
      </c>
      <c r="E558" s="10" t="n">
        <v>7</v>
      </c>
      <c r="F558" s="151" t="inlineStr">
        <is>
          <t>聯邦</t>
        </is>
      </c>
      <c r="G558" s="152" t="inlineStr">
        <is>
          <t>07 聯邦</t>
        </is>
      </c>
      <c r="H558" s="153" t="n">
        <v>2679668</v>
      </c>
      <c r="I558" s="153" t="n">
        <v>1580798</v>
      </c>
      <c r="J558" s="153" t="n">
        <v>83590</v>
      </c>
      <c r="K558" s="153" t="n">
        <v>17246</v>
      </c>
      <c r="L558" s="153" t="n">
        <v>5848.055</v>
      </c>
      <c r="M558" s="11" t="n"/>
      <c r="N558" s="153" t="n">
        <v>14385.082</v>
      </c>
      <c r="O558" s="11" t="n"/>
      <c r="P558" s="11" t="n"/>
      <c r="Q558" s="12" t="n"/>
      <c r="R558" s="11" t="n"/>
      <c r="S558" s="11" t="n"/>
      <c r="T558" s="11" t="n"/>
      <c r="U558" s="11" t="n"/>
      <c r="V558" s="154" t="n"/>
      <c r="W558" s="11" t="n"/>
      <c r="X558" s="13" t="n"/>
      <c r="Y558" s="13" t="n"/>
      <c r="Z558" s="13" t="n"/>
      <c r="AA558" s="13" t="n"/>
      <c r="AB558" s="13" t="n"/>
      <c r="AC558" s="13" t="n"/>
      <c r="AD558" s="13" t="n"/>
      <c r="AE558" s="13" t="n"/>
      <c r="AF558" s="13" t="n"/>
      <c r="AG558" s="13" t="n"/>
      <c r="AH558" s="13" t="n"/>
      <c r="AI558" s="13" t="n"/>
    </row>
    <row r="559">
      <c r="A559" s="14" t="n">
        <v>202307</v>
      </c>
      <c r="B559" s="15">
        <f>LEFT(creditcard[[#This Row],[YYYYMM]],4)</f>
        <v/>
      </c>
      <c r="C559" s="15">
        <f>RIGHT(creditcard[[#This Row],[YYYYMM]],2)</f>
        <v/>
      </c>
      <c r="D559" s="15">
        <f>IF(RIGHT(creditcard[[#This Row],[YYYYMM]],2)="--","--","Q"&amp;ROUNDUP(VALUE(RIGHT(creditcard[[#This Row],[YYYYMM]],2))/3,0))</f>
        <v/>
      </c>
      <c r="E559" s="15" t="n">
        <v>8</v>
      </c>
      <c r="F559" s="155" t="inlineStr">
        <is>
          <t>永豐</t>
        </is>
      </c>
      <c r="G559" s="156" t="inlineStr">
        <is>
          <t>08 永豐</t>
        </is>
      </c>
      <c r="H559" s="157" t="n">
        <v>2289131</v>
      </c>
      <c r="I559" s="157" t="n">
        <v>1239017</v>
      </c>
      <c r="J559" s="157" t="n">
        <v>17427</v>
      </c>
      <c r="K559" s="157" t="n">
        <v>28015</v>
      </c>
      <c r="L559" s="157" t="n">
        <v>3775.389</v>
      </c>
      <c r="M559" s="16" t="n"/>
      <c r="N559" s="157" t="n">
        <v>10649.894</v>
      </c>
      <c r="O559" s="16" t="n"/>
      <c r="P559" s="16" t="n"/>
      <c r="Q559" s="17" t="n"/>
      <c r="R559" s="16" t="n"/>
      <c r="S559" s="16" t="n"/>
      <c r="T559" s="16" t="n"/>
      <c r="U559" s="16" t="n"/>
      <c r="V559" s="158" t="n"/>
      <c r="W559" s="16" t="n"/>
      <c r="X559" s="18" t="n"/>
      <c r="Y559" s="18" t="n"/>
      <c r="Z559" s="18" t="n"/>
      <c r="AA559" s="18" t="n"/>
      <c r="AB559" s="18" t="n"/>
      <c r="AC559" s="18" t="n"/>
      <c r="AD559" s="18" t="n"/>
      <c r="AE559" s="18" t="n"/>
      <c r="AF559" s="18" t="n"/>
      <c r="AG559" s="18" t="n"/>
      <c r="AH559" s="18" t="n"/>
      <c r="AI559" s="18" t="n"/>
    </row>
    <row r="560">
      <c r="A560" s="9" t="n">
        <v>202307</v>
      </c>
      <c r="B560" s="10">
        <f>LEFT(creditcard[[#This Row],[YYYYMM]],4)</f>
        <v/>
      </c>
      <c r="C560" s="10">
        <f>RIGHT(creditcard[[#This Row],[YYYYMM]],2)</f>
        <v/>
      </c>
      <c r="D560" s="10">
        <f>IF(RIGHT(creditcard[[#This Row],[YYYYMM]],2)="--","--","Q"&amp;ROUNDUP(VALUE(RIGHT(creditcard[[#This Row],[YYYYMM]],2))/3,0))</f>
        <v/>
      </c>
      <c r="E560" s="10" t="n">
        <v>9</v>
      </c>
      <c r="F560" s="151" t="inlineStr">
        <is>
          <t>第一</t>
        </is>
      </c>
      <c r="G560" s="152" t="inlineStr">
        <is>
          <t>09 第一</t>
        </is>
      </c>
      <c r="H560" s="153" t="n">
        <v>1533894</v>
      </c>
      <c r="I560" s="153" t="n">
        <v>929878</v>
      </c>
      <c r="J560" s="153" t="n">
        <v>14485</v>
      </c>
      <c r="K560" s="153" t="n">
        <v>15115</v>
      </c>
      <c r="L560" s="153" t="n">
        <v>1593.836</v>
      </c>
      <c r="M560" s="11" t="n"/>
      <c r="N560" s="153" t="n">
        <v>5921.91</v>
      </c>
      <c r="O560" s="11" t="n"/>
      <c r="P560" s="11" t="n"/>
      <c r="Q560" s="12" t="n"/>
      <c r="R560" s="11" t="n"/>
      <c r="S560" s="11" t="n"/>
      <c r="T560" s="11" t="n"/>
      <c r="U560" s="11" t="n"/>
      <c r="V560" s="154" t="n"/>
      <c r="W560" s="11" t="n"/>
      <c r="X560" s="13" t="n"/>
      <c r="Y560" s="13" t="n"/>
      <c r="Z560" s="13" t="n"/>
      <c r="AA560" s="13" t="n"/>
      <c r="AB560" s="13" t="n"/>
      <c r="AC560" s="13" t="n"/>
      <c r="AD560" s="13" t="n"/>
      <c r="AE560" s="13" t="n"/>
      <c r="AF560" s="13" t="n"/>
      <c r="AG560" s="13" t="n"/>
      <c r="AH560" s="13" t="n"/>
      <c r="AI560" s="13" t="n"/>
    </row>
    <row r="561">
      <c r="A561" s="14" t="n">
        <v>202307</v>
      </c>
      <c r="B561" s="15">
        <f>LEFT(creditcard[[#This Row],[YYYYMM]],4)</f>
        <v/>
      </c>
      <c r="C561" s="15">
        <f>RIGHT(creditcard[[#This Row],[YYYYMM]],2)</f>
        <v/>
      </c>
      <c r="D561" s="15">
        <f>IF(RIGHT(creditcard[[#This Row],[YYYYMM]],2)="--","--","Q"&amp;ROUNDUP(VALUE(RIGHT(creditcard[[#This Row],[YYYYMM]],2))/3,0))</f>
        <v/>
      </c>
      <c r="E561" s="15" t="n">
        <v>10</v>
      </c>
      <c r="F561" s="155" t="inlineStr">
        <is>
          <t>遠東</t>
        </is>
      </c>
      <c r="G561" s="156" t="inlineStr">
        <is>
          <t>10 遠東</t>
        </is>
      </c>
      <c r="H561" s="157" t="n">
        <v>1438079</v>
      </c>
      <c r="I561" s="157" t="n">
        <v>987088</v>
      </c>
      <c r="J561" s="157" t="n">
        <v>12088</v>
      </c>
      <c r="K561" s="157" t="n">
        <v>9146</v>
      </c>
      <c r="L561" s="157" t="n">
        <v>3554.331</v>
      </c>
      <c r="M561" s="16" t="n"/>
      <c r="N561" s="157" t="n">
        <v>4341.93</v>
      </c>
      <c r="O561" s="16" t="n"/>
      <c r="P561" s="16" t="n"/>
      <c r="Q561" s="17" t="n"/>
      <c r="R561" s="16" t="n"/>
      <c r="S561" s="16" t="n"/>
      <c r="T561" s="16" t="n"/>
      <c r="U561" s="16" t="n"/>
      <c r="V561" s="158" t="n"/>
      <c r="W561" s="16" t="n"/>
      <c r="X561" s="18" t="n"/>
      <c r="Y561" s="18" t="n"/>
      <c r="Z561" s="18" t="n"/>
      <c r="AA561" s="18" t="n"/>
      <c r="AB561" s="18" t="n"/>
      <c r="AC561" s="18" t="n"/>
      <c r="AD561" s="18" t="n"/>
      <c r="AE561" s="18" t="n"/>
      <c r="AF561" s="18" t="n"/>
      <c r="AG561" s="18" t="n"/>
      <c r="AH561" s="18" t="n"/>
      <c r="AI561" s="18" t="n"/>
    </row>
    <row r="562">
      <c r="A562" s="9" t="n">
        <v>202307</v>
      </c>
      <c r="B562" s="10">
        <f>LEFT(creditcard[[#This Row],[YYYYMM]],4)</f>
        <v/>
      </c>
      <c r="C562" s="10">
        <f>RIGHT(creditcard[[#This Row],[YYYYMM]],2)</f>
        <v/>
      </c>
      <c r="D562" s="10">
        <f>IF(RIGHT(creditcard[[#This Row],[YYYYMM]],2)="--","--","Q"&amp;ROUNDUP(VALUE(RIGHT(creditcard[[#This Row],[YYYYMM]],2))/3,0))</f>
        <v/>
      </c>
      <c r="E562" s="10" t="n">
        <v>11</v>
      </c>
      <c r="F562" s="151" t="inlineStr">
        <is>
          <t>市場總計</t>
        </is>
      </c>
      <c r="G562" s="152" t="inlineStr">
        <is>
          <t>11 市場總計</t>
        </is>
      </c>
      <c r="H562" s="153" t="n">
        <v>60465096</v>
      </c>
      <c r="I562" s="153" t="n">
        <v>38265105</v>
      </c>
      <c r="J562" s="153" t="n">
        <v>1037772</v>
      </c>
      <c r="K562" s="153" t="n">
        <v>443245</v>
      </c>
      <c r="L562" s="153" t="n">
        <v>105472.83</v>
      </c>
      <c r="M562" s="11" t="n"/>
      <c r="N562" s="153" t="n">
        <v>327611.253</v>
      </c>
      <c r="O562" s="11" t="n"/>
      <c r="P562" s="11" t="n"/>
      <c r="Q562" s="12" t="n"/>
      <c r="R562" s="11" t="n"/>
      <c r="S562" s="11" t="n"/>
      <c r="T562" s="11" t="n"/>
      <c r="U562" s="11" t="n"/>
      <c r="V562" s="154" t="n">
        <v>4.85</v>
      </c>
      <c r="W562" s="11">
        <f>SUMIFS(H:H,A:A,creditcard[[#This Row],[YYYYMM]],G:G,creditcard[[#This Row],[Item]])</f>
        <v/>
      </c>
      <c r="X562" s="4">
        <f>IFERROR(SUMIFS(H:H,A:A,creditcard[[#This Row],[YYYYMM]],E:E,"&lt;=5")/creditcard[[#This Row],[市場總計]],"")</f>
        <v/>
      </c>
      <c r="Y562" s="4">
        <f>IFERROR(SUMIFS(H:H,A:A,creditcard[[#This Row],[YYYYMM]],E:E,"&lt;=10")/creditcard[[#This Row],[市場總計]],"")</f>
        <v/>
      </c>
      <c r="Z562" s="4">
        <f>IFERROR(SUMIFS(I:I,A:A,creditcard[[#This Row],[YYYYMM]],E:E,"&lt;=5")/creditcard[[#This Row],[有效卡數]],"")</f>
        <v/>
      </c>
      <c r="AA562" s="4">
        <f>IFERROR(SUMIFS(I:I,A:A,creditcard[[#This Row],[YYYYMM]],E:E,"&lt;=10")/creditcard[[#This Row],[有效卡數]],"")</f>
        <v/>
      </c>
      <c r="AB562" s="4">
        <f>IFERROR(SUMIFS(J:J,A:A,creditcard[[#This Row],[YYYYMM]],E:E,"&lt;=5")/creditcard[[#This Row],[當月發卡數]],"")</f>
        <v/>
      </c>
      <c r="AC562" s="4">
        <f>IFERROR(SUMIFS(J:J,A:A,creditcard[[#This Row],[YYYYMM]],E:E,"&lt;=10")/creditcard[[#This Row],[當月發卡數]],"")</f>
        <v/>
      </c>
      <c r="AD562" s="4">
        <f>IFERROR(SUMIFS(K:K,A:A,creditcard[[#This Row],[YYYYMM]],E:E,"&lt;=5")/creditcard[[#This Row],[當月停卡數]],"")</f>
        <v/>
      </c>
      <c r="AE562" s="4">
        <f>IFERROR(SUMIFS(K:K,A:A,creditcard[[#This Row],[YYYYMM]],E:E,"&lt;=10")/creditcard[[#This Row],[當月停卡數]],"")</f>
        <v/>
      </c>
      <c r="AF562" s="4">
        <f>IFERROR(SUMIFS(L:L,A:A,creditcard[[#This Row],[YYYYMM]],E:E,"&lt;=5")/creditcard[[#This Row],[循環信用餘額]],"")</f>
        <v/>
      </c>
      <c r="AG562" s="4">
        <f>IFERROR(SUMIFS(L:L,A:A,creditcard[[#This Row],[YYYYMM]],E:E,"&lt;=10")/creditcard[[#This Row],[循環信用餘額]],"")</f>
        <v/>
      </c>
      <c r="AH562" s="4">
        <f>IFERROR(SUMIFS(N:N,A:A,creditcard[[#This Row],[YYYYMM]],E:E,"&lt;=5")/creditcard[[#This Row],[當月簽帳金額]],"")</f>
        <v/>
      </c>
      <c r="AI562" s="4">
        <f>IFERROR(SUMIFS(N:N,A:A,creditcard[[#This Row],[YYYYMM]],E:E,"&lt;=10")/creditcard[[#This Row],[當月簽帳金額]],"")</f>
        <v/>
      </c>
    </row>
    <row r="563">
      <c r="A563" s="14" t="n">
        <v>202308</v>
      </c>
      <c r="B563" s="15">
        <f>LEFT(creditcard[[#This Row],[YYYYMM]],4)</f>
        <v/>
      </c>
      <c r="C563" s="15">
        <f>RIGHT(creditcard[[#This Row],[YYYYMM]],2)</f>
        <v/>
      </c>
      <c r="D563" s="15">
        <f>IF(RIGHT(creditcard[[#This Row],[YYYYMM]],2)="--","--","Q"&amp;ROUNDUP(VALUE(RIGHT(creditcard[[#This Row],[YYYYMM]],2))/3,0))</f>
        <v/>
      </c>
      <c r="E563" s="15" t="n">
        <v>1</v>
      </c>
      <c r="F563" s="155" t="inlineStr">
        <is>
          <t>中信</t>
        </is>
      </c>
      <c r="G563" s="156" t="inlineStr">
        <is>
          <t>01 中信</t>
        </is>
      </c>
      <c r="H563" s="157" t="n">
        <v>8913314</v>
      </c>
      <c r="I563" s="157" t="n">
        <v>5672226</v>
      </c>
      <c r="J563" s="157" t="n">
        <v>111593</v>
      </c>
      <c r="K563" s="157" t="n">
        <v>55301</v>
      </c>
      <c r="L563" s="157" t="n">
        <v>15991.838</v>
      </c>
      <c r="M563" s="16" t="n"/>
      <c r="N563" s="157" t="n">
        <v>60460.178</v>
      </c>
      <c r="O563" s="16" t="n"/>
      <c r="P563" s="16" t="n"/>
      <c r="Q563" s="17" t="n"/>
      <c r="R563" s="16" t="n"/>
      <c r="S563" s="16" t="n"/>
      <c r="T563" s="16" t="n"/>
      <c r="U563" s="16" t="n"/>
      <c r="V563" s="158" t="n"/>
      <c r="W563" s="16" t="n"/>
      <c r="X563" s="18" t="n"/>
      <c r="Y563" s="18" t="n"/>
      <c r="Z563" s="18" t="n"/>
      <c r="AA563" s="18" t="n"/>
      <c r="AB563" s="18" t="n"/>
      <c r="AC563" s="18" t="n"/>
      <c r="AD563" s="18" t="n"/>
      <c r="AE563" s="18" t="n"/>
      <c r="AF563" s="18" t="n"/>
      <c r="AG563" s="18" t="n"/>
      <c r="AH563" s="18" t="n"/>
      <c r="AI563" s="18" t="n"/>
    </row>
    <row r="564">
      <c r="A564" s="9" t="n">
        <v>202308</v>
      </c>
      <c r="B564" s="10">
        <f>LEFT(creditcard[[#This Row],[YYYYMM]],4)</f>
        <v/>
      </c>
      <c r="C564" s="10">
        <f>RIGHT(creditcard[[#This Row],[YYYYMM]],2)</f>
        <v/>
      </c>
      <c r="D564" s="10">
        <f>IF(RIGHT(creditcard[[#This Row],[YYYYMM]],2)="--","--","Q"&amp;ROUNDUP(VALUE(RIGHT(creditcard[[#This Row],[YYYYMM]],2))/3,0))</f>
        <v/>
      </c>
      <c r="E564" s="10" t="n">
        <v>2</v>
      </c>
      <c r="F564" s="151" t="inlineStr">
        <is>
          <t>富邦</t>
        </is>
      </c>
      <c r="G564" s="152" t="inlineStr">
        <is>
          <t>02 富邦</t>
        </is>
      </c>
      <c r="H564" s="153" t="n">
        <v>7011088</v>
      </c>
      <c r="I564" s="153" t="n">
        <v>4950148</v>
      </c>
      <c r="J564" s="153" t="n">
        <v>275787</v>
      </c>
      <c r="K564" s="153" t="n">
        <v>61237</v>
      </c>
      <c r="L564" s="153" t="n">
        <v>7366.759</v>
      </c>
      <c r="M564" s="11" t="n"/>
      <c r="N564" s="153" t="n">
        <v>46769.887</v>
      </c>
      <c r="O564" s="11" t="n"/>
      <c r="P564" s="11" t="n"/>
      <c r="Q564" s="12" t="n"/>
      <c r="R564" s="11" t="n"/>
      <c r="S564" s="11" t="n"/>
      <c r="T564" s="11" t="n"/>
      <c r="U564" s="11" t="n"/>
      <c r="V564" s="154" t="n"/>
      <c r="W564" s="11" t="n"/>
      <c r="X564" s="13" t="n"/>
      <c r="Y564" s="13" t="n"/>
      <c r="Z564" s="13" t="n"/>
      <c r="AA564" s="13" t="n"/>
      <c r="AB564" s="13" t="n"/>
      <c r="AC564" s="13" t="n"/>
      <c r="AD564" s="13" t="n"/>
      <c r="AE564" s="13" t="n"/>
      <c r="AF564" s="13" t="n"/>
      <c r="AG564" s="13" t="n"/>
      <c r="AH564" s="13" t="n"/>
      <c r="AI564" s="13" t="n"/>
    </row>
    <row r="565">
      <c r="A565" s="14" t="n">
        <v>202308</v>
      </c>
      <c r="B565" s="15">
        <f>LEFT(creditcard[[#This Row],[YYYYMM]],4)</f>
        <v/>
      </c>
      <c r="C565" s="15">
        <f>RIGHT(creditcard[[#This Row],[YYYYMM]],2)</f>
        <v/>
      </c>
      <c r="D565" s="15">
        <f>IF(RIGHT(creditcard[[#This Row],[YYYYMM]],2)="--","--","Q"&amp;ROUNDUP(VALUE(RIGHT(creditcard[[#This Row],[YYYYMM]],2))/3,0))</f>
        <v/>
      </c>
      <c r="E565" s="15" t="n">
        <v>3</v>
      </c>
      <c r="F565" s="155" t="inlineStr">
        <is>
          <t>國泰</t>
        </is>
      </c>
      <c r="G565" s="156" t="inlineStr">
        <is>
          <t>03 國泰</t>
        </is>
      </c>
      <c r="H565" s="157" t="n">
        <v>7193539</v>
      </c>
      <c r="I565" s="157" t="n">
        <v>4424528</v>
      </c>
      <c r="J565" s="157" t="n">
        <v>129302</v>
      </c>
      <c r="K565" s="157" t="n">
        <v>3344037</v>
      </c>
      <c r="L565" s="157" t="n">
        <v>18994.422</v>
      </c>
      <c r="M565" s="16" t="n"/>
      <c r="N565" s="157" t="n">
        <v>55997.945</v>
      </c>
      <c r="O565" s="16" t="n"/>
      <c r="P565" s="16" t="n"/>
      <c r="Q565" s="17" t="n"/>
      <c r="R565" s="16" t="n"/>
      <c r="S565" s="16" t="n"/>
      <c r="T565" s="16" t="n"/>
      <c r="U565" s="16" t="n"/>
      <c r="V565" s="158" t="n"/>
      <c r="W565" s="16" t="n"/>
      <c r="X565" s="18" t="n"/>
      <c r="Y565" s="18" t="n"/>
      <c r="Z565" s="18" t="n"/>
      <c r="AA565" s="18" t="n"/>
      <c r="AB565" s="18" t="n"/>
      <c r="AC565" s="18" t="n"/>
      <c r="AD565" s="18" t="n"/>
      <c r="AE565" s="18" t="n"/>
      <c r="AF565" s="18" t="n"/>
      <c r="AG565" s="18" t="n"/>
      <c r="AH565" s="18" t="n"/>
      <c r="AI565" s="18" t="n"/>
    </row>
    <row r="566">
      <c r="A566" s="9" t="n">
        <v>202308</v>
      </c>
      <c r="B566" s="10">
        <f>LEFT(creditcard[[#This Row],[YYYYMM]],4)</f>
        <v/>
      </c>
      <c r="C566" s="10">
        <f>RIGHT(creditcard[[#This Row],[YYYYMM]],2)</f>
        <v/>
      </c>
      <c r="D566" s="10">
        <f>IF(RIGHT(creditcard[[#This Row],[YYYYMM]],2)="--","--","Q"&amp;ROUNDUP(VALUE(RIGHT(creditcard[[#This Row],[YYYYMM]],2))/3,0))</f>
        <v/>
      </c>
      <c r="E566" s="10" t="n">
        <v>4</v>
      </c>
      <c r="F566" s="151" t="inlineStr">
        <is>
          <t>玉山</t>
        </is>
      </c>
      <c r="G566" s="152" t="inlineStr">
        <is>
          <t>04 玉山</t>
        </is>
      </c>
      <c r="H566" s="153" t="n">
        <v>7110303</v>
      </c>
      <c r="I566" s="153" t="n">
        <v>4769596</v>
      </c>
      <c r="J566" s="153" t="n">
        <v>97453</v>
      </c>
      <c r="K566" s="153" t="n">
        <v>56626</v>
      </c>
      <c r="L566" s="153" t="n">
        <v>12885.422</v>
      </c>
      <c r="M566" s="11" t="n"/>
      <c r="N566" s="153" t="n">
        <v>44234.804</v>
      </c>
      <c r="O566" s="11" t="n"/>
      <c r="P566" s="11" t="n"/>
      <c r="Q566" s="12" t="n"/>
      <c r="R566" s="11" t="n"/>
      <c r="S566" s="11" t="n"/>
      <c r="T566" s="11" t="n"/>
      <c r="U566" s="11" t="n"/>
      <c r="V566" s="154" t="n"/>
      <c r="W566" s="11" t="n"/>
      <c r="X566" s="13" t="n"/>
      <c r="Y566" s="13" t="n"/>
      <c r="Z566" s="13" t="n"/>
      <c r="AA566" s="13" t="n"/>
      <c r="AB566" s="13" t="n"/>
      <c r="AC566" s="13" t="n"/>
      <c r="AD566" s="13" t="n"/>
      <c r="AE566" s="13" t="n"/>
      <c r="AF566" s="13" t="n"/>
      <c r="AG566" s="13" t="n"/>
      <c r="AH566" s="13" t="n"/>
      <c r="AI566" s="13" t="n"/>
    </row>
    <row r="567">
      <c r="A567" s="14" t="n">
        <v>202308</v>
      </c>
      <c r="B567" s="15">
        <f>LEFT(creditcard[[#This Row],[YYYYMM]],4)</f>
        <v/>
      </c>
      <c r="C567" s="15">
        <f>RIGHT(creditcard[[#This Row],[YYYYMM]],2)</f>
        <v/>
      </c>
      <c r="D567" s="15">
        <f>IF(RIGHT(creditcard[[#This Row],[YYYYMM]],2)="--","--","Q"&amp;ROUNDUP(VALUE(RIGHT(creditcard[[#This Row],[YYYYMM]],2))/3,0))</f>
        <v/>
      </c>
      <c r="E567" s="15" t="n">
        <v>5</v>
      </c>
      <c r="F567" s="155" t="inlineStr">
        <is>
          <t>台新</t>
        </is>
      </c>
      <c r="G567" s="156" t="inlineStr">
        <is>
          <t>05 台新</t>
        </is>
      </c>
      <c r="H567" s="157" t="n">
        <v>6491107</v>
      </c>
      <c r="I567" s="157" t="n">
        <v>4448555</v>
      </c>
      <c r="J567" s="157" t="n">
        <v>67457</v>
      </c>
      <c r="K567" s="157" t="n">
        <v>44110</v>
      </c>
      <c r="L567" s="157" t="n">
        <v>10138.885</v>
      </c>
      <c r="M567" s="16" t="n"/>
      <c r="N567" s="157" t="n">
        <v>38792.215</v>
      </c>
      <c r="O567" s="16" t="n"/>
      <c r="P567" s="16" t="n"/>
      <c r="Q567" s="17" t="n"/>
      <c r="R567" s="16" t="n"/>
      <c r="S567" s="16" t="n"/>
      <c r="T567" s="16" t="n"/>
      <c r="U567" s="16" t="n"/>
      <c r="V567" s="158" t="n"/>
      <c r="W567" s="16" t="n"/>
      <c r="X567" s="18" t="n"/>
      <c r="Y567" s="18" t="n"/>
      <c r="Z567" s="18" t="n"/>
      <c r="AA567" s="18" t="n"/>
      <c r="AB567" s="18" t="n"/>
      <c r="AC567" s="18" t="n"/>
      <c r="AD567" s="18" t="n"/>
      <c r="AE567" s="18" t="n"/>
      <c r="AF567" s="18" t="n"/>
      <c r="AG567" s="18" t="n"/>
      <c r="AH567" s="18" t="n"/>
      <c r="AI567" s="18" t="n"/>
    </row>
    <row r="568">
      <c r="A568" s="9" t="n">
        <v>202308</v>
      </c>
      <c r="B568" s="10">
        <f>LEFT(creditcard[[#This Row],[YYYYMM]],4)</f>
        <v/>
      </c>
      <c r="C568" s="10">
        <f>RIGHT(creditcard[[#This Row],[YYYYMM]],2)</f>
        <v/>
      </c>
      <c r="D568" s="10">
        <f>IF(RIGHT(creditcard[[#This Row],[YYYYMM]],2)="--","--","Q"&amp;ROUNDUP(VALUE(RIGHT(creditcard[[#This Row],[YYYYMM]],2))/3,0))</f>
        <v/>
      </c>
      <c r="E568" s="10" t="n">
        <v>6</v>
      </c>
      <c r="F568" s="151" t="inlineStr">
        <is>
          <t>星展</t>
        </is>
      </c>
      <c r="G568" s="152" t="inlineStr">
        <is>
          <t>06 星展</t>
        </is>
      </c>
      <c r="H568" s="153" t="n">
        <v>3359924</v>
      </c>
      <c r="I568" s="153" t="n">
        <v>1488741</v>
      </c>
      <c r="J568" s="153" t="n">
        <v>23432</v>
      </c>
      <c r="K568" s="153" t="n">
        <v>46080</v>
      </c>
      <c r="L568" s="153" t="n">
        <v>9213.624</v>
      </c>
      <c r="M568" s="11" t="n"/>
      <c r="N568" s="153" t="n">
        <v>20337.963</v>
      </c>
      <c r="O568" s="11" t="n"/>
      <c r="P568" s="11" t="n"/>
      <c r="Q568" s="12" t="n"/>
      <c r="R568" s="11" t="n"/>
      <c r="S568" s="11" t="n"/>
      <c r="T568" s="11" t="n"/>
      <c r="U568" s="11" t="n"/>
      <c r="V568" s="154" t="n"/>
      <c r="W568" s="11" t="n"/>
      <c r="X568" s="13" t="n"/>
      <c r="Y568" s="13" t="n"/>
      <c r="Z568" s="13" t="n"/>
      <c r="AA568" s="13" t="n"/>
      <c r="AB568" s="13" t="n"/>
      <c r="AC568" s="13" t="n"/>
      <c r="AD568" s="13" t="n"/>
      <c r="AE568" s="13" t="n"/>
      <c r="AF568" s="13" t="n"/>
      <c r="AG568" s="13" t="n"/>
      <c r="AH568" s="13" t="n"/>
      <c r="AI568" s="13" t="n"/>
    </row>
    <row r="569">
      <c r="A569" s="14" t="n">
        <v>202308</v>
      </c>
      <c r="B569" s="15">
        <f>LEFT(creditcard[[#This Row],[YYYYMM]],4)</f>
        <v/>
      </c>
      <c r="C569" s="15">
        <f>RIGHT(creditcard[[#This Row],[YYYYMM]],2)</f>
        <v/>
      </c>
      <c r="D569" s="15">
        <f>IF(RIGHT(creditcard[[#This Row],[YYYYMM]],2)="--","--","Q"&amp;ROUNDUP(VALUE(RIGHT(creditcard[[#This Row],[YYYYMM]],2))/3,0))</f>
        <v/>
      </c>
      <c r="E569" s="15" t="n">
        <v>7</v>
      </c>
      <c r="F569" s="155" t="inlineStr">
        <is>
          <t>聯邦</t>
        </is>
      </c>
      <c r="G569" s="156" t="inlineStr">
        <is>
          <t>07 聯邦</t>
        </is>
      </c>
      <c r="H569" s="157" t="n">
        <v>2738513</v>
      </c>
      <c r="I569" s="157" t="n">
        <v>1634520</v>
      </c>
      <c r="J569" s="157" t="n">
        <v>78297</v>
      </c>
      <c r="K569" s="157" t="n">
        <v>19452</v>
      </c>
      <c r="L569" s="157" t="n">
        <v>5937.228</v>
      </c>
      <c r="M569" s="16" t="n"/>
      <c r="N569" s="157" t="n">
        <v>15927.985</v>
      </c>
      <c r="O569" s="16" t="n"/>
      <c r="P569" s="16" t="n"/>
      <c r="Q569" s="17" t="n"/>
      <c r="R569" s="16" t="n"/>
      <c r="S569" s="16" t="n"/>
      <c r="T569" s="16" t="n"/>
      <c r="U569" s="16" t="n"/>
      <c r="V569" s="158" t="n"/>
      <c r="W569" s="16" t="n"/>
      <c r="X569" s="18" t="n"/>
      <c r="Y569" s="18" t="n"/>
      <c r="Z569" s="18" t="n"/>
      <c r="AA569" s="18" t="n"/>
      <c r="AB569" s="18" t="n"/>
      <c r="AC569" s="18" t="n"/>
      <c r="AD569" s="18" t="n"/>
      <c r="AE569" s="18" t="n"/>
      <c r="AF569" s="18" t="n"/>
      <c r="AG569" s="18" t="n"/>
      <c r="AH569" s="18" t="n"/>
      <c r="AI569" s="18" t="n"/>
    </row>
    <row r="570">
      <c r="A570" s="9" t="n">
        <v>202308</v>
      </c>
      <c r="B570" s="10">
        <f>LEFT(creditcard[[#This Row],[YYYYMM]],4)</f>
        <v/>
      </c>
      <c r="C570" s="10">
        <f>RIGHT(creditcard[[#This Row],[YYYYMM]],2)</f>
        <v/>
      </c>
      <c r="D570" s="10">
        <f>IF(RIGHT(creditcard[[#This Row],[YYYYMM]],2)="--","--","Q"&amp;ROUNDUP(VALUE(RIGHT(creditcard[[#This Row],[YYYYMM]],2))/3,0))</f>
        <v/>
      </c>
      <c r="E570" s="10" t="n">
        <v>8</v>
      </c>
      <c r="F570" s="151" t="inlineStr">
        <is>
          <t>永豐</t>
        </is>
      </c>
      <c r="G570" s="152" t="inlineStr">
        <is>
          <t>08 永豐</t>
        </is>
      </c>
      <c r="H570" s="153" t="n">
        <v>2299030</v>
      </c>
      <c r="I570" s="153" t="n">
        <v>1249927</v>
      </c>
      <c r="J570" s="153" t="n">
        <v>18250</v>
      </c>
      <c r="K570" s="153" t="n">
        <v>8068</v>
      </c>
      <c r="L570" s="153" t="n">
        <v>3762.674</v>
      </c>
      <c r="M570" s="11" t="n"/>
      <c r="N570" s="153" t="n">
        <v>11930.702</v>
      </c>
      <c r="O570" s="11" t="n"/>
      <c r="P570" s="11" t="n"/>
      <c r="Q570" s="12" t="n"/>
      <c r="R570" s="11" t="n"/>
      <c r="S570" s="11" t="n"/>
      <c r="T570" s="11" t="n"/>
      <c r="U570" s="11" t="n"/>
      <c r="V570" s="154" t="n"/>
      <c r="W570" s="11" t="n"/>
      <c r="X570" s="13" t="n"/>
      <c r="Y570" s="13" t="n"/>
      <c r="Z570" s="13" t="n"/>
      <c r="AA570" s="13" t="n"/>
      <c r="AB570" s="13" t="n"/>
      <c r="AC570" s="13" t="n"/>
      <c r="AD570" s="13" t="n"/>
      <c r="AE570" s="13" t="n"/>
      <c r="AF570" s="13" t="n"/>
      <c r="AG570" s="13" t="n"/>
      <c r="AH570" s="13" t="n"/>
      <c r="AI570" s="13" t="n"/>
    </row>
    <row r="571">
      <c r="A571" s="14" t="n">
        <v>202308</v>
      </c>
      <c r="B571" s="15">
        <f>LEFT(creditcard[[#This Row],[YYYYMM]],4)</f>
        <v/>
      </c>
      <c r="C571" s="15">
        <f>RIGHT(creditcard[[#This Row],[YYYYMM]],2)</f>
        <v/>
      </c>
      <c r="D571" s="15">
        <f>IF(RIGHT(creditcard[[#This Row],[YYYYMM]],2)="--","--","Q"&amp;ROUNDUP(VALUE(RIGHT(creditcard[[#This Row],[YYYYMM]],2))/3,0))</f>
        <v/>
      </c>
      <c r="E571" s="15" t="n">
        <v>9</v>
      </c>
      <c r="F571" s="155" t="inlineStr">
        <is>
          <t>第一</t>
        </is>
      </c>
      <c r="G571" s="156" t="inlineStr">
        <is>
          <t>09 第一</t>
        </is>
      </c>
      <c r="H571" s="157" t="n">
        <v>1541350</v>
      </c>
      <c r="I571" s="157" t="n">
        <v>933620</v>
      </c>
      <c r="J571" s="157" t="n">
        <v>17159</v>
      </c>
      <c r="K571" s="157" t="n">
        <v>9910</v>
      </c>
      <c r="L571" s="157" t="n">
        <v>1621.376</v>
      </c>
      <c r="M571" s="16" t="n"/>
      <c r="N571" s="157" t="n">
        <v>6735.511</v>
      </c>
      <c r="O571" s="16" t="n"/>
      <c r="P571" s="16" t="n"/>
      <c r="Q571" s="17" t="n"/>
      <c r="R571" s="16" t="n"/>
      <c r="S571" s="16" t="n"/>
      <c r="T571" s="16" t="n"/>
      <c r="U571" s="16" t="n"/>
      <c r="V571" s="158" t="n"/>
      <c r="W571" s="16" t="n"/>
      <c r="X571" s="18" t="n"/>
      <c r="Y571" s="18" t="n"/>
      <c r="Z571" s="18" t="n"/>
      <c r="AA571" s="18" t="n"/>
      <c r="AB571" s="18" t="n"/>
      <c r="AC571" s="18" t="n"/>
      <c r="AD571" s="18" t="n"/>
      <c r="AE571" s="18" t="n"/>
      <c r="AF571" s="18" t="n"/>
      <c r="AG571" s="18" t="n"/>
      <c r="AH571" s="18" t="n"/>
      <c r="AI571" s="18" t="n"/>
    </row>
    <row r="572">
      <c r="A572" s="9" t="n">
        <v>202308</v>
      </c>
      <c r="B572" s="10">
        <f>LEFT(creditcard[[#This Row],[YYYYMM]],4)</f>
        <v/>
      </c>
      <c r="C572" s="10">
        <f>RIGHT(creditcard[[#This Row],[YYYYMM]],2)</f>
        <v/>
      </c>
      <c r="D572" s="10">
        <f>IF(RIGHT(creditcard[[#This Row],[YYYYMM]],2)="--","--","Q"&amp;ROUNDUP(VALUE(RIGHT(creditcard[[#This Row],[YYYYMM]],2))/3,0))</f>
        <v/>
      </c>
      <c r="E572" s="10" t="n">
        <v>10</v>
      </c>
      <c r="F572" s="151" t="inlineStr">
        <is>
          <t>遠東</t>
        </is>
      </c>
      <c r="G572" s="152" t="inlineStr">
        <is>
          <t>10 遠東</t>
        </is>
      </c>
      <c r="H572" s="153" t="n">
        <v>1439779</v>
      </c>
      <c r="I572" s="153" t="n">
        <v>992207</v>
      </c>
      <c r="J572" s="153" t="n">
        <v>12082</v>
      </c>
      <c r="K572" s="153" t="n">
        <v>10425</v>
      </c>
      <c r="L572" s="153" t="n">
        <v>3489.93</v>
      </c>
      <c r="M572" s="11" t="n"/>
      <c r="N572" s="153" t="n">
        <v>4594.662</v>
      </c>
      <c r="O572" s="11" t="n"/>
      <c r="P572" s="11" t="n"/>
      <c r="Q572" s="12" t="n"/>
      <c r="R572" s="11" t="n"/>
      <c r="S572" s="11" t="n"/>
      <c r="T572" s="11" t="n"/>
      <c r="U572" s="11" t="n"/>
      <c r="V572" s="154" t="n"/>
      <c r="W572" s="11" t="n"/>
      <c r="X572" s="13" t="n"/>
      <c r="Y572" s="13" t="n"/>
      <c r="Z572" s="13" t="n"/>
      <c r="AA572" s="13" t="n"/>
      <c r="AB572" s="13" t="n"/>
      <c r="AC572" s="13" t="n"/>
      <c r="AD572" s="13" t="n"/>
      <c r="AE572" s="13" t="n"/>
      <c r="AF572" s="13" t="n"/>
      <c r="AG572" s="13" t="n"/>
      <c r="AH572" s="13" t="n"/>
      <c r="AI572" s="13" t="n"/>
    </row>
    <row r="573">
      <c r="A573" s="14" t="n">
        <v>202308</v>
      </c>
      <c r="B573" s="15">
        <f>LEFT(creditcard[[#This Row],[YYYYMM]],4)</f>
        <v/>
      </c>
      <c r="C573" s="15">
        <f>RIGHT(creditcard[[#This Row],[YYYYMM]],2)</f>
        <v/>
      </c>
      <c r="D573" s="15">
        <f>IF(RIGHT(creditcard[[#This Row],[YYYYMM]],2)="--","--","Q"&amp;ROUNDUP(VALUE(RIGHT(creditcard[[#This Row],[YYYYMM]],2))/3,0))</f>
        <v/>
      </c>
      <c r="E573" s="15" t="n">
        <v>11</v>
      </c>
      <c r="F573" s="155" t="inlineStr">
        <is>
          <t>市場總計</t>
        </is>
      </c>
      <c r="G573" s="156" t="inlineStr">
        <is>
          <t>11 市場總計</t>
        </is>
      </c>
      <c r="H573" s="157" t="n">
        <v>57665117</v>
      </c>
      <c r="I573" s="157" t="n">
        <v>36833945</v>
      </c>
      <c r="J573" s="157" t="n">
        <v>923995</v>
      </c>
      <c r="K573" s="157" t="n">
        <v>3747865</v>
      </c>
      <c r="L573" s="157" t="n">
        <v>102805.766</v>
      </c>
      <c r="M573" s="16" t="n"/>
      <c r="N573" s="157" t="n">
        <v>353726.819</v>
      </c>
      <c r="O573" s="16" t="n"/>
      <c r="P573" s="16" t="n"/>
      <c r="Q573" s="17" t="n"/>
      <c r="R573" s="16" t="n"/>
      <c r="S573" s="16" t="n"/>
      <c r="T573" s="16" t="n"/>
      <c r="U573" s="16" t="n"/>
      <c r="V573" s="158" t="n">
        <v>4.62</v>
      </c>
      <c r="W573" s="16">
        <f>SUMIFS(H:H,A:A,creditcard[[#This Row],[YYYYMM]],G:G,creditcard[[#This Row],[Item]])</f>
        <v/>
      </c>
      <c r="X573" s="4">
        <f>IFERROR(SUMIFS(H:H,A:A,creditcard[[#This Row],[YYYYMM]],E:E,"&lt;=5")/creditcard[[#This Row],[市場總計]],"")</f>
        <v/>
      </c>
      <c r="Y573" s="4">
        <f>IFERROR(SUMIFS(H:H,A:A,creditcard[[#This Row],[YYYYMM]],E:E,"&lt;=10")/creditcard[[#This Row],[市場總計]],"")</f>
        <v/>
      </c>
      <c r="Z573" s="4">
        <f>IFERROR(SUMIFS(I:I,A:A,creditcard[[#This Row],[YYYYMM]],E:E,"&lt;=5")/creditcard[[#This Row],[有效卡數]],"")</f>
        <v/>
      </c>
      <c r="AA573" s="4">
        <f>IFERROR(SUMIFS(I:I,A:A,creditcard[[#This Row],[YYYYMM]],E:E,"&lt;=10")/creditcard[[#This Row],[有效卡數]],"")</f>
        <v/>
      </c>
      <c r="AB573" s="4">
        <f>IFERROR(SUMIFS(J:J,A:A,creditcard[[#This Row],[YYYYMM]],E:E,"&lt;=5")/creditcard[[#This Row],[當月發卡數]],"")</f>
        <v/>
      </c>
      <c r="AC573" s="4">
        <f>IFERROR(SUMIFS(J:J,A:A,creditcard[[#This Row],[YYYYMM]],E:E,"&lt;=10")/creditcard[[#This Row],[當月發卡數]],"")</f>
        <v/>
      </c>
      <c r="AD573" s="4">
        <f>IFERROR(SUMIFS(K:K,A:A,creditcard[[#This Row],[YYYYMM]],E:E,"&lt;=5")/creditcard[[#This Row],[當月停卡數]],"")</f>
        <v/>
      </c>
      <c r="AE573" s="4">
        <f>IFERROR(SUMIFS(K:K,A:A,creditcard[[#This Row],[YYYYMM]],E:E,"&lt;=10")/creditcard[[#This Row],[當月停卡數]],"")</f>
        <v/>
      </c>
      <c r="AF573" s="4">
        <f>IFERROR(SUMIFS(L:L,A:A,creditcard[[#This Row],[YYYYMM]],E:E,"&lt;=5")/creditcard[[#This Row],[循環信用餘額]],"")</f>
        <v/>
      </c>
      <c r="AG573" s="4">
        <f>IFERROR(SUMIFS(L:L,A:A,creditcard[[#This Row],[YYYYMM]],E:E,"&lt;=10")/creditcard[[#This Row],[循環信用餘額]],"")</f>
        <v/>
      </c>
      <c r="AH573" s="4">
        <f>IFERROR(SUMIFS(N:N,A:A,creditcard[[#This Row],[YYYYMM]],E:E,"&lt;=5")/creditcard[[#This Row],[當月簽帳金額]],"")</f>
        <v/>
      </c>
      <c r="AI573" s="4">
        <f>IFERROR(SUMIFS(N:N,A:A,creditcard[[#This Row],[YYYYMM]],E:E,"&lt;=10")/creditcard[[#This Row],[當月簽帳金額]],"")</f>
        <v/>
      </c>
    </row>
    <row r="574">
      <c r="A574" s="9" t="n">
        <v>202309</v>
      </c>
      <c r="B574" s="10">
        <f>LEFT(creditcard[[#This Row],[YYYYMM]],4)</f>
        <v/>
      </c>
      <c r="C574" s="10">
        <f>RIGHT(creditcard[[#This Row],[YYYYMM]],2)</f>
        <v/>
      </c>
      <c r="D574" s="10">
        <f>IF(RIGHT(creditcard[[#This Row],[YYYYMM]],2)="--","--","Q"&amp;ROUNDUP(VALUE(RIGHT(creditcard[[#This Row],[YYYYMM]],2))/3,0))</f>
        <v/>
      </c>
      <c r="E574" s="10" t="n">
        <v>1</v>
      </c>
      <c r="F574" s="151" t="inlineStr">
        <is>
          <t>中信</t>
        </is>
      </c>
      <c r="G574" s="152" t="inlineStr">
        <is>
          <t>01 中信</t>
        </is>
      </c>
      <c r="H574" s="153" t="n">
        <v>8974881</v>
      </c>
      <c r="I574" s="153" t="n">
        <v>5686619</v>
      </c>
      <c r="J574" s="153" t="n">
        <v>98168</v>
      </c>
      <c r="K574" s="153" t="n">
        <v>36601</v>
      </c>
      <c r="L574" s="153" t="n">
        <v>15990.343</v>
      </c>
      <c r="M574" s="11" t="n"/>
      <c r="N574" s="153" t="n">
        <v>54208.116</v>
      </c>
      <c r="O574" s="11" t="n"/>
      <c r="P574" s="11" t="n"/>
      <c r="Q574" s="12" t="n"/>
      <c r="R574" s="11" t="n"/>
      <c r="S574" s="11" t="n"/>
      <c r="T574" s="11" t="n"/>
      <c r="U574" s="11" t="n"/>
      <c r="V574" s="154" t="n"/>
      <c r="W574" s="11" t="n"/>
      <c r="X574" s="13" t="n"/>
      <c r="Y574" s="13" t="n"/>
      <c r="Z574" s="13" t="n"/>
      <c r="AA574" s="13" t="n"/>
      <c r="AB574" s="13" t="n"/>
      <c r="AC574" s="13" t="n"/>
      <c r="AD574" s="13" t="n"/>
      <c r="AE574" s="13" t="n"/>
      <c r="AF574" s="13" t="n"/>
      <c r="AG574" s="13" t="n"/>
      <c r="AH574" s="13" t="n"/>
      <c r="AI574" s="13" t="n"/>
    </row>
    <row r="575">
      <c r="A575" s="14" t="n">
        <v>202309</v>
      </c>
      <c r="B575" s="15">
        <f>LEFT(creditcard[[#This Row],[YYYYMM]],4)</f>
        <v/>
      </c>
      <c r="C575" s="15">
        <f>RIGHT(creditcard[[#This Row],[YYYYMM]],2)</f>
        <v/>
      </c>
      <c r="D575" s="15">
        <f>IF(RIGHT(creditcard[[#This Row],[YYYYMM]],2)="--","--","Q"&amp;ROUNDUP(VALUE(RIGHT(creditcard[[#This Row],[YYYYMM]],2))/3,0))</f>
        <v/>
      </c>
      <c r="E575" s="15" t="n">
        <v>2</v>
      </c>
      <c r="F575" s="155" t="inlineStr">
        <is>
          <t>富邦</t>
        </is>
      </c>
      <c r="G575" s="156" t="inlineStr">
        <is>
          <t>02 富邦</t>
        </is>
      </c>
      <c r="H575" s="157" t="n">
        <v>7114866</v>
      </c>
      <c r="I575" s="157" t="n">
        <v>5168476</v>
      </c>
      <c r="J575" s="157" t="n">
        <v>135569</v>
      </c>
      <c r="K575" s="157" t="n">
        <v>31791</v>
      </c>
      <c r="L575" s="157" t="n">
        <v>7860.561</v>
      </c>
      <c r="M575" s="16" t="n"/>
      <c r="N575" s="157" t="n">
        <v>43800.919</v>
      </c>
      <c r="O575" s="16" t="n"/>
      <c r="P575" s="16" t="n"/>
      <c r="Q575" s="17" t="n"/>
      <c r="R575" s="16" t="n"/>
      <c r="S575" s="16" t="n"/>
      <c r="T575" s="16" t="n"/>
      <c r="U575" s="16" t="n"/>
      <c r="V575" s="158" t="n"/>
      <c r="W575" s="16" t="n"/>
      <c r="X575" s="18" t="n"/>
      <c r="Y575" s="18" t="n"/>
      <c r="Z575" s="18" t="n"/>
      <c r="AA575" s="18" t="n"/>
      <c r="AB575" s="18" t="n"/>
      <c r="AC575" s="18" t="n"/>
      <c r="AD575" s="18" t="n"/>
      <c r="AE575" s="18" t="n"/>
      <c r="AF575" s="18" t="n"/>
      <c r="AG575" s="18" t="n"/>
      <c r="AH575" s="18" t="n"/>
      <c r="AI575" s="18" t="n"/>
    </row>
    <row r="576">
      <c r="A576" s="9" t="n">
        <v>202309</v>
      </c>
      <c r="B576" s="10">
        <f>LEFT(creditcard[[#This Row],[YYYYMM]],4)</f>
        <v/>
      </c>
      <c r="C576" s="10">
        <f>RIGHT(creditcard[[#This Row],[YYYYMM]],2)</f>
        <v/>
      </c>
      <c r="D576" s="10">
        <f>IF(RIGHT(creditcard[[#This Row],[YYYYMM]],2)="--","--","Q"&amp;ROUNDUP(VALUE(RIGHT(creditcard[[#This Row],[YYYYMM]],2))/3,0))</f>
        <v/>
      </c>
      <c r="E576" s="10" t="n">
        <v>3</v>
      </c>
      <c r="F576" s="151" t="inlineStr">
        <is>
          <t>國泰</t>
        </is>
      </c>
      <c r="G576" s="152" t="inlineStr">
        <is>
          <t>03 國泰</t>
        </is>
      </c>
      <c r="H576" s="153" t="n">
        <v>7181064</v>
      </c>
      <c r="I576" s="153" t="n">
        <v>4494980</v>
      </c>
      <c r="J576" s="153" t="n">
        <v>58547</v>
      </c>
      <c r="K576" s="153" t="n">
        <v>71022</v>
      </c>
      <c r="L576" s="153" t="n">
        <v>19167.399</v>
      </c>
      <c r="M576" s="11" t="n"/>
      <c r="N576" s="153" t="n">
        <v>45150.953</v>
      </c>
      <c r="O576" s="11" t="n"/>
      <c r="P576" s="11" t="n"/>
      <c r="Q576" s="12" t="n"/>
      <c r="R576" s="11" t="n"/>
      <c r="S576" s="11" t="n"/>
      <c r="T576" s="11" t="n"/>
      <c r="U576" s="11" t="n"/>
      <c r="V576" s="154" t="n"/>
      <c r="W576" s="11" t="n"/>
      <c r="X576" s="13" t="n"/>
      <c r="Y576" s="13" t="n"/>
      <c r="Z576" s="13" t="n"/>
      <c r="AA576" s="13" t="n"/>
      <c r="AB576" s="13" t="n"/>
      <c r="AC576" s="13" t="n"/>
      <c r="AD576" s="13" t="n"/>
      <c r="AE576" s="13" t="n"/>
      <c r="AF576" s="13" t="n"/>
      <c r="AG576" s="13" t="n"/>
      <c r="AH576" s="13" t="n"/>
      <c r="AI576" s="13" t="n"/>
    </row>
    <row r="577">
      <c r="A577" s="14" t="n">
        <v>202309</v>
      </c>
      <c r="B577" s="15">
        <f>LEFT(creditcard[[#This Row],[YYYYMM]],4)</f>
        <v/>
      </c>
      <c r="C577" s="15">
        <f>RIGHT(creditcard[[#This Row],[YYYYMM]],2)</f>
        <v/>
      </c>
      <c r="D577" s="15">
        <f>IF(RIGHT(creditcard[[#This Row],[YYYYMM]],2)="--","--","Q"&amp;ROUNDUP(VALUE(RIGHT(creditcard[[#This Row],[YYYYMM]],2))/3,0))</f>
        <v/>
      </c>
      <c r="E577" s="15" t="n">
        <v>4</v>
      </c>
      <c r="F577" s="155" t="inlineStr">
        <is>
          <t>玉山</t>
        </is>
      </c>
      <c r="G577" s="156" t="inlineStr">
        <is>
          <t>04 玉山</t>
        </is>
      </c>
      <c r="H577" s="157" t="n">
        <v>7140978</v>
      </c>
      <c r="I577" s="157" t="n">
        <v>4789387</v>
      </c>
      <c r="J577" s="157" t="n">
        <v>88999</v>
      </c>
      <c r="K577" s="157" t="n">
        <v>58324</v>
      </c>
      <c r="L577" s="157" t="n">
        <v>13054.955</v>
      </c>
      <c r="M577" s="16" t="n"/>
      <c r="N577" s="157" t="n">
        <v>40968.327</v>
      </c>
      <c r="O577" s="16" t="n"/>
      <c r="P577" s="16" t="n"/>
      <c r="Q577" s="17" t="n"/>
      <c r="R577" s="16" t="n"/>
      <c r="S577" s="16" t="n"/>
      <c r="T577" s="16" t="n"/>
      <c r="U577" s="16" t="n"/>
      <c r="V577" s="158" t="n"/>
      <c r="W577" s="16" t="n"/>
      <c r="X577" s="18" t="n"/>
      <c r="Y577" s="18" t="n"/>
      <c r="Z577" s="18" t="n"/>
      <c r="AA577" s="18" t="n"/>
      <c r="AB577" s="18" t="n"/>
      <c r="AC577" s="18" t="n"/>
      <c r="AD577" s="18" t="n"/>
      <c r="AE577" s="18" t="n"/>
      <c r="AF577" s="18" t="n"/>
      <c r="AG577" s="18" t="n"/>
      <c r="AH577" s="18" t="n"/>
      <c r="AI577" s="18" t="n"/>
    </row>
    <row r="578">
      <c r="A578" s="9" t="n">
        <v>202309</v>
      </c>
      <c r="B578" s="10">
        <f>LEFT(creditcard[[#This Row],[YYYYMM]],4)</f>
        <v/>
      </c>
      <c r="C578" s="10">
        <f>RIGHT(creditcard[[#This Row],[YYYYMM]],2)</f>
        <v/>
      </c>
      <c r="D578" s="10">
        <f>IF(RIGHT(creditcard[[#This Row],[YYYYMM]],2)="--","--","Q"&amp;ROUNDUP(VALUE(RIGHT(creditcard[[#This Row],[YYYYMM]],2))/3,0))</f>
        <v/>
      </c>
      <c r="E578" s="10" t="n">
        <v>5</v>
      </c>
      <c r="F578" s="151" t="inlineStr">
        <is>
          <t>台新</t>
        </is>
      </c>
      <c r="G578" s="152" t="inlineStr">
        <is>
          <t>05 台新</t>
        </is>
      </c>
      <c r="H578" s="153" t="n">
        <v>6502814</v>
      </c>
      <c r="I578" s="153" t="n">
        <v>4478662</v>
      </c>
      <c r="J578" s="153" t="n">
        <v>60994</v>
      </c>
      <c r="K578" s="153" t="n">
        <v>49287</v>
      </c>
      <c r="L578" s="153" t="n">
        <v>10230.614</v>
      </c>
      <c r="M578" s="11" t="n"/>
      <c r="N578" s="153" t="n">
        <v>35476.018</v>
      </c>
      <c r="O578" s="11" t="n"/>
      <c r="P578" s="11" t="n"/>
      <c r="Q578" s="12" t="n"/>
      <c r="R578" s="11" t="n"/>
      <c r="S578" s="11" t="n"/>
      <c r="T578" s="11" t="n"/>
      <c r="U578" s="11" t="n"/>
      <c r="V578" s="154" t="n"/>
      <c r="W578" s="11" t="n"/>
      <c r="X578" s="13" t="n"/>
      <c r="Y578" s="13" t="n"/>
      <c r="Z578" s="13" t="n"/>
      <c r="AA578" s="13" t="n"/>
      <c r="AB578" s="13" t="n"/>
      <c r="AC578" s="13" t="n"/>
      <c r="AD578" s="13" t="n"/>
      <c r="AE578" s="13" t="n"/>
      <c r="AF578" s="13" t="n"/>
      <c r="AG578" s="13" t="n"/>
      <c r="AH578" s="13" t="n"/>
      <c r="AI578" s="13" t="n"/>
    </row>
    <row r="579">
      <c r="A579" s="14" t="n">
        <v>202309</v>
      </c>
      <c r="B579" s="15">
        <f>LEFT(creditcard[[#This Row],[YYYYMM]],4)</f>
        <v/>
      </c>
      <c r="C579" s="15">
        <f>RIGHT(creditcard[[#This Row],[YYYYMM]],2)</f>
        <v/>
      </c>
      <c r="D579" s="15">
        <f>IF(RIGHT(creditcard[[#This Row],[YYYYMM]],2)="--","--","Q"&amp;ROUNDUP(VALUE(RIGHT(creditcard[[#This Row],[YYYYMM]],2))/3,0))</f>
        <v/>
      </c>
      <c r="E579" s="15" t="n">
        <v>6</v>
      </c>
      <c r="F579" s="155" t="inlineStr">
        <is>
          <t>星展</t>
        </is>
      </c>
      <c r="G579" s="156" t="inlineStr">
        <is>
          <t>06 星展</t>
        </is>
      </c>
      <c r="H579" s="157" t="n">
        <v>3355321</v>
      </c>
      <c r="I579" s="157" t="n">
        <v>2362915</v>
      </c>
      <c r="J579" s="157" t="n">
        <v>14358</v>
      </c>
      <c r="K579" s="157" t="n">
        <v>47783</v>
      </c>
      <c r="L579" s="157" t="n">
        <v>9114.566999999999</v>
      </c>
      <c r="M579" s="16" t="n"/>
      <c r="N579" s="157" t="n">
        <v>18271.218</v>
      </c>
      <c r="O579" s="16" t="n"/>
      <c r="P579" s="16" t="n"/>
      <c r="Q579" s="17" t="n"/>
      <c r="R579" s="16" t="n"/>
      <c r="S579" s="16" t="n"/>
      <c r="T579" s="16" t="n"/>
      <c r="U579" s="16" t="n"/>
      <c r="V579" s="158" t="n"/>
      <c r="W579" s="16" t="n"/>
      <c r="X579" s="18" t="n"/>
      <c r="Y579" s="18" t="n"/>
      <c r="Z579" s="18" t="n"/>
      <c r="AA579" s="18" t="n"/>
      <c r="AB579" s="18" t="n"/>
      <c r="AC579" s="18" t="n"/>
      <c r="AD579" s="18" t="n"/>
      <c r="AE579" s="18" t="n"/>
      <c r="AF579" s="18" t="n"/>
      <c r="AG579" s="18" t="n"/>
      <c r="AH579" s="18" t="n"/>
      <c r="AI579" s="18" t="n"/>
    </row>
    <row r="580">
      <c r="A580" s="9" t="n">
        <v>202309</v>
      </c>
      <c r="B580" s="10">
        <f>LEFT(creditcard[[#This Row],[YYYYMM]],4)</f>
        <v/>
      </c>
      <c r="C580" s="10">
        <f>RIGHT(creditcard[[#This Row],[YYYYMM]],2)</f>
        <v/>
      </c>
      <c r="D580" s="10">
        <f>IF(RIGHT(creditcard[[#This Row],[YYYYMM]],2)="--","--","Q"&amp;ROUNDUP(VALUE(RIGHT(creditcard[[#This Row],[YYYYMM]],2))/3,0))</f>
        <v/>
      </c>
      <c r="E580" s="10" t="n">
        <v>7</v>
      </c>
      <c r="F580" s="151" t="inlineStr">
        <is>
          <t>聯邦</t>
        </is>
      </c>
      <c r="G580" s="152" t="inlineStr">
        <is>
          <t>07 聯邦</t>
        </is>
      </c>
      <c r="H580" s="153" t="n">
        <v>2776618</v>
      </c>
      <c r="I580" s="153" t="n">
        <v>1688037</v>
      </c>
      <c r="J580" s="153" t="n">
        <v>54395</v>
      </c>
      <c r="K580" s="153" t="n">
        <v>16290</v>
      </c>
      <c r="L580" s="153" t="n">
        <v>5931.042</v>
      </c>
      <c r="M580" s="11" t="n"/>
      <c r="N580" s="153" t="n">
        <v>16189.382</v>
      </c>
      <c r="O580" s="11" t="n"/>
      <c r="P580" s="11" t="n"/>
      <c r="Q580" s="12" t="n"/>
      <c r="R580" s="11" t="n"/>
      <c r="S580" s="11" t="n"/>
      <c r="T580" s="11" t="n"/>
      <c r="U580" s="11" t="n"/>
      <c r="V580" s="154" t="n"/>
      <c r="W580" s="11" t="n"/>
      <c r="X580" s="13" t="n"/>
      <c r="Y580" s="13" t="n"/>
      <c r="Z580" s="13" t="n"/>
      <c r="AA580" s="13" t="n"/>
      <c r="AB580" s="13" t="n"/>
      <c r="AC580" s="13" t="n"/>
      <c r="AD580" s="13" t="n"/>
      <c r="AE580" s="13" t="n"/>
      <c r="AF580" s="13" t="n"/>
      <c r="AG580" s="13" t="n"/>
      <c r="AH580" s="13" t="n"/>
      <c r="AI580" s="13" t="n"/>
    </row>
    <row r="581">
      <c r="A581" s="14" t="n">
        <v>202309</v>
      </c>
      <c r="B581" s="15">
        <f>LEFT(creditcard[[#This Row],[YYYYMM]],4)</f>
        <v/>
      </c>
      <c r="C581" s="15">
        <f>RIGHT(creditcard[[#This Row],[YYYYMM]],2)</f>
        <v/>
      </c>
      <c r="D581" s="15">
        <f>IF(RIGHT(creditcard[[#This Row],[YYYYMM]],2)="--","--","Q"&amp;ROUNDUP(VALUE(RIGHT(creditcard[[#This Row],[YYYYMM]],2))/3,0))</f>
        <v/>
      </c>
      <c r="E581" s="15" t="n">
        <v>8</v>
      </c>
      <c r="F581" s="155" t="inlineStr">
        <is>
          <t>永豐</t>
        </is>
      </c>
      <c r="G581" s="156" t="inlineStr">
        <is>
          <t>08 永豐</t>
        </is>
      </c>
      <c r="H581" s="157" t="n">
        <v>2269014</v>
      </c>
      <c r="I581" s="157" t="n">
        <v>1245824</v>
      </c>
      <c r="J581" s="157" t="n">
        <v>16531</v>
      </c>
      <c r="K581" s="157" t="n">
        <v>46296</v>
      </c>
      <c r="L581" s="157" t="n">
        <v>3767.004</v>
      </c>
      <c r="M581" s="16" t="n"/>
      <c r="N581" s="157" t="n">
        <v>10669.788</v>
      </c>
      <c r="O581" s="16" t="n"/>
      <c r="P581" s="16" t="n"/>
      <c r="Q581" s="17" t="n"/>
      <c r="R581" s="16" t="n"/>
      <c r="S581" s="16" t="n"/>
      <c r="T581" s="16" t="n"/>
      <c r="U581" s="16" t="n"/>
      <c r="V581" s="158" t="n"/>
      <c r="W581" s="16" t="n"/>
      <c r="X581" s="18" t="n"/>
      <c r="Y581" s="18" t="n"/>
      <c r="Z581" s="18" t="n"/>
      <c r="AA581" s="18" t="n"/>
      <c r="AB581" s="18" t="n"/>
      <c r="AC581" s="18" t="n"/>
      <c r="AD581" s="18" t="n"/>
      <c r="AE581" s="18" t="n"/>
      <c r="AF581" s="18" t="n"/>
      <c r="AG581" s="18" t="n"/>
      <c r="AH581" s="18" t="n"/>
      <c r="AI581" s="18" t="n"/>
    </row>
    <row r="582">
      <c r="A582" s="9" t="n">
        <v>202309</v>
      </c>
      <c r="B582" s="10">
        <f>LEFT(creditcard[[#This Row],[YYYYMM]],4)</f>
        <v/>
      </c>
      <c r="C582" s="10">
        <f>RIGHT(creditcard[[#This Row],[YYYYMM]],2)</f>
        <v/>
      </c>
      <c r="D582" s="10">
        <f>IF(RIGHT(creditcard[[#This Row],[YYYYMM]],2)="--","--","Q"&amp;ROUNDUP(VALUE(RIGHT(creditcard[[#This Row],[YYYYMM]],2))/3,0))</f>
        <v/>
      </c>
      <c r="E582" s="10" t="n">
        <v>9</v>
      </c>
      <c r="F582" s="151" t="inlineStr">
        <is>
          <t>第一</t>
        </is>
      </c>
      <c r="G582" s="152" t="inlineStr">
        <is>
          <t>09 第一</t>
        </is>
      </c>
      <c r="H582" s="153" t="n">
        <v>1546869</v>
      </c>
      <c r="I582" s="153" t="n">
        <v>934918</v>
      </c>
      <c r="J582" s="153" t="n">
        <v>15760</v>
      </c>
      <c r="K582" s="153" t="n">
        <v>10378</v>
      </c>
      <c r="L582" s="153" t="n">
        <v>1628.395</v>
      </c>
      <c r="M582" s="11" t="n"/>
      <c r="N582" s="153" t="n">
        <v>5896.847</v>
      </c>
      <c r="O582" s="11" t="n"/>
      <c r="P582" s="11" t="n"/>
      <c r="Q582" s="12" t="n"/>
      <c r="R582" s="11" t="n"/>
      <c r="S582" s="11" t="n"/>
      <c r="T582" s="11" t="n"/>
      <c r="U582" s="11" t="n"/>
      <c r="V582" s="154" t="n"/>
      <c r="W582" s="11" t="n"/>
      <c r="X582" s="13" t="n"/>
      <c r="Y582" s="13" t="n"/>
      <c r="Z582" s="13" t="n"/>
      <c r="AA582" s="13" t="n"/>
      <c r="AB582" s="13" t="n"/>
      <c r="AC582" s="13" t="n"/>
      <c r="AD582" s="13" t="n"/>
      <c r="AE582" s="13" t="n"/>
      <c r="AF582" s="13" t="n"/>
      <c r="AG582" s="13" t="n"/>
      <c r="AH582" s="13" t="n"/>
      <c r="AI582" s="13" t="n"/>
    </row>
    <row r="583">
      <c r="A583" s="14" t="n">
        <v>202309</v>
      </c>
      <c r="B583" s="15">
        <f>LEFT(creditcard[[#This Row],[YYYYMM]],4)</f>
        <v/>
      </c>
      <c r="C583" s="15">
        <f>RIGHT(creditcard[[#This Row],[YYYYMM]],2)</f>
        <v/>
      </c>
      <c r="D583" s="15">
        <f>IF(RIGHT(creditcard[[#This Row],[YYYYMM]],2)="--","--","Q"&amp;ROUNDUP(VALUE(RIGHT(creditcard[[#This Row],[YYYYMM]],2))/3,0))</f>
        <v/>
      </c>
      <c r="E583" s="15" t="n">
        <v>10</v>
      </c>
      <c r="F583" s="155" t="inlineStr">
        <is>
          <t>遠東</t>
        </is>
      </c>
      <c r="G583" s="156" t="inlineStr">
        <is>
          <t>10 遠東</t>
        </is>
      </c>
      <c r="H583" s="157" t="n">
        <v>1362893</v>
      </c>
      <c r="I583" s="157" t="n">
        <v>979979</v>
      </c>
      <c r="J583" s="157" t="n">
        <v>7722</v>
      </c>
      <c r="K583" s="157" t="n">
        <v>84658</v>
      </c>
      <c r="L583" s="157" t="n">
        <v>3818.297</v>
      </c>
      <c r="M583" s="16" t="n"/>
      <c r="N583" s="157" t="n">
        <v>4133.814</v>
      </c>
      <c r="O583" s="16" t="n"/>
      <c r="P583" s="16" t="n"/>
      <c r="Q583" s="17" t="n"/>
      <c r="R583" s="16" t="n"/>
      <c r="S583" s="16" t="n"/>
      <c r="T583" s="16" t="n"/>
      <c r="U583" s="16" t="n"/>
      <c r="V583" s="158" t="n"/>
      <c r="W583" s="16" t="n"/>
      <c r="X583" s="18" t="n"/>
      <c r="Y583" s="18" t="n"/>
      <c r="Z583" s="18" t="n"/>
      <c r="AA583" s="18" t="n"/>
      <c r="AB583" s="18" t="n"/>
      <c r="AC583" s="18" t="n"/>
      <c r="AD583" s="18" t="n"/>
      <c r="AE583" s="18" t="n"/>
      <c r="AF583" s="18" t="n"/>
      <c r="AG583" s="18" t="n"/>
      <c r="AH583" s="18" t="n"/>
      <c r="AI583" s="18" t="n"/>
    </row>
    <row r="584">
      <c r="A584" s="9" t="n">
        <v>202309</v>
      </c>
      <c r="B584" s="10">
        <f>LEFT(creditcard[[#This Row],[YYYYMM]],4)</f>
        <v/>
      </c>
      <c r="C584" s="10">
        <f>RIGHT(creditcard[[#This Row],[YYYYMM]],2)</f>
        <v/>
      </c>
      <c r="D584" s="10">
        <f>IF(RIGHT(creditcard[[#This Row],[YYYYMM]],2)="--","--","Q"&amp;ROUNDUP(VALUE(RIGHT(creditcard[[#This Row],[YYYYMM]],2))/3,0))</f>
        <v/>
      </c>
      <c r="E584" s="10" t="n">
        <v>11</v>
      </c>
      <c r="F584" s="151" t="inlineStr">
        <is>
          <t>市場總計</t>
        </is>
      </c>
      <c r="G584" s="152" t="inlineStr">
        <is>
          <t>11 市場總計</t>
        </is>
      </c>
      <c r="H584" s="153" t="n">
        <v>57793833</v>
      </c>
      <c r="I584" s="153" t="n">
        <v>37142706</v>
      </c>
      <c r="J584" s="153" t="n">
        <v>634674</v>
      </c>
      <c r="K584" s="153" t="n">
        <v>540005</v>
      </c>
      <c r="L584" s="153" t="n">
        <v>104139.583</v>
      </c>
      <c r="M584" s="11" t="n"/>
      <c r="N584" s="153" t="n">
        <v>320345.185</v>
      </c>
      <c r="O584" s="11" t="n"/>
      <c r="P584" s="11" t="n"/>
      <c r="Q584" s="12" t="n"/>
      <c r="R584" s="11" t="n"/>
      <c r="S584" s="11" t="n"/>
      <c r="T584" s="11" t="n"/>
      <c r="U584" s="11" t="n"/>
      <c r="V584" s="154" t="n">
        <v>4.61</v>
      </c>
      <c r="W584" s="11">
        <f>SUMIFS(H:H,A:A,creditcard[[#This Row],[YYYYMM]],G:G,creditcard[[#This Row],[Item]])</f>
        <v/>
      </c>
      <c r="X584" s="4">
        <f>IFERROR(SUMIFS(H:H,A:A,creditcard[[#This Row],[YYYYMM]],E:E,"&lt;=5")/creditcard[[#This Row],[市場總計]],"")</f>
        <v/>
      </c>
      <c r="Y584" s="4">
        <f>IFERROR(SUMIFS(H:H,A:A,creditcard[[#This Row],[YYYYMM]],E:E,"&lt;=10")/creditcard[[#This Row],[市場總計]],"")</f>
        <v/>
      </c>
      <c r="Z584" s="4">
        <f>IFERROR(SUMIFS(I:I,A:A,creditcard[[#This Row],[YYYYMM]],E:E,"&lt;=5")/creditcard[[#This Row],[有效卡數]],"")</f>
        <v/>
      </c>
      <c r="AA584" s="4">
        <f>IFERROR(SUMIFS(I:I,A:A,creditcard[[#This Row],[YYYYMM]],E:E,"&lt;=10")/creditcard[[#This Row],[有效卡數]],"")</f>
        <v/>
      </c>
      <c r="AB584" s="4">
        <f>IFERROR(SUMIFS(J:J,A:A,creditcard[[#This Row],[YYYYMM]],E:E,"&lt;=5")/creditcard[[#This Row],[當月發卡數]],"")</f>
        <v/>
      </c>
      <c r="AC584" s="4">
        <f>IFERROR(SUMIFS(J:J,A:A,creditcard[[#This Row],[YYYYMM]],E:E,"&lt;=10")/creditcard[[#This Row],[當月發卡數]],"")</f>
        <v/>
      </c>
      <c r="AD584" s="4">
        <f>IFERROR(SUMIFS(K:K,A:A,creditcard[[#This Row],[YYYYMM]],E:E,"&lt;=5")/creditcard[[#This Row],[當月停卡數]],"")</f>
        <v/>
      </c>
      <c r="AE584" s="4">
        <f>IFERROR(SUMIFS(K:K,A:A,creditcard[[#This Row],[YYYYMM]],E:E,"&lt;=10")/creditcard[[#This Row],[當月停卡數]],"")</f>
        <v/>
      </c>
      <c r="AF584" s="4">
        <f>IFERROR(SUMIFS(L:L,A:A,creditcard[[#This Row],[YYYYMM]],E:E,"&lt;=5")/creditcard[[#This Row],[循環信用餘額]],"")</f>
        <v/>
      </c>
      <c r="AG584" s="4">
        <f>IFERROR(SUMIFS(L:L,A:A,creditcard[[#This Row],[YYYYMM]],E:E,"&lt;=10")/creditcard[[#This Row],[循環信用餘額]],"")</f>
        <v/>
      </c>
      <c r="AH584" s="4">
        <f>IFERROR(SUMIFS(N:N,A:A,creditcard[[#This Row],[YYYYMM]],E:E,"&lt;=5")/creditcard[[#This Row],[當月簽帳金額]],"")</f>
        <v/>
      </c>
      <c r="AI584" s="4">
        <f>IFERROR(SUMIFS(N:N,A:A,creditcard[[#This Row],[YYYYMM]],E:E,"&lt;=10")/creditcard[[#This Row],[當月簽帳金額]],"")</f>
        <v/>
      </c>
    </row>
    <row r="585">
      <c r="A585" s="14" t="n">
        <v>202310</v>
      </c>
      <c r="B585" s="15">
        <f>LEFT(creditcard[[#This Row],[YYYYMM]],4)</f>
        <v/>
      </c>
      <c r="C585" s="15">
        <f>RIGHT(creditcard[[#This Row],[YYYYMM]],2)</f>
        <v/>
      </c>
      <c r="D585" s="15">
        <f>IF(RIGHT(creditcard[[#This Row],[YYYYMM]],2)="--","--","Q"&amp;ROUNDUP(VALUE(RIGHT(creditcard[[#This Row],[YYYYMM]],2))/3,0))</f>
        <v/>
      </c>
      <c r="E585" s="15" t="n">
        <v>1</v>
      </c>
      <c r="F585" s="155" t="inlineStr">
        <is>
          <t>中信</t>
        </is>
      </c>
      <c r="G585" s="156" t="inlineStr">
        <is>
          <t>01 中信</t>
        </is>
      </c>
      <c r="H585" s="157" t="n">
        <v>9006349</v>
      </c>
      <c r="I585" s="157" t="n">
        <v>5725300</v>
      </c>
      <c r="J585" s="157" t="n">
        <v>97186</v>
      </c>
      <c r="K585" s="157" t="n">
        <v>65718</v>
      </c>
      <c r="L585" s="157" t="n">
        <v>16353.092</v>
      </c>
      <c r="M585" s="16" t="n"/>
      <c r="N585" s="157" t="n">
        <v>63733.253</v>
      </c>
      <c r="O585" s="16" t="n"/>
      <c r="P585" s="16" t="n"/>
      <c r="Q585" s="17" t="n"/>
      <c r="R585" s="16" t="n"/>
      <c r="S585" s="16" t="n"/>
      <c r="T585" s="16" t="n"/>
      <c r="U585" s="16" t="n"/>
      <c r="V585" s="158" t="n"/>
      <c r="W585" s="16" t="n"/>
      <c r="X585" s="18" t="n"/>
      <c r="Y585" s="18" t="n"/>
      <c r="Z585" s="18" t="n"/>
      <c r="AA585" s="18" t="n"/>
      <c r="AB585" s="18" t="n"/>
      <c r="AC585" s="18" t="n"/>
      <c r="AD585" s="18" t="n"/>
      <c r="AE585" s="18" t="n"/>
      <c r="AF585" s="18" t="n"/>
      <c r="AG585" s="18" t="n"/>
      <c r="AH585" s="18" t="n"/>
      <c r="AI585" s="18" t="n"/>
    </row>
    <row r="586">
      <c r="A586" s="9" t="n">
        <v>202310</v>
      </c>
      <c r="B586" s="10">
        <f>LEFT(creditcard[[#This Row],[YYYYMM]],4)</f>
        <v/>
      </c>
      <c r="C586" s="10">
        <f>RIGHT(creditcard[[#This Row],[YYYYMM]],2)</f>
        <v/>
      </c>
      <c r="D586" s="10">
        <f>IF(RIGHT(creditcard[[#This Row],[YYYYMM]],2)="--","--","Q"&amp;ROUNDUP(VALUE(RIGHT(creditcard[[#This Row],[YYYYMM]],2))/3,0))</f>
        <v/>
      </c>
      <c r="E586" s="10" t="n">
        <v>2</v>
      </c>
      <c r="F586" s="151" t="inlineStr">
        <is>
          <t>富邦</t>
        </is>
      </c>
      <c r="G586" s="152" t="inlineStr">
        <is>
          <t>02 富邦</t>
        </is>
      </c>
      <c r="H586" s="153" t="n">
        <v>7078688</v>
      </c>
      <c r="I586" s="153" t="n">
        <v>5293318</v>
      </c>
      <c r="J586" s="153" t="n">
        <v>117529</v>
      </c>
      <c r="K586" s="153" t="n">
        <v>153707</v>
      </c>
      <c r="L586" s="153" t="n">
        <v>8208.304</v>
      </c>
      <c r="M586" s="11" t="n"/>
      <c r="N586" s="153" t="n">
        <v>50789.467</v>
      </c>
      <c r="O586" s="11" t="n"/>
      <c r="P586" s="11" t="n"/>
      <c r="Q586" s="12" t="n"/>
      <c r="R586" s="11" t="n"/>
      <c r="S586" s="11" t="n"/>
      <c r="T586" s="11" t="n"/>
      <c r="U586" s="11" t="n"/>
      <c r="V586" s="154" t="n"/>
      <c r="W586" s="11" t="n"/>
      <c r="X586" s="13" t="n"/>
      <c r="Y586" s="13" t="n"/>
      <c r="Z586" s="13" t="n"/>
      <c r="AA586" s="13" t="n"/>
      <c r="AB586" s="13" t="n"/>
      <c r="AC586" s="13" t="n"/>
      <c r="AD586" s="13" t="n"/>
      <c r="AE586" s="13" t="n"/>
      <c r="AF586" s="13" t="n"/>
      <c r="AG586" s="13" t="n"/>
      <c r="AH586" s="13" t="n"/>
      <c r="AI586" s="13" t="n"/>
    </row>
    <row r="587">
      <c r="A587" s="14" t="n">
        <v>202310</v>
      </c>
      <c r="B587" s="15">
        <f>LEFT(creditcard[[#This Row],[YYYYMM]],4)</f>
        <v/>
      </c>
      <c r="C587" s="15">
        <f>RIGHT(creditcard[[#This Row],[YYYYMM]],2)</f>
        <v/>
      </c>
      <c r="D587" s="15">
        <f>IF(RIGHT(creditcard[[#This Row],[YYYYMM]],2)="--","--","Q"&amp;ROUNDUP(VALUE(RIGHT(creditcard[[#This Row],[YYYYMM]],2))/3,0))</f>
        <v/>
      </c>
      <c r="E587" s="15" t="n">
        <v>3</v>
      </c>
      <c r="F587" s="155" t="inlineStr">
        <is>
          <t>國泰</t>
        </is>
      </c>
      <c r="G587" s="156" t="inlineStr">
        <is>
          <t>03 國泰</t>
        </is>
      </c>
      <c r="H587" s="157" t="n">
        <v>7179282</v>
      </c>
      <c r="I587" s="157" t="n">
        <v>4552124</v>
      </c>
      <c r="J587" s="157" t="n">
        <v>53914</v>
      </c>
      <c r="K587" s="157" t="n">
        <v>55696</v>
      </c>
      <c r="L587" s="157" t="n">
        <v>19070.715</v>
      </c>
      <c r="M587" s="16" t="n"/>
      <c r="N587" s="157" t="n">
        <v>56037.245</v>
      </c>
      <c r="O587" s="16" t="n"/>
      <c r="P587" s="16" t="n"/>
      <c r="Q587" s="17" t="n"/>
      <c r="R587" s="16" t="n"/>
      <c r="S587" s="16" t="n"/>
      <c r="T587" s="16" t="n"/>
      <c r="U587" s="16" t="n"/>
      <c r="V587" s="158" t="n"/>
      <c r="W587" s="16" t="n"/>
      <c r="X587" s="18" t="n"/>
      <c r="Y587" s="18" t="n"/>
      <c r="Z587" s="18" t="n"/>
      <c r="AA587" s="18" t="n"/>
      <c r="AB587" s="18" t="n"/>
      <c r="AC587" s="18" t="n"/>
      <c r="AD587" s="18" t="n"/>
      <c r="AE587" s="18" t="n"/>
      <c r="AF587" s="18" t="n"/>
      <c r="AG587" s="18" t="n"/>
      <c r="AH587" s="18" t="n"/>
      <c r="AI587" s="18" t="n"/>
    </row>
    <row r="588">
      <c r="A588" s="9" t="n">
        <v>202310</v>
      </c>
      <c r="B588" s="10">
        <f>LEFT(creditcard[[#This Row],[YYYYMM]],4)</f>
        <v/>
      </c>
      <c r="C588" s="10">
        <f>RIGHT(creditcard[[#This Row],[YYYYMM]],2)</f>
        <v/>
      </c>
      <c r="D588" s="10">
        <f>IF(RIGHT(creditcard[[#This Row],[YYYYMM]],2)="--","--","Q"&amp;ROUNDUP(VALUE(RIGHT(creditcard[[#This Row],[YYYYMM]],2))/3,0))</f>
        <v/>
      </c>
      <c r="E588" s="10" t="n">
        <v>4</v>
      </c>
      <c r="F588" s="151" t="inlineStr">
        <is>
          <t>玉山</t>
        </is>
      </c>
      <c r="G588" s="152" t="inlineStr">
        <is>
          <t>04 玉山</t>
        </is>
      </c>
      <c r="H588" s="153" t="n">
        <v>7194670</v>
      </c>
      <c r="I588" s="153" t="n">
        <v>4784222</v>
      </c>
      <c r="J588" s="153" t="n">
        <v>117351</v>
      </c>
      <c r="K588" s="153" t="n">
        <v>63659</v>
      </c>
      <c r="L588" s="153" t="n">
        <v>13020.537</v>
      </c>
      <c r="M588" s="11" t="n"/>
      <c r="N588" s="153" t="n">
        <v>44643.628</v>
      </c>
      <c r="O588" s="11" t="n"/>
      <c r="P588" s="11" t="n"/>
      <c r="Q588" s="12" t="n"/>
      <c r="R588" s="11" t="n"/>
      <c r="S588" s="11" t="n"/>
      <c r="T588" s="11" t="n"/>
      <c r="U588" s="11" t="n"/>
      <c r="V588" s="154" t="n"/>
      <c r="W588" s="11" t="n"/>
      <c r="X588" s="13" t="n"/>
      <c r="Y588" s="13" t="n"/>
      <c r="Z588" s="13" t="n"/>
      <c r="AA588" s="13" t="n"/>
      <c r="AB588" s="13" t="n"/>
      <c r="AC588" s="13" t="n"/>
      <c r="AD588" s="13" t="n"/>
      <c r="AE588" s="13" t="n"/>
      <c r="AF588" s="13" t="n"/>
      <c r="AG588" s="13" t="n"/>
      <c r="AH588" s="13" t="n"/>
      <c r="AI588" s="13" t="n"/>
    </row>
    <row r="589">
      <c r="A589" s="14" t="n">
        <v>202310</v>
      </c>
      <c r="B589" s="15">
        <f>LEFT(creditcard[[#This Row],[YYYYMM]],4)</f>
        <v/>
      </c>
      <c r="C589" s="15">
        <f>RIGHT(creditcard[[#This Row],[YYYYMM]],2)</f>
        <v/>
      </c>
      <c r="D589" s="15">
        <f>IF(RIGHT(creditcard[[#This Row],[YYYYMM]],2)="--","--","Q"&amp;ROUNDUP(VALUE(RIGHT(creditcard[[#This Row],[YYYYMM]],2))/3,0))</f>
        <v/>
      </c>
      <c r="E589" s="15" t="n">
        <v>5</v>
      </c>
      <c r="F589" s="155" t="inlineStr">
        <is>
          <t>台新</t>
        </is>
      </c>
      <c r="G589" s="156" t="inlineStr">
        <is>
          <t>05 台新</t>
        </is>
      </c>
      <c r="H589" s="157" t="n">
        <v>6494988</v>
      </c>
      <c r="I589" s="157" t="n">
        <v>4500599</v>
      </c>
      <c r="J589" s="157" t="n">
        <v>59703</v>
      </c>
      <c r="K589" s="157" t="n">
        <v>67529</v>
      </c>
      <c r="L589" s="157" t="n">
        <v>10312.453</v>
      </c>
      <c r="M589" s="16" t="n"/>
      <c r="N589" s="157" t="n">
        <v>42514.318</v>
      </c>
      <c r="O589" s="16" t="n"/>
      <c r="P589" s="16" t="n"/>
      <c r="Q589" s="17" t="n"/>
      <c r="R589" s="16" t="n"/>
      <c r="S589" s="16" t="n"/>
      <c r="T589" s="16" t="n"/>
      <c r="U589" s="16" t="n"/>
      <c r="V589" s="158" t="n"/>
      <c r="W589" s="16" t="n"/>
      <c r="X589" s="18" t="n"/>
      <c r="Y589" s="18" t="n"/>
      <c r="Z589" s="18" t="n"/>
      <c r="AA589" s="18" t="n"/>
      <c r="AB589" s="18" t="n"/>
      <c r="AC589" s="18" t="n"/>
      <c r="AD589" s="18" t="n"/>
      <c r="AE589" s="18" t="n"/>
      <c r="AF589" s="18" t="n"/>
      <c r="AG589" s="18" t="n"/>
      <c r="AH589" s="18" t="n"/>
      <c r="AI589" s="18" t="n"/>
    </row>
    <row r="590">
      <c r="A590" s="9" t="n">
        <v>202310</v>
      </c>
      <c r="B590" s="10">
        <f>LEFT(creditcard[[#This Row],[YYYYMM]],4)</f>
        <v/>
      </c>
      <c r="C590" s="10">
        <f>RIGHT(creditcard[[#This Row],[YYYYMM]],2)</f>
        <v/>
      </c>
      <c r="D590" s="10">
        <f>IF(RIGHT(creditcard[[#This Row],[YYYYMM]],2)="--","--","Q"&amp;ROUNDUP(VALUE(RIGHT(creditcard[[#This Row],[YYYYMM]],2))/3,0))</f>
        <v/>
      </c>
      <c r="E590" s="10" t="n">
        <v>6</v>
      </c>
      <c r="F590" s="151" t="inlineStr">
        <is>
          <t>星展</t>
        </is>
      </c>
      <c r="G590" s="152" t="inlineStr">
        <is>
          <t>06 星展</t>
        </is>
      </c>
      <c r="H590" s="153" t="n">
        <v>3344604</v>
      </c>
      <c r="I590" s="153" t="n">
        <v>2326603</v>
      </c>
      <c r="J590" s="153" t="n">
        <v>11728</v>
      </c>
      <c r="K590" s="153" t="n">
        <v>41425</v>
      </c>
      <c r="L590" s="153" t="n">
        <v>8766.32</v>
      </c>
      <c r="M590" s="11" t="n"/>
      <c r="N590" s="153" t="n">
        <v>22802.156</v>
      </c>
      <c r="O590" s="11" t="n"/>
      <c r="P590" s="11" t="n"/>
      <c r="Q590" s="12" t="n"/>
      <c r="R590" s="11" t="n"/>
      <c r="S590" s="11" t="n"/>
      <c r="T590" s="11" t="n"/>
      <c r="U590" s="11" t="n"/>
      <c r="V590" s="154" t="n"/>
      <c r="W590" s="11" t="n"/>
      <c r="X590" s="13" t="n"/>
      <c r="Y590" s="13" t="n"/>
      <c r="Z590" s="13" t="n"/>
      <c r="AA590" s="13" t="n"/>
      <c r="AB590" s="13" t="n"/>
      <c r="AC590" s="13" t="n"/>
      <c r="AD590" s="13" t="n"/>
      <c r="AE590" s="13" t="n"/>
      <c r="AF590" s="13" t="n"/>
      <c r="AG590" s="13" t="n"/>
      <c r="AH590" s="13" t="n"/>
      <c r="AI590" s="13" t="n"/>
    </row>
    <row r="591">
      <c r="A591" s="14" t="n">
        <v>202310</v>
      </c>
      <c r="B591" s="15">
        <f>LEFT(creditcard[[#This Row],[YYYYMM]],4)</f>
        <v/>
      </c>
      <c r="C591" s="15">
        <f>RIGHT(creditcard[[#This Row],[YYYYMM]],2)</f>
        <v/>
      </c>
      <c r="D591" s="15">
        <f>IF(RIGHT(creditcard[[#This Row],[YYYYMM]],2)="--","--","Q"&amp;ROUNDUP(VALUE(RIGHT(creditcard[[#This Row],[YYYYMM]],2))/3,0))</f>
        <v/>
      </c>
      <c r="E591" s="15" t="n">
        <v>7</v>
      </c>
      <c r="F591" s="155" t="inlineStr">
        <is>
          <t>聯邦</t>
        </is>
      </c>
      <c r="G591" s="156" t="inlineStr">
        <is>
          <t>07 聯邦</t>
        </is>
      </c>
      <c r="H591" s="157" t="n">
        <v>2810122</v>
      </c>
      <c r="I591" s="157" t="n">
        <v>1719939</v>
      </c>
      <c r="J591" s="157" t="n">
        <v>50618</v>
      </c>
      <c r="K591" s="157" t="n">
        <v>17114</v>
      </c>
      <c r="L591" s="157" t="n">
        <v>6124.832</v>
      </c>
      <c r="M591" s="16" t="n"/>
      <c r="N591" s="157" t="n">
        <v>16405.958</v>
      </c>
      <c r="O591" s="16" t="n"/>
      <c r="P591" s="16" t="n"/>
      <c r="Q591" s="17" t="n"/>
      <c r="R591" s="16" t="n"/>
      <c r="S591" s="16" t="n"/>
      <c r="T591" s="16" t="n"/>
      <c r="U591" s="16" t="n"/>
      <c r="V591" s="158" t="n"/>
      <c r="W591" s="16" t="n"/>
      <c r="X591" s="18" t="n"/>
      <c r="Y591" s="18" t="n"/>
      <c r="Z591" s="18" t="n"/>
      <c r="AA591" s="18" t="n"/>
      <c r="AB591" s="18" t="n"/>
      <c r="AC591" s="18" t="n"/>
      <c r="AD591" s="18" t="n"/>
      <c r="AE591" s="18" t="n"/>
      <c r="AF591" s="18" t="n"/>
      <c r="AG591" s="18" t="n"/>
      <c r="AH591" s="18" t="n"/>
      <c r="AI591" s="18" t="n"/>
    </row>
    <row r="592">
      <c r="A592" s="9" t="n">
        <v>202310</v>
      </c>
      <c r="B592" s="10">
        <f>LEFT(creditcard[[#This Row],[YYYYMM]],4)</f>
        <v/>
      </c>
      <c r="C592" s="10">
        <f>RIGHT(creditcard[[#This Row],[YYYYMM]],2)</f>
        <v/>
      </c>
      <c r="D592" s="10">
        <f>IF(RIGHT(creditcard[[#This Row],[YYYYMM]],2)="--","--","Q"&amp;ROUNDUP(VALUE(RIGHT(creditcard[[#This Row],[YYYYMM]],2))/3,0))</f>
        <v/>
      </c>
      <c r="E592" s="10" t="n">
        <v>8</v>
      </c>
      <c r="F592" s="151" t="inlineStr">
        <is>
          <t>永豐</t>
        </is>
      </c>
      <c r="G592" s="152" t="inlineStr">
        <is>
          <t>08 永豐</t>
        </is>
      </c>
      <c r="H592" s="153" t="n">
        <v>2201759</v>
      </c>
      <c r="I592" s="153" t="n">
        <v>1250898</v>
      </c>
      <c r="J592" s="153" t="n">
        <v>13687</v>
      </c>
      <c r="K592" s="153" t="n">
        <v>80775</v>
      </c>
      <c r="L592" s="153" t="n">
        <v>3795.814</v>
      </c>
      <c r="M592" s="11" t="n"/>
      <c r="N592" s="153" t="n">
        <v>12075.671</v>
      </c>
      <c r="O592" s="11" t="n"/>
      <c r="P592" s="11" t="n"/>
      <c r="Q592" s="12" t="n"/>
      <c r="R592" s="11" t="n"/>
      <c r="S592" s="11" t="n"/>
      <c r="T592" s="11" t="n"/>
      <c r="U592" s="11" t="n"/>
      <c r="V592" s="154" t="n"/>
      <c r="W592" s="11" t="n"/>
      <c r="X592" s="13" t="n"/>
      <c r="Y592" s="13" t="n"/>
      <c r="Z592" s="13" t="n"/>
      <c r="AA592" s="13" t="n"/>
      <c r="AB592" s="13" t="n"/>
      <c r="AC592" s="13" t="n"/>
      <c r="AD592" s="13" t="n"/>
      <c r="AE592" s="13" t="n"/>
      <c r="AF592" s="13" t="n"/>
      <c r="AG592" s="13" t="n"/>
      <c r="AH592" s="13" t="n"/>
      <c r="AI592" s="13" t="n"/>
    </row>
    <row r="593">
      <c r="A593" s="14" t="n">
        <v>202310</v>
      </c>
      <c r="B593" s="15">
        <f>LEFT(creditcard[[#This Row],[YYYYMM]],4)</f>
        <v/>
      </c>
      <c r="C593" s="15">
        <f>RIGHT(creditcard[[#This Row],[YYYYMM]],2)</f>
        <v/>
      </c>
      <c r="D593" s="15">
        <f>IF(RIGHT(creditcard[[#This Row],[YYYYMM]],2)="--","--","Q"&amp;ROUNDUP(VALUE(RIGHT(creditcard[[#This Row],[YYYYMM]],2))/3,0))</f>
        <v/>
      </c>
      <c r="E593" s="15" t="n">
        <v>9</v>
      </c>
      <c r="F593" s="155" t="inlineStr">
        <is>
          <t>第一</t>
        </is>
      </c>
      <c r="G593" s="156" t="inlineStr">
        <is>
          <t>09 第一</t>
        </is>
      </c>
      <c r="H593" s="157" t="n">
        <v>1551574</v>
      </c>
      <c r="I593" s="157" t="n">
        <v>939323</v>
      </c>
      <c r="J593" s="157" t="n">
        <v>13999</v>
      </c>
      <c r="K593" s="157" t="n">
        <v>9596</v>
      </c>
      <c r="L593" s="157" t="n">
        <v>1605.253</v>
      </c>
      <c r="M593" s="16" t="n"/>
      <c r="N593" s="157" t="n">
        <v>7075.551</v>
      </c>
      <c r="O593" s="16" t="n"/>
      <c r="P593" s="16" t="n"/>
      <c r="Q593" s="17" t="n"/>
      <c r="R593" s="16" t="n"/>
      <c r="S593" s="16" t="n"/>
      <c r="T593" s="16" t="n"/>
      <c r="U593" s="16" t="n"/>
      <c r="V593" s="158" t="n"/>
      <c r="W593" s="16" t="n"/>
      <c r="X593" s="18" t="n"/>
      <c r="Y593" s="18" t="n"/>
      <c r="Z593" s="18" t="n"/>
      <c r="AA593" s="18" t="n"/>
      <c r="AB593" s="18" t="n"/>
      <c r="AC593" s="18" t="n"/>
      <c r="AD593" s="18" t="n"/>
      <c r="AE593" s="18" t="n"/>
      <c r="AF593" s="18" t="n"/>
      <c r="AG593" s="18" t="n"/>
      <c r="AH593" s="18" t="n"/>
      <c r="AI593" s="18" t="n"/>
    </row>
    <row r="594">
      <c r="A594" s="9" t="n">
        <v>202310</v>
      </c>
      <c r="B594" s="10">
        <f>LEFT(creditcard[[#This Row],[YYYYMM]],4)</f>
        <v/>
      </c>
      <c r="C594" s="10">
        <f>RIGHT(creditcard[[#This Row],[YYYYMM]],2)</f>
        <v/>
      </c>
      <c r="D594" s="10">
        <f>IF(RIGHT(creditcard[[#This Row],[YYYYMM]],2)="--","--","Q"&amp;ROUNDUP(VALUE(RIGHT(creditcard[[#This Row],[YYYYMM]],2))/3,0))</f>
        <v/>
      </c>
      <c r="E594" s="10" t="n">
        <v>10</v>
      </c>
      <c r="F594" s="151" t="inlineStr">
        <is>
          <t>遠東</t>
        </is>
      </c>
      <c r="G594" s="152" t="inlineStr">
        <is>
          <t>10 遠東</t>
        </is>
      </c>
      <c r="H594" s="153" t="n">
        <v>1359375</v>
      </c>
      <c r="I594" s="153" t="n">
        <v>978736</v>
      </c>
      <c r="J594" s="153" t="n">
        <v>8441</v>
      </c>
      <c r="K594" s="153" t="n">
        <v>12003</v>
      </c>
      <c r="L594" s="153" t="n">
        <v>3485.533</v>
      </c>
      <c r="M594" s="11" t="n"/>
      <c r="N594" s="153" t="n">
        <v>4948.592</v>
      </c>
      <c r="O594" s="11" t="n"/>
      <c r="P594" s="11" t="n"/>
      <c r="Q594" s="12" t="n"/>
      <c r="R594" s="11" t="n"/>
      <c r="S594" s="11" t="n"/>
      <c r="T594" s="11" t="n"/>
      <c r="U594" s="11" t="n"/>
      <c r="V594" s="154" t="n"/>
      <c r="W594" s="11" t="n"/>
      <c r="X594" s="13" t="n"/>
      <c r="Y594" s="13" t="n"/>
      <c r="Z594" s="13" t="n"/>
      <c r="AA594" s="13" t="n"/>
      <c r="AB594" s="13" t="n"/>
      <c r="AC594" s="13" t="n"/>
      <c r="AD594" s="13" t="n"/>
      <c r="AE594" s="13" t="n"/>
      <c r="AF594" s="13" t="n"/>
      <c r="AG594" s="13" t="n"/>
      <c r="AH594" s="13" t="n"/>
      <c r="AI594" s="13" t="n"/>
    </row>
    <row r="595">
      <c r="A595" s="14" t="n">
        <v>202310</v>
      </c>
      <c r="B595" s="15">
        <f>LEFT(creditcard[[#This Row],[YYYYMM]],4)</f>
        <v/>
      </c>
      <c r="C595" s="15">
        <f>RIGHT(creditcard[[#This Row],[YYYYMM]],2)</f>
        <v/>
      </c>
      <c r="D595" s="15">
        <f>IF(RIGHT(creditcard[[#This Row],[YYYYMM]],2)="--","--","Q"&amp;ROUNDUP(VALUE(RIGHT(creditcard[[#This Row],[YYYYMM]],2))/3,0))</f>
        <v/>
      </c>
      <c r="E595" s="15" t="n">
        <v>11</v>
      </c>
      <c r="F595" s="155" t="inlineStr">
        <is>
          <t>市場總計</t>
        </is>
      </c>
      <c r="G595" s="156" t="inlineStr">
        <is>
          <t>11 市場總計</t>
        </is>
      </c>
      <c r="H595" s="157" t="n">
        <v>57789961</v>
      </c>
      <c r="I595" s="157" t="n">
        <v>37384502</v>
      </c>
      <c r="J595" s="157" t="n">
        <v>616859</v>
      </c>
      <c r="K595" s="157" t="n">
        <v>645926</v>
      </c>
      <c r="L595" s="157" t="n">
        <v>104360.462</v>
      </c>
      <c r="M595" s="16" t="n"/>
      <c r="N595" s="157" t="n">
        <v>371432.678</v>
      </c>
      <c r="O595" s="16" t="n"/>
      <c r="P595" s="16" t="n"/>
      <c r="Q595" s="17" t="n"/>
      <c r="R595" s="16" t="n"/>
      <c r="S595" s="16" t="n"/>
      <c r="T595" s="16" t="n"/>
      <c r="U595" s="16" t="n"/>
      <c r="V595" s="158" t="n">
        <v>4.61</v>
      </c>
      <c r="W595" s="16">
        <f>SUMIFS(H:H,A:A,creditcard[[#This Row],[YYYYMM]],G:G,creditcard[[#This Row],[Item]])</f>
        <v/>
      </c>
      <c r="X595" s="4">
        <f>IFERROR(SUMIFS(H:H,A:A,creditcard[[#This Row],[YYYYMM]],E:E,"&lt;=5")/creditcard[[#This Row],[市場總計]],"")</f>
        <v/>
      </c>
      <c r="Y595" s="4">
        <f>IFERROR(SUMIFS(H:H,A:A,creditcard[[#This Row],[YYYYMM]],E:E,"&lt;=10")/creditcard[[#This Row],[市場總計]],"")</f>
        <v/>
      </c>
      <c r="Z595" s="4">
        <f>IFERROR(SUMIFS(I:I,A:A,creditcard[[#This Row],[YYYYMM]],E:E,"&lt;=5")/creditcard[[#This Row],[有效卡數]],"")</f>
        <v/>
      </c>
      <c r="AA595" s="4">
        <f>IFERROR(SUMIFS(I:I,A:A,creditcard[[#This Row],[YYYYMM]],E:E,"&lt;=10")/creditcard[[#This Row],[有效卡數]],"")</f>
        <v/>
      </c>
      <c r="AB595" s="4">
        <f>IFERROR(SUMIFS(J:J,A:A,creditcard[[#This Row],[YYYYMM]],E:E,"&lt;=5")/creditcard[[#This Row],[當月發卡數]],"")</f>
        <v/>
      </c>
      <c r="AC595" s="4">
        <f>IFERROR(SUMIFS(J:J,A:A,creditcard[[#This Row],[YYYYMM]],E:E,"&lt;=10")/creditcard[[#This Row],[當月發卡數]],"")</f>
        <v/>
      </c>
      <c r="AD595" s="4">
        <f>IFERROR(SUMIFS(K:K,A:A,creditcard[[#This Row],[YYYYMM]],E:E,"&lt;=5")/creditcard[[#This Row],[當月停卡數]],"")</f>
        <v/>
      </c>
      <c r="AE595" s="4">
        <f>IFERROR(SUMIFS(K:K,A:A,creditcard[[#This Row],[YYYYMM]],E:E,"&lt;=10")/creditcard[[#This Row],[當月停卡數]],"")</f>
        <v/>
      </c>
      <c r="AF595" s="4">
        <f>IFERROR(SUMIFS(L:L,A:A,creditcard[[#This Row],[YYYYMM]],E:E,"&lt;=5")/creditcard[[#This Row],[循環信用餘額]],"")</f>
        <v/>
      </c>
      <c r="AG595" s="4">
        <f>IFERROR(SUMIFS(L:L,A:A,creditcard[[#This Row],[YYYYMM]],E:E,"&lt;=10")/creditcard[[#This Row],[循環信用餘額]],"")</f>
        <v/>
      </c>
      <c r="AH595" s="4">
        <f>IFERROR(SUMIFS(N:N,A:A,creditcard[[#This Row],[YYYYMM]],E:E,"&lt;=5")/creditcard[[#This Row],[當月簽帳金額]],"")</f>
        <v/>
      </c>
      <c r="AI595" s="4">
        <f>IFERROR(SUMIFS(N:N,A:A,creditcard[[#This Row],[YYYYMM]],E:E,"&lt;=10")/creditcard[[#This Row],[當月簽帳金額]],"")</f>
        <v/>
      </c>
    </row>
    <row r="596">
      <c r="A596" s="9" t="n">
        <v>202311</v>
      </c>
      <c r="B596" s="10">
        <f>LEFT(creditcard[[#This Row],[YYYYMM]],4)</f>
        <v/>
      </c>
      <c r="C596" s="10">
        <f>RIGHT(creditcard[[#This Row],[YYYYMM]],2)</f>
        <v/>
      </c>
      <c r="D596" s="10">
        <f>IF(RIGHT(creditcard[[#This Row],[YYYYMM]],2)="--","--","Q"&amp;ROUNDUP(VALUE(RIGHT(creditcard[[#This Row],[YYYYMM]],2))/3,0))</f>
        <v/>
      </c>
      <c r="E596" s="10" t="n">
        <v>1</v>
      </c>
      <c r="F596" s="151" t="inlineStr">
        <is>
          <t>中信</t>
        </is>
      </c>
      <c r="G596" s="152" t="inlineStr">
        <is>
          <t>01 中信</t>
        </is>
      </c>
      <c r="H596" s="153" t="n">
        <v>9043746</v>
      </c>
      <c r="I596" s="153" t="n">
        <v>5755575</v>
      </c>
      <c r="J596" s="153" t="n">
        <v>90561</v>
      </c>
      <c r="K596" s="153" t="n">
        <v>53164</v>
      </c>
      <c r="L596" s="153" t="n">
        <v>16292.482</v>
      </c>
      <c r="M596" s="11" t="n"/>
      <c r="N596" s="153" t="n">
        <v>61886.475</v>
      </c>
      <c r="O596" s="11" t="n"/>
      <c r="P596" s="11" t="n"/>
      <c r="Q596" s="12" t="n"/>
      <c r="R596" s="11" t="n"/>
      <c r="S596" s="11" t="n"/>
      <c r="T596" s="11" t="n"/>
      <c r="U596" s="11" t="n"/>
      <c r="V596" s="154" t="n"/>
      <c r="W596" s="11" t="n"/>
      <c r="X596" s="13" t="n"/>
      <c r="Y596" s="13" t="n"/>
      <c r="Z596" s="13" t="n"/>
      <c r="AA596" s="13" t="n"/>
      <c r="AB596" s="13" t="n"/>
      <c r="AC596" s="13" t="n"/>
      <c r="AD596" s="13" t="n"/>
      <c r="AE596" s="13" t="n"/>
      <c r="AF596" s="13" t="n"/>
      <c r="AG596" s="13" t="n"/>
      <c r="AH596" s="13" t="n"/>
      <c r="AI596" s="13" t="n"/>
    </row>
    <row r="597">
      <c r="A597" s="14" t="n">
        <v>202311</v>
      </c>
      <c r="B597" s="15">
        <f>LEFT(creditcard[[#This Row],[YYYYMM]],4)</f>
        <v/>
      </c>
      <c r="C597" s="15">
        <f>RIGHT(creditcard[[#This Row],[YYYYMM]],2)</f>
        <v/>
      </c>
      <c r="D597" s="15">
        <f>IF(RIGHT(creditcard[[#This Row],[YYYYMM]],2)="--","--","Q"&amp;ROUNDUP(VALUE(RIGHT(creditcard[[#This Row],[YYYYMM]],2))/3,0))</f>
        <v/>
      </c>
      <c r="E597" s="15" t="n">
        <v>2</v>
      </c>
      <c r="F597" s="155" t="inlineStr">
        <is>
          <t>富邦</t>
        </is>
      </c>
      <c r="G597" s="156" t="inlineStr">
        <is>
          <t>02 富邦</t>
        </is>
      </c>
      <c r="H597" s="157" t="n">
        <v>7167873</v>
      </c>
      <c r="I597" s="157" t="n">
        <v>5416399</v>
      </c>
      <c r="J597" s="157" t="n">
        <v>115618</v>
      </c>
      <c r="K597" s="157" t="n">
        <v>26433</v>
      </c>
      <c r="L597" s="157" t="n">
        <v>8584.964</v>
      </c>
      <c r="M597" s="16" t="n"/>
      <c r="N597" s="157" t="n">
        <v>53374.677</v>
      </c>
      <c r="O597" s="16" t="n"/>
      <c r="P597" s="16" t="n"/>
      <c r="Q597" s="17" t="n"/>
      <c r="R597" s="16" t="n"/>
      <c r="S597" s="16" t="n"/>
      <c r="T597" s="16" t="n"/>
      <c r="U597" s="16" t="n"/>
      <c r="V597" s="158" t="n"/>
      <c r="W597" s="16" t="n"/>
      <c r="X597" s="18" t="n"/>
      <c r="Y597" s="18" t="n"/>
      <c r="Z597" s="18" t="n"/>
      <c r="AA597" s="18" t="n"/>
      <c r="AB597" s="18" t="n"/>
      <c r="AC597" s="18" t="n"/>
      <c r="AD597" s="18" t="n"/>
      <c r="AE597" s="18" t="n"/>
      <c r="AF597" s="18" t="n"/>
      <c r="AG597" s="18" t="n"/>
      <c r="AH597" s="18" t="n"/>
      <c r="AI597" s="18" t="n"/>
    </row>
    <row r="598">
      <c r="A598" s="9" t="n">
        <v>202311</v>
      </c>
      <c r="B598" s="10">
        <f>LEFT(creditcard[[#This Row],[YYYYMM]],4)</f>
        <v/>
      </c>
      <c r="C598" s="10">
        <f>RIGHT(creditcard[[#This Row],[YYYYMM]],2)</f>
        <v/>
      </c>
      <c r="D598" s="10">
        <f>IF(RIGHT(creditcard[[#This Row],[YYYYMM]],2)="--","--","Q"&amp;ROUNDUP(VALUE(RIGHT(creditcard[[#This Row],[YYYYMM]],2))/3,0))</f>
        <v/>
      </c>
      <c r="E598" s="10" t="n">
        <v>3</v>
      </c>
      <c r="F598" s="151" t="inlineStr">
        <is>
          <t>國泰</t>
        </is>
      </c>
      <c r="G598" s="152" t="inlineStr">
        <is>
          <t>03 國泰</t>
        </is>
      </c>
      <c r="H598" s="153" t="n">
        <v>7188709</v>
      </c>
      <c r="I598" s="153" t="n">
        <v>4599971</v>
      </c>
      <c r="J598" s="153" t="n">
        <v>52053</v>
      </c>
      <c r="K598" s="153" t="n">
        <v>42626</v>
      </c>
      <c r="L598" s="153" t="n">
        <v>18883.374</v>
      </c>
      <c r="M598" s="11" t="n"/>
      <c r="N598" s="153" t="n">
        <v>56872.096</v>
      </c>
      <c r="O598" s="11" t="n"/>
      <c r="P598" s="11" t="n"/>
      <c r="Q598" s="12" t="n"/>
      <c r="R598" s="11" t="n"/>
      <c r="S598" s="11" t="n"/>
      <c r="T598" s="11" t="n"/>
      <c r="U598" s="11" t="n"/>
      <c r="V598" s="154" t="n"/>
      <c r="W598" s="11" t="n"/>
      <c r="X598" s="13" t="n"/>
      <c r="Y598" s="13" t="n"/>
      <c r="Z598" s="13" t="n"/>
      <c r="AA598" s="13" t="n"/>
      <c r="AB598" s="13" t="n"/>
      <c r="AC598" s="13" t="n"/>
      <c r="AD598" s="13" t="n"/>
      <c r="AE598" s="13" t="n"/>
      <c r="AF598" s="13" t="n"/>
      <c r="AG598" s="13" t="n"/>
      <c r="AH598" s="13" t="n"/>
      <c r="AI598" s="13" t="n"/>
    </row>
    <row r="599">
      <c r="A599" s="14" t="n">
        <v>202311</v>
      </c>
      <c r="B599" s="15">
        <f>LEFT(creditcard[[#This Row],[YYYYMM]],4)</f>
        <v/>
      </c>
      <c r="C599" s="15">
        <f>RIGHT(creditcard[[#This Row],[YYYYMM]],2)</f>
        <v/>
      </c>
      <c r="D599" s="15">
        <f>IF(RIGHT(creditcard[[#This Row],[YYYYMM]],2)="--","--","Q"&amp;ROUNDUP(VALUE(RIGHT(creditcard[[#This Row],[YYYYMM]],2))/3,0))</f>
        <v/>
      </c>
      <c r="E599" s="15" t="n">
        <v>4</v>
      </c>
      <c r="F599" s="155" t="inlineStr">
        <is>
          <t>玉山</t>
        </is>
      </c>
      <c r="G599" s="156" t="inlineStr">
        <is>
          <t>04 玉山</t>
        </is>
      </c>
      <c r="H599" s="157" t="n">
        <v>7202986</v>
      </c>
      <c r="I599" s="157" t="n">
        <v>4800532</v>
      </c>
      <c r="J599" s="157" t="n">
        <v>88857</v>
      </c>
      <c r="K599" s="157" t="n">
        <v>80541</v>
      </c>
      <c r="L599" s="157" t="n">
        <v>13095.873</v>
      </c>
      <c r="M599" s="16" t="n"/>
      <c r="N599" s="157" t="n">
        <v>43296.698</v>
      </c>
      <c r="O599" s="16" t="n"/>
      <c r="P599" s="16" t="n"/>
      <c r="Q599" s="17" t="n"/>
      <c r="R599" s="16" t="n"/>
      <c r="S599" s="16" t="n"/>
      <c r="T599" s="16" t="n"/>
      <c r="U599" s="16" t="n"/>
      <c r="V599" s="158" t="n"/>
      <c r="W599" s="16" t="n"/>
      <c r="X599" s="18" t="n"/>
      <c r="Y599" s="18" t="n"/>
      <c r="Z599" s="18" t="n"/>
      <c r="AA599" s="18" t="n"/>
      <c r="AB599" s="18" t="n"/>
      <c r="AC599" s="18" t="n"/>
      <c r="AD599" s="18" t="n"/>
      <c r="AE599" s="18" t="n"/>
      <c r="AF599" s="18" t="n"/>
      <c r="AG599" s="18" t="n"/>
      <c r="AH599" s="18" t="n"/>
      <c r="AI599" s="18" t="n"/>
    </row>
    <row r="600">
      <c r="A600" s="9" t="n">
        <v>202311</v>
      </c>
      <c r="B600" s="10">
        <f>LEFT(creditcard[[#This Row],[YYYYMM]],4)</f>
        <v/>
      </c>
      <c r="C600" s="10">
        <f>RIGHT(creditcard[[#This Row],[YYYYMM]],2)</f>
        <v/>
      </c>
      <c r="D600" s="10">
        <f>IF(RIGHT(creditcard[[#This Row],[YYYYMM]],2)="--","--","Q"&amp;ROUNDUP(VALUE(RIGHT(creditcard[[#This Row],[YYYYMM]],2))/3,0))</f>
        <v/>
      </c>
      <c r="E600" s="10" t="n">
        <v>5</v>
      </c>
      <c r="F600" s="151" t="inlineStr">
        <is>
          <t>台新</t>
        </is>
      </c>
      <c r="G600" s="152" t="inlineStr">
        <is>
          <t>05 台新</t>
        </is>
      </c>
      <c r="H600" s="153" t="n">
        <v>6500524</v>
      </c>
      <c r="I600" s="153" t="n">
        <v>4538190</v>
      </c>
      <c r="J600" s="153" t="n">
        <v>58890</v>
      </c>
      <c r="K600" s="153" t="n">
        <v>53354</v>
      </c>
      <c r="L600" s="153" t="n">
        <v>10343.177</v>
      </c>
      <c r="M600" s="11" t="n"/>
      <c r="N600" s="153" t="n">
        <v>40810.812</v>
      </c>
      <c r="O600" s="11" t="n"/>
      <c r="P600" s="11" t="n"/>
      <c r="Q600" s="12" t="n"/>
      <c r="R600" s="11" t="n"/>
      <c r="S600" s="11" t="n"/>
      <c r="T600" s="11" t="n"/>
      <c r="U600" s="11" t="n"/>
      <c r="V600" s="154" t="n"/>
      <c r="W600" s="11" t="n"/>
      <c r="X600" s="13" t="n"/>
      <c r="Y600" s="13" t="n"/>
      <c r="Z600" s="13" t="n"/>
      <c r="AA600" s="13" t="n"/>
      <c r="AB600" s="13" t="n"/>
      <c r="AC600" s="13" t="n"/>
      <c r="AD600" s="13" t="n"/>
      <c r="AE600" s="13" t="n"/>
      <c r="AF600" s="13" t="n"/>
      <c r="AG600" s="13" t="n"/>
      <c r="AH600" s="13" t="n"/>
      <c r="AI600" s="13" t="n"/>
    </row>
    <row r="601">
      <c r="A601" s="14" t="n">
        <v>202311</v>
      </c>
      <c r="B601" s="15">
        <f>LEFT(creditcard[[#This Row],[YYYYMM]],4)</f>
        <v/>
      </c>
      <c r="C601" s="15">
        <f>RIGHT(creditcard[[#This Row],[YYYYMM]],2)</f>
        <v/>
      </c>
      <c r="D601" s="15">
        <f>IF(RIGHT(creditcard[[#This Row],[YYYYMM]],2)="--","--","Q"&amp;ROUNDUP(VALUE(RIGHT(creditcard[[#This Row],[YYYYMM]],2))/3,0))</f>
        <v/>
      </c>
      <c r="E601" s="15" t="n">
        <v>6</v>
      </c>
      <c r="F601" s="155" t="inlineStr">
        <is>
          <t>星展</t>
        </is>
      </c>
      <c r="G601" s="156" t="inlineStr">
        <is>
          <t>06 星展</t>
        </is>
      </c>
      <c r="H601" s="157" t="n">
        <v>3327649</v>
      </c>
      <c r="I601" s="157" t="n">
        <v>2277962</v>
      </c>
      <c r="J601" s="157" t="n">
        <v>11584</v>
      </c>
      <c r="K601" s="157" t="n">
        <v>44577</v>
      </c>
      <c r="L601" s="157" t="n">
        <v>8517.539000000001</v>
      </c>
      <c r="M601" s="16" t="n"/>
      <c r="N601" s="157" t="n">
        <v>21868.949</v>
      </c>
      <c r="O601" s="16" t="n"/>
      <c r="P601" s="16" t="n"/>
      <c r="Q601" s="17" t="n"/>
      <c r="R601" s="16" t="n"/>
      <c r="S601" s="16" t="n"/>
      <c r="T601" s="16" t="n"/>
      <c r="U601" s="16" t="n"/>
      <c r="V601" s="158" t="n"/>
      <c r="W601" s="16" t="n"/>
      <c r="X601" s="18" t="n"/>
      <c r="Y601" s="18" t="n"/>
      <c r="Z601" s="18" t="n"/>
      <c r="AA601" s="18" t="n"/>
      <c r="AB601" s="18" t="n"/>
      <c r="AC601" s="18" t="n"/>
      <c r="AD601" s="18" t="n"/>
      <c r="AE601" s="18" t="n"/>
      <c r="AF601" s="18" t="n"/>
      <c r="AG601" s="18" t="n"/>
      <c r="AH601" s="18" t="n"/>
      <c r="AI601" s="18" t="n"/>
    </row>
    <row r="602">
      <c r="A602" s="9" t="n">
        <v>202311</v>
      </c>
      <c r="B602" s="10">
        <f>LEFT(creditcard[[#This Row],[YYYYMM]],4)</f>
        <v/>
      </c>
      <c r="C602" s="10">
        <f>RIGHT(creditcard[[#This Row],[YYYYMM]],2)</f>
        <v/>
      </c>
      <c r="D602" s="10">
        <f>IF(RIGHT(creditcard[[#This Row],[YYYYMM]],2)="--","--","Q"&amp;ROUNDUP(VALUE(RIGHT(creditcard[[#This Row],[YYYYMM]],2))/3,0))</f>
        <v/>
      </c>
      <c r="E602" s="10" t="n">
        <v>7</v>
      </c>
      <c r="F602" s="151" t="inlineStr">
        <is>
          <t>聯邦</t>
        </is>
      </c>
      <c r="G602" s="152" t="inlineStr">
        <is>
          <t>07 聯邦</t>
        </is>
      </c>
      <c r="H602" s="153" t="n">
        <v>2842482</v>
      </c>
      <c r="I602" s="153" t="n">
        <v>1749789</v>
      </c>
      <c r="J602" s="153" t="n">
        <v>50263</v>
      </c>
      <c r="K602" s="153" t="n">
        <v>17903</v>
      </c>
      <c r="L602" s="153" t="n">
        <v>6213.702</v>
      </c>
      <c r="M602" s="11" t="n"/>
      <c r="N602" s="153" t="n">
        <v>16330.023</v>
      </c>
      <c r="O602" s="11" t="n"/>
      <c r="P602" s="11" t="n"/>
      <c r="Q602" s="12" t="n"/>
      <c r="R602" s="11" t="n"/>
      <c r="S602" s="11" t="n"/>
      <c r="T602" s="11" t="n"/>
      <c r="U602" s="11" t="n"/>
      <c r="V602" s="154" t="n"/>
      <c r="W602" s="11" t="n"/>
      <c r="X602" s="13" t="n"/>
      <c r="Y602" s="13" t="n"/>
      <c r="Z602" s="13" t="n"/>
      <c r="AA602" s="13" t="n"/>
      <c r="AB602" s="13" t="n"/>
      <c r="AC602" s="13" t="n"/>
      <c r="AD602" s="13" t="n"/>
      <c r="AE602" s="13" t="n"/>
      <c r="AF602" s="13" t="n"/>
      <c r="AG602" s="13" t="n"/>
      <c r="AH602" s="13" t="n"/>
      <c r="AI602" s="13" t="n"/>
    </row>
    <row r="603">
      <c r="A603" s="14" t="n">
        <v>202311</v>
      </c>
      <c r="B603" s="15">
        <f>LEFT(creditcard[[#This Row],[YYYYMM]],4)</f>
        <v/>
      </c>
      <c r="C603" s="15">
        <f>RIGHT(creditcard[[#This Row],[YYYYMM]],2)</f>
        <v/>
      </c>
      <c r="D603" s="15">
        <f>IF(RIGHT(creditcard[[#This Row],[YYYYMM]],2)="--","--","Q"&amp;ROUNDUP(VALUE(RIGHT(creditcard[[#This Row],[YYYYMM]],2))/3,0))</f>
        <v/>
      </c>
      <c r="E603" s="15" t="n">
        <v>8</v>
      </c>
      <c r="F603" s="155" t="inlineStr">
        <is>
          <t>永豐</t>
        </is>
      </c>
      <c r="G603" s="156" t="inlineStr">
        <is>
          <t>08 永豐</t>
        </is>
      </c>
      <c r="H603" s="157" t="n">
        <v>2204769</v>
      </c>
      <c r="I603" s="157" t="n">
        <v>1257760</v>
      </c>
      <c r="J603" s="157" t="n">
        <v>14100</v>
      </c>
      <c r="K603" s="157" t="n">
        <v>11054</v>
      </c>
      <c r="L603" s="157" t="n">
        <v>3771.708</v>
      </c>
      <c r="M603" s="16" t="n"/>
      <c r="N603" s="157" t="n">
        <v>11687.531</v>
      </c>
      <c r="O603" s="16" t="n"/>
      <c r="P603" s="16" t="n"/>
      <c r="Q603" s="17" t="n"/>
      <c r="R603" s="16" t="n"/>
      <c r="S603" s="16" t="n"/>
      <c r="T603" s="16" t="n"/>
      <c r="U603" s="16" t="n"/>
      <c r="V603" s="158" t="n"/>
      <c r="W603" s="16" t="n"/>
      <c r="X603" s="18" t="n"/>
      <c r="Y603" s="18" t="n"/>
      <c r="Z603" s="18" t="n"/>
      <c r="AA603" s="18" t="n"/>
      <c r="AB603" s="18" t="n"/>
      <c r="AC603" s="18" t="n"/>
      <c r="AD603" s="18" t="n"/>
      <c r="AE603" s="18" t="n"/>
      <c r="AF603" s="18" t="n"/>
      <c r="AG603" s="18" t="n"/>
      <c r="AH603" s="18" t="n"/>
      <c r="AI603" s="18" t="n"/>
    </row>
    <row r="604">
      <c r="A604" s="9" t="n">
        <v>202311</v>
      </c>
      <c r="B604" s="10">
        <f>LEFT(creditcard[[#This Row],[YYYYMM]],4)</f>
        <v/>
      </c>
      <c r="C604" s="10">
        <f>RIGHT(creditcard[[#This Row],[YYYYMM]],2)</f>
        <v/>
      </c>
      <c r="D604" s="10">
        <f>IF(RIGHT(creditcard[[#This Row],[YYYYMM]],2)="--","--","Q"&amp;ROUNDUP(VALUE(RIGHT(creditcard[[#This Row],[YYYYMM]],2))/3,0))</f>
        <v/>
      </c>
      <c r="E604" s="10" t="n">
        <v>9</v>
      </c>
      <c r="F604" s="151" t="inlineStr">
        <is>
          <t>第一</t>
        </is>
      </c>
      <c r="G604" s="152" t="inlineStr">
        <is>
          <t>09 第一</t>
        </is>
      </c>
      <c r="H604" s="153" t="n">
        <v>1556110</v>
      </c>
      <c r="I604" s="153" t="n">
        <v>943752</v>
      </c>
      <c r="J604" s="153" t="n">
        <v>13639</v>
      </c>
      <c r="K604" s="153" t="n">
        <v>9355</v>
      </c>
      <c r="L604" s="153" t="n">
        <v>1562.746</v>
      </c>
      <c r="M604" s="11" t="n"/>
      <c r="N604" s="153" t="n">
        <v>6669.709</v>
      </c>
      <c r="O604" s="11" t="n"/>
      <c r="P604" s="11" t="n"/>
      <c r="Q604" s="12" t="n"/>
      <c r="R604" s="11" t="n"/>
      <c r="S604" s="11" t="n"/>
      <c r="T604" s="11" t="n"/>
      <c r="U604" s="11" t="n"/>
      <c r="V604" s="154" t="n"/>
      <c r="W604" s="11" t="n"/>
      <c r="X604" s="13" t="n"/>
      <c r="Y604" s="13" t="n"/>
      <c r="Z604" s="13" t="n"/>
      <c r="AA604" s="13" t="n"/>
      <c r="AB604" s="13" t="n"/>
      <c r="AC604" s="13" t="n"/>
      <c r="AD604" s="13" t="n"/>
      <c r="AE604" s="13" t="n"/>
      <c r="AF604" s="13" t="n"/>
      <c r="AG604" s="13" t="n"/>
      <c r="AH604" s="13" t="n"/>
      <c r="AI604" s="13" t="n"/>
    </row>
    <row r="605">
      <c r="A605" s="14" t="n">
        <v>202311</v>
      </c>
      <c r="B605" s="15">
        <f>LEFT(creditcard[[#This Row],[YYYYMM]],4)</f>
        <v/>
      </c>
      <c r="C605" s="15">
        <f>RIGHT(creditcard[[#This Row],[YYYYMM]],2)</f>
        <v/>
      </c>
      <c r="D605" s="15">
        <f>IF(RIGHT(creditcard[[#This Row],[YYYYMM]],2)="--","--","Q"&amp;ROUNDUP(VALUE(RIGHT(creditcard[[#This Row],[YYYYMM]],2))/3,0))</f>
        <v/>
      </c>
      <c r="E605" s="15" t="n">
        <v>10</v>
      </c>
      <c r="F605" s="155" t="inlineStr">
        <is>
          <t>遠東</t>
        </is>
      </c>
      <c r="G605" s="156" t="inlineStr">
        <is>
          <t>10 遠東</t>
        </is>
      </c>
      <c r="H605" s="157" t="n">
        <v>1355053</v>
      </c>
      <c r="I605" s="157" t="n">
        <v>977431</v>
      </c>
      <c r="J605" s="157" t="n">
        <v>8650</v>
      </c>
      <c r="K605" s="157" t="n">
        <v>13009</v>
      </c>
      <c r="L605" s="157" t="n">
        <v>3484.991</v>
      </c>
      <c r="M605" s="16" t="n"/>
      <c r="N605" s="157" t="n">
        <v>4554.394</v>
      </c>
      <c r="O605" s="16" t="n"/>
      <c r="P605" s="16" t="n"/>
      <c r="Q605" s="17" t="n"/>
      <c r="R605" s="16" t="n"/>
      <c r="S605" s="16" t="n"/>
      <c r="T605" s="16" t="n"/>
      <c r="U605" s="16" t="n"/>
      <c r="V605" s="158" t="n"/>
      <c r="W605" s="16" t="n"/>
      <c r="X605" s="18" t="n"/>
      <c r="Y605" s="18" t="n"/>
      <c r="Z605" s="18" t="n"/>
      <c r="AA605" s="18" t="n"/>
      <c r="AB605" s="18" t="n"/>
      <c r="AC605" s="18" t="n"/>
      <c r="AD605" s="18" t="n"/>
      <c r="AE605" s="18" t="n"/>
      <c r="AF605" s="18" t="n"/>
      <c r="AG605" s="18" t="n"/>
      <c r="AH605" s="18" t="n"/>
      <c r="AI605" s="18" t="n"/>
    </row>
    <row r="606">
      <c r="A606" s="9" t="n">
        <v>202311</v>
      </c>
      <c r="B606" s="10">
        <f>LEFT(creditcard[[#This Row],[YYYYMM]],4)</f>
        <v/>
      </c>
      <c r="C606" s="10">
        <f>RIGHT(creditcard[[#This Row],[YYYYMM]],2)</f>
        <v/>
      </c>
      <c r="D606" s="10">
        <f>IF(RIGHT(creditcard[[#This Row],[YYYYMM]],2)="--","--","Q"&amp;ROUNDUP(VALUE(RIGHT(creditcard[[#This Row],[YYYYMM]],2))/3,0))</f>
        <v/>
      </c>
      <c r="E606" s="10" t="n">
        <v>11</v>
      </c>
      <c r="F606" s="151" t="inlineStr">
        <is>
          <t>市場總計</t>
        </is>
      </c>
      <c r="G606" s="152" t="inlineStr">
        <is>
          <t>11 市場總計</t>
        </is>
      </c>
      <c r="H606" s="153" t="n">
        <v>57961540</v>
      </c>
      <c r="I606" s="153" t="n">
        <v>37639601</v>
      </c>
      <c r="J606" s="153" t="n">
        <v>571927</v>
      </c>
      <c r="K606" s="153" t="n">
        <v>424489</v>
      </c>
      <c r="L606" s="153" t="n">
        <v>104394.904</v>
      </c>
      <c r="M606" s="11" t="n"/>
      <c r="N606" s="153" t="n">
        <v>366674.79</v>
      </c>
      <c r="O606" s="11" t="n"/>
      <c r="P606" s="11" t="n"/>
      <c r="Q606" s="12" t="n"/>
      <c r="R606" s="11" t="n"/>
      <c r="S606" s="11" t="n"/>
      <c r="T606" s="11" t="n"/>
      <c r="U606" s="11" t="n"/>
      <c r="V606" s="154" t="n">
        <v>4.61</v>
      </c>
      <c r="W606" s="11">
        <f>SUMIFS(H:H,A:A,creditcard[[#This Row],[YYYYMM]],G:G,creditcard[[#This Row],[Item]])</f>
        <v/>
      </c>
      <c r="X606" s="4">
        <f>IFERROR(SUMIFS(H:H,A:A,creditcard[[#This Row],[YYYYMM]],E:E,"&lt;=5")/creditcard[[#This Row],[市場總計]],"")</f>
        <v/>
      </c>
      <c r="Y606" s="4">
        <f>IFERROR(SUMIFS(H:H,A:A,creditcard[[#This Row],[YYYYMM]],E:E,"&lt;=10")/creditcard[[#This Row],[市場總計]],"")</f>
        <v/>
      </c>
      <c r="Z606" s="4">
        <f>IFERROR(SUMIFS(I:I,A:A,creditcard[[#This Row],[YYYYMM]],E:E,"&lt;=5")/creditcard[[#This Row],[有效卡數]],"")</f>
        <v/>
      </c>
      <c r="AA606" s="4">
        <f>IFERROR(SUMIFS(I:I,A:A,creditcard[[#This Row],[YYYYMM]],E:E,"&lt;=10")/creditcard[[#This Row],[有效卡數]],"")</f>
        <v/>
      </c>
      <c r="AB606" s="4">
        <f>IFERROR(SUMIFS(J:J,A:A,creditcard[[#This Row],[YYYYMM]],E:E,"&lt;=5")/creditcard[[#This Row],[當月發卡數]],"")</f>
        <v/>
      </c>
      <c r="AC606" s="4">
        <f>IFERROR(SUMIFS(J:J,A:A,creditcard[[#This Row],[YYYYMM]],E:E,"&lt;=10")/creditcard[[#This Row],[當月發卡數]],"")</f>
        <v/>
      </c>
      <c r="AD606" s="4">
        <f>IFERROR(SUMIFS(K:K,A:A,creditcard[[#This Row],[YYYYMM]],E:E,"&lt;=5")/creditcard[[#This Row],[當月停卡數]],"")</f>
        <v/>
      </c>
      <c r="AE606" s="4">
        <f>IFERROR(SUMIFS(K:K,A:A,creditcard[[#This Row],[YYYYMM]],E:E,"&lt;=10")/creditcard[[#This Row],[當月停卡數]],"")</f>
        <v/>
      </c>
      <c r="AF606" s="4">
        <f>IFERROR(SUMIFS(L:L,A:A,creditcard[[#This Row],[YYYYMM]],E:E,"&lt;=5")/creditcard[[#This Row],[循環信用餘額]],"")</f>
        <v/>
      </c>
      <c r="AG606" s="4">
        <f>IFERROR(SUMIFS(L:L,A:A,creditcard[[#This Row],[YYYYMM]],E:E,"&lt;=10")/creditcard[[#This Row],[循環信用餘額]],"")</f>
        <v/>
      </c>
      <c r="AH606" s="4">
        <f>IFERROR(SUMIFS(N:N,A:A,creditcard[[#This Row],[YYYYMM]],E:E,"&lt;=5")/creditcard[[#This Row],[當月簽帳金額]],"")</f>
        <v/>
      </c>
      <c r="AI606" s="4">
        <f>IFERROR(SUMIFS(N:N,A:A,creditcard[[#This Row],[YYYYMM]],E:E,"&lt;=10")/creditcard[[#This Row],[當月簽帳金額]],"")</f>
        <v/>
      </c>
    </row>
    <row r="607">
      <c r="A607" s="14" t="n">
        <v>202312</v>
      </c>
      <c r="B607" s="15">
        <f>LEFT(creditcard[[#This Row],[YYYYMM]],4)</f>
        <v/>
      </c>
      <c r="C607" s="15">
        <f>RIGHT(creditcard[[#This Row],[YYYYMM]],2)</f>
        <v/>
      </c>
      <c r="D607" s="15">
        <f>IF(RIGHT(creditcard[[#This Row],[YYYYMM]],2)="--","--","Q"&amp;ROUNDUP(VALUE(RIGHT(creditcard[[#This Row],[YYYYMM]],2))/3,0))</f>
        <v/>
      </c>
      <c r="E607" s="15" t="n">
        <v>1</v>
      </c>
      <c r="F607" s="155" t="inlineStr">
        <is>
          <t>中信</t>
        </is>
      </c>
      <c r="G607" s="156" t="inlineStr">
        <is>
          <t>01 中信</t>
        </is>
      </c>
      <c r="H607" s="157" t="n">
        <v>9104306</v>
      </c>
      <c r="I607" s="157" t="n">
        <v>5787166</v>
      </c>
      <c r="J607" s="157" t="n">
        <v>97753</v>
      </c>
      <c r="K607" s="157" t="n">
        <v>37193</v>
      </c>
      <c r="L607" s="157" t="n">
        <v>16514.969</v>
      </c>
      <c r="M607" s="16" t="n"/>
      <c r="N607" s="157" t="n">
        <v>59474.418</v>
      </c>
      <c r="O607" s="16" t="n"/>
      <c r="P607" s="16" t="n"/>
      <c r="Q607" s="17" t="n"/>
      <c r="R607" s="16" t="n"/>
      <c r="S607" s="16" t="n"/>
      <c r="T607" s="16" t="n"/>
      <c r="U607" s="16" t="n"/>
      <c r="V607" s="158" t="n"/>
      <c r="W607" s="16" t="n"/>
      <c r="X607" s="18" t="n"/>
      <c r="Y607" s="18" t="n"/>
      <c r="Z607" s="18" t="n"/>
      <c r="AA607" s="18" t="n"/>
      <c r="AB607" s="18" t="n"/>
      <c r="AC607" s="18" t="n"/>
      <c r="AD607" s="18" t="n"/>
      <c r="AE607" s="18" t="n"/>
      <c r="AF607" s="18" t="n"/>
      <c r="AG607" s="18" t="n"/>
      <c r="AH607" s="18" t="n"/>
      <c r="AI607" s="18" t="n"/>
    </row>
    <row r="608">
      <c r="A608" s="9" t="n">
        <v>202312</v>
      </c>
      <c r="B608" s="10">
        <f>LEFT(creditcard[[#This Row],[YYYYMM]],4)</f>
        <v/>
      </c>
      <c r="C608" s="10">
        <f>RIGHT(creditcard[[#This Row],[YYYYMM]],2)</f>
        <v/>
      </c>
      <c r="D608" s="10">
        <f>IF(RIGHT(creditcard[[#This Row],[YYYYMM]],2)="--","--","Q"&amp;ROUNDUP(VALUE(RIGHT(creditcard[[#This Row],[YYYYMM]],2))/3,0))</f>
        <v/>
      </c>
      <c r="E608" s="10" t="n">
        <v>2</v>
      </c>
      <c r="F608" s="151" t="inlineStr">
        <is>
          <t>富邦</t>
        </is>
      </c>
      <c r="G608" s="152" t="inlineStr">
        <is>
          <t>02 富邦</t>
        </is>
      </c>
      <c r="H608" s="153" t="n">
        <v>7214481</v>
      </c>
      <c r="I608" s="153" t="n">
        <v>5491815</v>
      </c>
      <c r="J608" s="153" t="n">
        <v>67767</v>
      </c>
      <c r="K608" s="153" t="n">
        <v>21159</v>
      </c>
      <c r="L608" s="153" t="n">
        <v>9134.105</v>
      </c>
      <c r="M608" s="11" t="n"/>
      <c r="N608" s="153" t="n">
        <v>48807.127</v>
      </c>
      <c r="O608" s="11" t="n"/>
      <c r="P608" s="11" t="n"/>
      <c r="Q608" s="12" t="n"/>
      <c r="R608" s="11" t="n"/>
      <c r="S608" s="11" t="n"/>
      <c r="T608" s="11" t="n"/>
      <c r="U608" s="11" t="n"/>
      <c r="V608" s="154" t="n"/>
      <c r="W608" s="11" t="n"/>
      <c r="X608" s="13" t="n"/>
      <c r="Y608" s="13" t="n"/>
      <c r="Z608" s="13" t="n"/>
      <c r="AA608" s="13" t="n"/>
      <c r="AB608" s="13" t="n"/>
      <c r="AC608" s="13" t="n"/>
      <c r="AD608" s="13" t="n"/>
      <c r="AE608" s="13" t="n"/>
      <c r="AF608" s="13" t="n"/>
      <c r="AG608" s="13" t="n"/>
      <c r="AH608" s="13" t="n"/>
      <c r="AI608" s="13" t="n"/>
    </row>
    <row r="609">
      <c r="A609" s="14" t="n">
        <v>202312</v>
      </c>
      <c r="B609" s="15">
        <f>LEFT(creditcard[[#This Row],[YYYYMM]],4)</f>
        <v/>
      </c>
      <c r="C609" s="15">
        <f>RIGHT(creditcard[[#This Row],[YYYYMM]],2)</f>
        <v/>
      </c>
      <c r="D609" s="15">
        <f>IF(RIGHT(creditcard[[#This Row],[YYYYMM]],2)="--","--","Q"&amp;ROUNDUP(VALUE(RIGHT(creditcard[[#This Row],[YYYYMM]],2))/3,0))</f>
        <v/>
      </c>
      <c r="E609" s="15" t="n">
        <v>3</v>
      </c>
      <c r="F609" s="155" t="inlineStr">
        <is>
          <t>國泰</t>
        </is>
      </c>
      <c r="G609" s="156" t="inlineStr">
        <is>
          <t>03 國泰</t>
        </is>
      </c>
      <c r="H609" s="157" t="n">
        <v>7197714</v>
      </c>
      <c r="I609" s="157" t="n">
        <v>4627948</v>
      </c>
      <c r="J609" s="157" t="n">
        <v>44159</v>
      </c>
      <c r="K609" s="157" t="n">
        <v>35154</v>
      </c>
      <c r="L609" s="157" t="n">
        <v>19232.22</v>
      </c>
      <c r="M609" s="16" t="n"/>
      <c r="N609" s="157" t="n">
        <v>50460.9</v>
      </c>
      <c r="O609" s="16" t="n"/>
      <c r="P609" s="16" t="n"/>
      <c r="Q609" s="17" t="n"/>
      <c r="R609" s="16" t="n"/>
      <c r="S609" s="16" t="n"/>
      <c r="T609" s="16" t="n"/>
      <c r="U609" s="16" t="n"/>
      <c r="V609" s="158" t="n"/>
      <c r="W609" s="16" t="n"/>
      <c r="X609" s="18" t="n"/>
      <c r="Y609" s="18" t="n"/>
      <c r="Z609" s="18" t="n"/>
      <c r="AA609" s="18" t="n"/>
      <c r="AB609" s="18" t="n"/>
      <c r="AC609" s="18" t="n"/>
      <c r="AD609" s="18" t="n"/>
      <c r="AE609" s="18" t="n"/>
      <c r="AF609" s="18" t="n"/>
      <c r="AG609" s="18" t="n"/>
      <c r="AH609" s="18" t="n"/>
      <c r="AI609" s="18" t="n"/>
    </row>
    <row r="610">
      <c r="A610" s="9" t="n">
        <v>202312</v>
      </c>
      <c r="B610" s="10">
        <f>LEFT(creditcard[[#This Row],[YYYYMM]],4)</f>
        <v/>
      </c>
      <c r="C610" s="10">
        <f>RIGHT(creditcard[[#This Row],[YYYYMM]],2)</f>
        <v/>
      </c>
      <c r="D610" s="10">
        <f>IF(RIGHT(creditcard[[#This Row],[YYYYMM]],2)="--","--","Q"&amp;ROUNDUP(VALUE(RIGHT(creditcard[[#This Row],[YYYYMM]],2))/3,0))</f>
        <v/>
      </c>
      <c r="E610" s="10" t="n">
        <v>4</v>
      </c>
      <c r="F610" s="151" t="inlineStr">
        <is>
          <t>玉山</t>
        </is>
      </c>
      <c r="G610" s="152" t="inlineStr">
        <is>
          <t>04 玉山</t>
        </is>
      </c>
      <c r="H610" s="153" t="n">
        <v>7230723</v>
      </c>
      <c r="I610" s="153" t="n">
        <v>4804427</v>
      </c>
      <c r="J610" s="153" t="n">
        <v>94543</v>
      </c>
      <c r="K610" s="153" t="n">
        <v>66806</v>
      </c>
      <c r="L610" s="153" t="n">
        <v>13267.691</v>
      </c>
      <c r="M610" s="11" t="n"/>
      <c r="N610" s="153" t="n">
        <v>43031.114</v>
      </c>
      <c r="O610" s="11" t="n"/>
      <c r="P610" s="11" t="n"/>
      <c r="Q610" s="12" t="n"/>
      <c r="R610" s="11" t="n"/>
      <c r="S610" s="11" t="n"/>
      <c r="T610" s="11" t="n"/>
      <c r="U610" s="11" t="n"/>
      <c r="V610" s="154" t="n"/>
      <c r="W610" s="11" t="n"/>
      <c r="X610" s="13" t="n"/>
      <c r="Y610" s="13" t="n"/>
      <c r="Z610" s="13" t="n"/>
      <c r="AA610" s="13" t="n"/>
      <c r="AB610" s="13" t="n"/>
      <c r="AC610" s="13" t="n"/>
      <c r="AD610" s="13" t="n"/>
      <c r="AE610" s="13" t="n"/>
      <c r="AF610" s="13" t="n"/>
      <c r="AG610" s="13" t="n"/>
      <c r="AH610" s="13" t="n"/>
      <c r="AI610" s="13" t="n"/>
    </row>
    <row r="611">
      <c r="A611" s="14" t="n">
        <v>202312</v>
      </c>
      <c r="B611" s="15">
        <f>LEFT(creditcard[[#This Row],[YYYYMM]],4)</f>
        <v/>
      </c>
      <c r="C611" s="15">
        <f>RIGHT(creditcard[[#This Row],[YYYYMM]],2)</f>
        <v/>
      </c>
      <c r="D611" s="15">
        <f>IF(RIGHT(creditcard[[#This Row],[YYYYMM]],2)="--","--","Q"&amp;ROUNDUP(VALUE(RIGHT(creditcard[[#This Row],[YYYYMM]],2))/3,0))</f>
        <v/>
      </c>
      <c r="E611" s="15" t="n">
        <v>5</v>
      </c>
      <c r="F611" s="155" t="inlineStr">
        <is>
          <t>台新</t>
        </is>
      </c>
      <c r="G611" s="156" t="inlineStr">
        <is>
          <t>05 台新</t>
        </is>
      </c>
      <c r="H611" s="157" t="n">
        <v>6500585</v>
      </c>
      <c r="I611" s="157" t="n">
        <v>4557884</v>
      </c>
      <c r="J611" s="157" t="n">
        <v>49320</v>
      </c>
      <c r="K611" s="157" t="n">
        <v>49259</v>
      </c>
      <c r="L611" s="157" t="n">
        <v>10514.032</v>
      </c>
      <c r="M611" s="16" t="n"/>
      <c r="N611" s="157" t="n">
        <v>36643.26</v>
      </c>
      <c r="O611" s="16" t="n"/>
      <c r="P611" s="16" t="n"/>
      <c r="Q611" s="17" t="n"/>
      <c r="R611" s="16" t="n"/>
      <c r="S611" s="16" t="n"/>
      <c r="T611" s="16" t="n"/>
      <c r="U611" s="16" t="n"/>
      <c r="V611" s="158" t="n"/>
      <c r="W611" s="16" t="n"/>
      <c r="X611" s="18" t="n"/>
      <c r="Y611" s="18" t="n"/>
      <c r="Z611" s="18" t="n"/>
      <c r="AA611" s="18" t="n"/>
      <c r="AB611" s="18" t="n"/>
      <c r="AC611" s="18" t="n"/>
      <c r="AD611" s="18" t="n"/>
      <c r="AE611" s="18" t="n"/>
      <c r="AF611" s="18" t="n"/>
      <c r="AG611" s="18" t="n"/>
      <c r="AH611" s="18" t="n"/>
      <c r="AI611" s="18" t="n"/>
    </row>
    <row r="612">
      <c r="A612" s="9" t="n">
        <v>202312</v>
      </c>
      <c r="B612" s="10">
        <f>LEFT(creditcard[[#This Row],[YYYYMM]],4)</f>
        <v/>
      </c>
      <c r="C612" s="10">
        <f>RIGHT(creditcard[[#This Row],[YYYYMM]],2)</f>
        <v/>
      </c>
      <c r="D612" s="10">
        <f>IF(RIGHT(creditcard[[#This Row],[YYYYMM]],2)="--","--","Q"&amp;ROUNDUP(VALUE(RIGHT(creditcard[[#This Row],[YYYYMM]],2))/3,0))</f>
        <v/>
      </c>
      <c r="E612" s="10" t="n">
        <v>6</v>
      </c>
      <c r="F612" s="151" t="inlineStr">
        <is>
          <t>星展</t>
        </is>
      </c>
      <c r="G612" s="152" t="inlineStr">
        <is>
          <t>06 星展</t>
        </is>
      </c>
      <c r="H612" s="153" t="n">
        <v>3319120</v>
      </c>
      <c r="I612" s="153" t="n">
        <v>2230905</v>
      </c>
      <c r="J612" s="153" t="n">
        <v>9274</v>
      </c>
      <c r="K612" s="153" t="n">
        <v>32281</v>
      </c>
      <c r="L612" s="153" t="n">
        <v>8623.439</v>
      </c>
      <c r="M612" s="11" t="n"/>
      <c r="N612" s="153" t="n">
        <v>20413.62</v>
      </c>
      <c r="O612" s="11" t="n"/>
      <c r="P612" s="11" t="n"/>
      <c r="Q612" s="12" t="n"/>
      <c r="R612" s="11" t="n"/>
      <c r="S612" s="11" t="n"/>
      <c r="T612" s="11" t="n"/>
      <c r="U612" s="11" t="n"/>
      <c r="V612" s="154" t="n"/>
      <c r="W612" s="11" t="n"/>
      <c r="X612" s="13" t="n"/>
      <c r="Y612" s="13" t="n"/>
      <c r="Z612" s="13" t="n"/>
      <c r="AA612" s="13" t="n"/>
      <c r="AB612" s="13" t="n"/>
      <c r="AC612" s="13" t="n"/>
      <c r="AD612" s="13" t="n"/>
      <c r="AE612" s="13" t="n"/>
      <c r="AF612" s="13" t="n"/>
      <c r="AG612" s="13" t="n"/>
      <c r="AH612" s="13" t="n"/>
      <c r="AI612" s="13" t="n"/>
    </row>
    <row r="613">
      <c r="A613" s="14" t="n">
        <v>202312</v>
      </c>
      <c r="B613" s="15">
        <f>LEFT(creditcard[[#This Row],[YYYYMM]],4)</f>
        <v/>
      </c>
      <c r="C613" s="15">
        <f>RIGHT(creditcard[[#This Row],[YYYYMM]],2)</f>
        <v/>
      </c>
      <c r="D613" s="15">
        <f>IF(RIGHT(creditcard[[#This Row],[YYYYMM]],2)="--","--","Q"&amp;ROUNDUP(VALUE(RIGHT(creditcard[[#This Row],[YYYYMM]],2))/3,0))</f>
        <v/>
      </c>
      <c r="E613" s="15" t="n">
        <v>7</v>
      </c>
      <c r="F613" s="155" t="inlineStr">
        <is>
          <t>聯邦</t>
        </is>
      </c>
      <c r="G613" s="156" t="inlineStr">
        <is>
          <t>07 聯邦</t>
        </is>
      </c>
      <c r="H613" s="157" t="n">
        <v>2866981</v>
      </c>
      <c r="I613" s="157" t="n">
        <v>1775992</v>
      </c>
      <c r="J613" s="157" t="n">
        <v>41593</v>
      </c>
      <c r="K613" s="157" t="n">
        <v>17094</v>
      </c>
      <c r="L613" s="157" t="n">
        <v>6172.079</v>
      </c>
      <c r="M613" s="16" t="n"/>
      <c r="N613" s="157" t="n">
        <v>16678.253</v>
      </c>
      <c r="O613" s="16" t="n"/>
      <c r="P613" s="16" t="n"/>
      <c r="Q613" s="17" t="n"/>
      <c r="R613" s="16" t="n"/>
      <c r="S613" s="16" t="n"/>
      <c r="T613" s="16" t="n"/>
      <c r="U613" s="16" t="n"/>
      <c r="V613" s="158" t="n"/>
      <c r="W613" s="16" t="n"/>
      <c r="X613" s="18" t="n"/>
      <c r="Y613" s="18" t="n"/>
      <c r="Z613" s="18" t="n"/>
      <c r="AA613" s="18" t="n"/>
      <c r="AB613" s="18" t="n"/>
      <c r="AC613" s="18" t="n"/>
      <c r="AD613" s="18" t="n"/>
      <c r="AE613" s="18" t="n"/>
      <c r="AF613" s="18" t="n"/>
      <c r="AG613" s="18" t="n"/>
      <c r="AH613" s="18" t="n"/>
      <c r="AI613" s="18" t="n"/>
    </row>
    <row r="614">
      <c r="A614" s="9" t="n">
        <v>202312</v>
      </c>
      <c r="B614" s="10">
        <f>LEFT(creditcard[[#This Row],[YYYYMM]],4)</f>
        <v/>
      </c>
      <c r="C614" s="10">
        <f>RIGHT(creditcard[[#This Row],[YYYYMM]],2)</f>
        <v/>
      </c>
      <c r="D614" s="10">
        <f>IF(RIGHT(creditcard[[#This Row],[YYYYMM]],2)="--","--","Q"&amp;ROUNDUP(VALUE(RIGHT(creditcard[[#This Row],[YYYYMM]],2))/3,0))</f>
        <v/>
      </c>
      <c r="E614" s="10" t="n">
        <v>8</v>
      </c>
      <c r="F614" s="151" t="inlineStr">
        <is>
          <t>永豐</t>
        </is>
      </c>
      <c r="G614" s="152" t="inlineStr">
        <is>
          <t>08 永豐</t>
        </is>
      </c>
      <c r="H614" s="153" t="n">
        <v>2208497</v>
      </c>
      <c r="I614" s="153" t="n">
        <v>1259221</v>
      </c>
      <c r="J614" s="153" t="n">
        <v>13235</v>
      </c>
      <c r="K614" s="153" t="n">
        <v>9405</v>
      </c>
      <c r="L614" s="153" t="n">
        <v>3794.251</v>
      </c>
      <c r="M614" s="11" t="n"/>
      <c r="N614" s="153" t="n">
        <v>11284.524</v>
      </c>
      <c r="O614" s="11" t="n"/>
      <c r="P614" s="11" t="n"/>
      <c r="Q614" s="12" t="n"/>
      <c r="R614" s="11" t="n"/>
      <c r="S614" s="11" t="n"/>
      <c r="T614" s="11" t="n"/>
      <c r="U614" s="11" t="n"/>
      <c r="V614" s="154" t="n"/>
      <c r="W614" s="11" t="n"/>
      <c r="X614" s="13" t="n"/>
      <c r="Y614" s="13" t="n"/>
      <c r="Z614" s="13" t="n"/>
      <c r="AA614" s="13" t="n"/>
      <c r="AB614" s="13" t="n"/>
      <c r="AC614" s="13" t="n"/>
      <c r="AD614" s="13" t="n"/>
      <c r="AE614" s="13" t="n"/>
      <c r="AF614" s="13" t="n"/>
      <c r="AG614" s="13" t="n"/>
      <c r="AH614" s="13" t="n"/>
      <c r="AI614" s="13" t="n"/>
    </row>
    <row r="615">
      <c r="A615" s="14" t="n">
        <v>202312</v>
      </c>
      <c r="B615" s="15">
        <f>LEFT(creditcard[[#This Row],[YYYYMM]],4)</f>
        <v/>
      </c>
      <c r="C615" s="15">
        <f>RIGHT(creditcard[[#This Row],[YYYYMM]],2)</f>
        <v/>
      </c>
      <c r="D615" s="15">
        <f>IF(RIGHT(creditcard[[#This Row],[YYYYMM]],2)="--","--","Q"&amp;ROUNDUP(VALUE(RIGHT(creditcard[[#This Row],[YYYYMM]],2))/3,0))</f>
        <v/>
      </c>
      <c r="E615" s="15" t="n">
        <v>9</v>
      </c>
      <c r="F615" s="155" t="inlineStr">
        <is>
          <t>第一</t>
        </is>
      </c>
      <c r="G615" s="156" t="inlineStr">
        <is>
          <t>09 第一</t>
        </is>
      </c>
      <c r="H615" s="157" t="n">
        <v>1560245</v>
      </c>
      <c r="I615" s="157" t="n">
        <v>945372</v>
      </c>
      <c r="J615" s="157" t="n">
        <v>13362</v>
      </c>
      <c r="K615" s="157" t="n">
        <v>9468</v>
      </c>
      <c r="L615" s="157" t="n">
        <v>1523.827</v>
      </c>
      <c r="M615" s="16" t="n"/>
      <c r="N615" s="157" t="n">
        <v>6372.982</v>
      </c>
      <c r="O615" s="16" t="n"/>
      <c r="P615" s="16" t="n"/>
      <c r="Q615" s="17" t="n"/>
      <c r="R615" s="16" t="n"/>
      <c r="S615" s="16" t="n"/>
      <c r="T615" s="16" t="n"/>
      <c r="U615" s="16" t="n"/>
      <c r="V615" s="158" t="n"/>
      <c r="W615" s="16" t="n"/>
      <c r="X615" s="18" t="n"/>
      <c r="Y615" s="18" t="n"/>
      <c r="Z615" s="18" t="n"/>
      <c r="AA615" s="18" t="n"/>
      <c r="AB615" s="18" t="n"/>
      <c r="AC615" s="18" t="n"/>
      <c r="AD615" s="18" t="n"/>
      <c r="AE615" s="18" t="n"/>
      <c r="AF615" s="18" t="n"/>
      <c r="AG615" s="18" t="n"/>
      <c r="AH615" s="18" t="n"/>
      <c r="AI615" s="18" t="n"/>
    </row>
    <row r="616">
      <c r="A616" s="9" t="n">
        <v>202312</v>
      </c>
      <c r="B616" s="10">
        <f>LEFT(creditcard[[#This Row],[YYYYMM]],4)</f>
        <v/>
      </c>
      <c r="C616" s="10">
        <f>RIGHT(creditcard[[#This Row],[YYYYMM]],2)</f>
        <v/>
      </c>
      <c r="D616" s="10">
        <f>IF(RIGHT(creditcard[[#This Row],[YYYYMM]],2)="--","--","Q"&amp;ROUNDUP(VALUE(RIGHT(creditcard[[#This Row],[YYYYMM]],2))/3,0))</f>
        <v/>
      </c>
      <c r="E616" s="10" t="n">
        <v>10</v>
      </c>
      <c r="F616" s="151" t="inlineStr">
        <is>
          <t>遠東</t>
        </is>
      </c>
      <c r="G616" s="152" t="inlineStr">
        <is>
          <t>10 遠東</t>
        </is>
      </c>
      <c r="H616" s="153" t="n">
        <v>1352688</v>
      </c>
      <c r="I616" s="153" t="n">
        <v>976323</v>
      </c>
      <c r="J616" s="153" t="n">
        <v>6211</v>
      </c>
      <c r="K616" s="153" t="n">
        <v>8698</v>
      </c>
      <c r="L616" s="153" t="n">
        <v>3556.231</v>
      </c>
      <c r="M616" s="11" t="n"/>
      <c r="N616" s="153" t="n">
        <v>4293.244</v>
      </c>
      <c r="O616" s="11" t="n"/>
      <c r="P616" s="11" t="n"/>
      <c r="Q616" s="12" t="n"/>
      <c r="R616" s="11" t="n"/>
      <c r="S616" s="11" t="n"/>
      <c r="T616" s="11" t="n"/>
      <c r="U616" s="11" t="n"/>
      <c r="V616" s="154" t="n"/>
      <c r="W616" s="11" t="n"/>
      <c r="X616" s="13" t="n"/>
      <c r="Y616" s="13" t="n"/>
      <c r="Z616" s="13" t="n"/>
      <c r="AA616" s="13" t="n"/>
      <c r="AB616" s="13" t="n"/>
      <c r="AC616" s="13" t="n"/>
      <c r="AD616" s="13" t="n"/>
      <c r="AE616" s="13" t="n"/>
      <c r="AF616" s="13" t="n"/>
      <c r="AG616" s="13" t="n"/>
      <c r="AH616" s="13" t="n"/>
      <c r="AI616" s="13" t="n"/>
    </row>
    <row r="617">
      <c r="A617" s="14" t="n">
        <v>202312</v>
      </c>
      <c r="B617" s="15">
        <f>LEFT(creditcard[[#This Row],[YYYYMM]],4)</f>
        <v/>
      </c>
      <c r="C617" s="15">
        <f>RIGHT(creditcard[[#This Row],[YYYYMM]],2)</f>
        <v/>
      </c>
      <c r="D617" s="15">
        <f>IF(RIGHT(creditcard[[#This Row],[YYYYMM]],2)="--","--","Q"&amp;ROUNDUP(VALUE(RIGHT(creditcard[[#This Row],[YYYYMM]],2))/3,0))</f>
        <v/>
      </c>
      <c r="E617" s="15" t="n">
        <v>11</v>
      </c>
      <c r="F617" s="155" t="inlineStr">
        <is>
          <t>市場總計</t>
        </is>
      </c>
      <c r="G617" s="156" t="inlineStr">
        <is>
          <t>11 市場總計</t>
        </is>
      </c>
      <c r="H617" s="157" t="n">
        <v>58116021</v>
      </c>
      <c r="I617" s="157" t="n">
        <v>37769198</v>
      </c>
      <c r="J617" s="157" t="n">
        <v>491768</v>
      </c>
      <c r="K617" s="157" t="n">
        <v>358347</v>
      </c>
      <c r="L617" s="157" t="n">
        <v>106157.05</v>
      </c>
      <c r="M617" s="16" t="n"/>
      <c r="N617" s="157" t="n">
        <v>345668.009</v>
      </c>
      <c r="O617" s="16" t="n"/>
      <c r="P617" s="16" t="n"/>
      <c r="Q617" s="17" t="n"/>
      <c r="R617" s="16" t="n"/>
      <c r="S617" s="16" t="n"/>
      <c r="T617" s="16" t="n"/>
      <c r="U617" s="16" t="n"/>
      <c r="V617" s="158" t="n">
        <v>4.62</v>
      </c>
      <c r="W617" s="16">
        <f>SUMIFS(H:H,A:A,creditcard[[#This Row],[YYYYMM]],G:G,creditcard[[#This Row],[Item]])</f>
        <v/>
      </c>
      <c r="X617" s="4">
        <f>IFERROR(SUMIFS(H:H,A:A,creditcard[[#This Row],[YYYYMM]],E:E,"&lt;=5")/creditcard[[#This Row],[市場總計]],"")</f>
        <v/>
      </c>
      <c r="Y617" s="4">
        <f>IFERROR(SUMIFS(H:H,A:A,creditcard[[#This Row],[YYYYMM]],E:E,"&lt;=10")/creditcard[[#This Row],[市場總計]],"")</f>
        <v/>
      </c>
      <c r="Z617" s="4">
        <f>IFERROR(SUMIFS(I:I,A:A,creditcard[[#This Row],[YYYYMM]],E:E,"&lt;=5")/creditcard[[#This Row],[有效卡數]],"")</f>
        <v/>
      </c>
      <c r="AA617" s="4">
        <f>IFERROR(SUMIFS(I:I,A:A,creditcard[[#This Row],[YYYYMM]],E:E,"&lt;=10")/creditcard[[#This Row],[有效卡數]],"")</f>
        <v/>
      </c>
      <c r="AB617" s="4">
        <f>IFERROR(SUMIFS(J:J,A:A,creditcard[[#This Row],[YYYYMM]],E:E,"&lt;=5")/creditcard[[#This Row],[當月發卡數]],"")</f>
        <v/>
      </c>
      <c r="AC617" s="4">
        <f>IFERROR(SUMIFS(J:J,A:A,creditcard[[#This Row],[YYYYMM]],E:E,"&lt;=10")/creditcard[[#This Row],[當月發卡數]],"")</f>
        <v/>
      </c>
      <c r="AD617" s="4">
        <f>IFERROR(SUMIFS(K:K,A:A,creditcard[[#This Row],[YYYYMM]],E:E,"&lt;=5")/creditcard[[#This Row],[當月停卡數]],"")</f>
        <v/>
      </c>
      <c r="AE617" s="4">
        <f>IFERROR(SUMIFS(K:K,A:A,creditcard[[#This Row],[YYYYMM]],E:E,"&lt;=10")/creditcard[[#This Row],[當月停卡數]],"")</f>
        <v/>
      </c>
      <c r="AF617" s="4">
        <f>IFERROR(SUMIFS(L:L,A:A,creditcard[[#This Row],[YYYYMM]],E:E,"&lt;=5")/creditcard[[#This Row],[循環信用餘額]],"")</f>
        <v/>
      </c>
      <c r="AG617" s="4">
        <f>IFERROR(SUMIFS(L:L,A:A,creditcard[[#This Row],[YYYYMM]],E:E,"&lt;=10")/creditcard[[#This Row],[循環信用餘額]],"")</f>
        <v/>
      </c>
      <c r="AH617" s="4">
        <f>IFERROR(SUMIFS(N:N,A:A,creditcard[[#This Row],[YYYYMM]],E:E,"&lt;=5")/creditcard[[#This Row],[當月簽帳金額]],"")</f>
        <v/>
      </c>
      <c r="AI617" s="4">
        <f>IFERROR(SUMIFS(N:N,A:A,creditcard[[#This Row],[YYYYMM]],E:E,"&lt;=10")/creditcard[[#This Row],[當月簽帳金額]],"")</f>
        <v/>
      </c>
    </row>
    <row r="618">
      <c r="A618" s="9" t="inlineStr">
        <is>
          <t>2023--</t>
        </is>
      </c>
      <c r="B618" s="10">
        <f>LEFT(creditcard[[#This Row],[YYYYMM]],4)</f>
        <v/>
      </c>
      <c r="C618" s="10">
        <f>RIGHT(creditcard[[#This Row],[YYYYMM]],2)</f>
        <v/>
      </c>
      <c r="D618" s="10">
        <f>IF(RIGHT(creditcard[[#This Row],[YYYYMM]],2)="--","--","Q"&amp;ROUNDUP(VALUE(RIGHT(creditcard[[#This Row],[YYYYMM]],2))/3,0))</f>
        <v/>
      </c>
      <c r="E618" s="10" t="n">
        <v>1</v>
      </c>
      <c r="F618" s="151" t="inlineStr">
        <is>
          <t>中信</t>
        </is>
      </c>
      <c r="G618" s="152" t="inlineStr">
        <is>
          <t>01 中信</t>
        </is>
      </c>
      <c r="H618" s="153" t="n">
        <v>9104306</v>
      </c>
      <c r="I618" s="153" t="n">
        <v>5787166</v>
      </c>
      <c r="J618" s="153" t="n">
        <v>1262743</v>
      </c>
      <c r="K618" s="153" t="n">
        <v>780088</v>
      </c>
      <c r="L618" s="153" t="n">
        <v>16514.969</v>
      </c>
      <c r="M618" s="11" t="n"/>
      <c r="N618" s="153" t="n">
        <v>736896.573</v>
      </c>
      <c r="O618" s="11" t="n"/>
      <c r="P618" s="11" t="n"/>
      <c r="Q618" s="12" t="n"/>
      <c r="R618" s="11" t="n"/>
      <c r="S618" s="11" t="n"/>
      <c r="T618" s="11" t="n"/>
      <c r="U618" s="11" t="n"/>
      <c r="V618" s="154" t="n"/>
      <c r="W618" s="11" t="n"/>
      <c r="X618" s="13" t="n"/>
      <c r="Y618" s="13" t="n"/>
      <c r="Z618" s="13" t="n"/>
      <c r="AA618" s="13" t="n"/>
      <c r="AB618" s="13" t="n"/>
      <c r="AC618" s="13" t="n"/>
      <c r="AD618" s="13" t="n"/>
      <c r="AE618" s="13" t="n"/>
      <c r="AF618" s="13" t="n"/>
      <c r="AG618" s="13" t="n"/>
      <c r="AH618" s="13" t="n"/>
      <c r="AI618" s="13" t="n"/>
    </row>
    <row r="619">
      <c r="A619" s="14" t="inlineStr">
        <is>
          <t>2023--</t>
        </is>
      </c>
      <c r="B619" s="15">
        <f>LEFT(creditcard[[#This Row],[YYYYMM]],4)</f>
        <v/>
      </c>
      <c r="C619" s="15">
        <f>RIGHT(creditcard[[#This Row],[YYYYMM]],2)</f>
        <v/>
      </c>
      <c r="D619" s="15">
        <f>IF(RIGHT(creditcard[[#This Row],[YYYYMM]],2)="--","--","Q"&amp;ROUNDUP(VALUE(RIGHT(creditcard[[#This Row],[YYYYMM]],2))/3,0))</f>
        <v/>
      </c>
      <c r="E619" s="15" t="n">
        <v>2</v>
      </c>
      <c r="F619" s="155" t="inlineStr">
        <is>
          <t>富邦</t>
        </is>
      </c>
      <c r="G619" s="156" t="inlineStr">
        <is>
          <t>02 富邦</t>
        </is>
      </c>
      <c r="H619" s="157" t="n">
        <v>7214481</v>
      </c>
      <c r="I619" s="157" t="n">
        <v>5491815</v>
      </c>
      <c r="J619" s="157" t="n">
        <v>2818162</v>
      </c>
      <c r="K619" s="157" t="n">
        <v>527165</v>
      </c>
      <c r="L619" s="157" t="n">
        <v>9134.105</v>
      </c>
      <c r="M619" s="16" t="n"/>
      <c r="N619" s="157" t="n">
        <v>485040.647</v>
      </c>
      <c r="O619" s="16" t="n"/>
      <c r="P619" s="16" t="n"/>
      <c r="Q619" s="17" t="n"/>
      <c r="R619" s="16" t="n"/>
      <c r="S619" s="16" t="n"/>
      <c r="T619" s="16" t="n"/>
      <c r="U619" s="16" t="n"/>
      <c r="V619" s="158" t="n"/>
      <c r="W619" s="16" t="n"/>
      <c r="X619" s="18" t="n"/>
      <c r="Y619" s="18" t="n"/>
      <c r="Z619" s="18" t="n"/>
      <c r="AA619" s="18" t="n"/>
      <c r="AB619" s="18" t="n"/>
      <c r="AC619" s="18" t="n"/>
      <c r="AD619" s="18" t="n"/>
      <c r="AE619" s="18" t="n"/>
      <c r="AF619" s="18" t="n"/>
      <c r="AG619" s="18" t="n"/>
      <c r="AH619" s="18" t="n"/>
      <c r="AI619" s="18" t="n"/>
    </row>
    <row r="620">
      <c r="A620" s="9" t="inlineStr">
        <is>
          <t>2023--</t>
        </is>
      </c>
      <c r="B620" s="10">
        <f>LEFT(creditcard[[#This Row],[YYYYMM]],4)</f>
        <v/>
      </c>
      <c r="C620" s="10">
        <f>RIGHT(creditcard[[#This Row],[YYYYMM]],2)</f>
        <v/>
      </c>
      <c r="D620" s="10">
        <f>IF(RIGHT(creditcard[[#This Row],[YYYYMM]],2)="--","--","Q"&amp;ROUNDUP(VALUE(RIGHT(creditcard[[#This Row],[YYYYMM]],2))/3,0))</f>
        <v/>
      </c>
      <c r="E620" s="10" t="n">
        <v>3</v>
      </c>
      <c r="F620" s="151" t="inlineStr">
        <is>
          <t>國泰</t>
        </is>
      </c>
      <c r="G620" s="152" t="inlineStr">
        <is>
          <t>03 國泰</t>
        </is>
      </c>
      <c r="H620" s="153" t="n">
        <v>7197714</v>
      </c>
      <c r="I620" s="153" t="n">
        <v>4627948</v>
      </c>
      <c r="J620" s="153" t="n">
        <v>2570333</v>
      </c>
      <c r="K620" s="153" t="n">
        <v>4185159</v>
      </c>
      <c r="L620" s="153" t="n">
        <v>19232.22</v>
      </c>
      <c r="M620" s="11" t="n"/>
      <c r="N620" s="153" t="n">
        <v>682462.4939999999</v>
      </c>
      <c r="O620" s="11" t="n"/>
      <c r="P620" s="11" t="n"/>
      <c r="Q620" s="12" t="n"/>
      <c r="R620" s="11" t="n"/>
      <c r="S620" s="11" t="n"/>
      <c r="T620" s="11" t="n"/>
      <c r="U620" s="11" t="n"/>
      <c r="V620" s="154" t="n"/>
      <c r="W620" s="11" t="n"/>
      <c r="X620" s="13" t="n"/>
      <c r="Y620" s="13" t="n"/>
      <c r="Z620" s="13" t="n"/>
      <c r="AA620" s="13" t="n"/>
      <c r="AB620" s="13" t="n"/>
      <c r="AC620" s="13" t="n"/>
      <c r="AD620" s="13" t="n"/>
      <c r="AE620" s="13" t="n"/>
      <c r="AF620" s="13" t="n"/>
      <c r="AG620" s="13" t="n"/>
      <c r="AH620" s="13" t="n"/>
      <c r="AI620" s="13" t="n"/>
    </row>
    <row r="621">
      <c r="A621" s="9" t="inlineStr">
        <is>
          <t>2023--</t>
        </is>
      </c>
      <c r="B621" s="10">
        <f>LEFT(creditcard[[#This Row],[YYYYMM]],4)</f>
        <v/>
      </c>
      <c r="C621" s="10">
        <f>RIGHT(creditcard[[#This Row],[YYYYMM]],2)</f>
        <v/>
      </c>
      <c r="D621" s="10">
        <f>IF(RIGHT(creditcard[[#This Row],[YYYYMM]],2)="--","--","Q"&amp;ROUNDUP(VALUE(RIGHT(creditcard[[#This Row],[YYYYMM]],2))/3,0))</f>
        <v/>
      </c>
      <c r="E621" s="15" t="n">
        <v>4</v>
      </c>
      <c r="F621" s="155" t="inlineStr">
        <is>
          <t>玉山</t>
        </is>
      </c>
      <c r="G621" s="156" t="inlineStr">
        <is>
          <t>04 玉山</t>
        </is>
      </c>
      <c r="H621" s="157" t="n">
        <v>7230723</v>
      </c>
      <c r="I621" s="157" t="n">
        <v>4804427</v>
      </c>
      <c r="J621" s="157" t="n">
        <v>955468</v>
      </c>
      <c r="K621" s="157" t="n">
        <v>616043</v>
      </c>
      <c r="L621" s="157" t="n">
        <v>13267.691</v>
      </c>
      <c r="M621" s="16" t="n"/>
      <c r="N621" s="157" t="n">
        <v>543483.786</v>
      </c>
      <c r="O621" s="16" t="n"/>
      <c r="P621" s="16" t="n"/>
      <c r="Q621" s="17" t="n"/>
      <c r="R621" s="16" t="n"/>
      <c r="S621" s="16" t="n"/>
      <c r="T621" s="16" t="n"/>
      <c r="U621" s="16" t="n"/>
      <c r="V621" s="158" t="n"/>
      <c r="W621" s="16" t="n"/>
      <c r="X621" s="18" t="n"/>
      <c r="Y621" s="18" t="n"/>
      <c r="Z621" s="18" t="n"/>
      <c r="AA621" s="18" t="n"/>
      <c r="AB621" s="18" t="n"/>
      <c r="AC621" s="18" t="n"/>
      <c r="AD621" s="18" t="n"/>
      <c r="AE621" s="18" t="n"/>
      <c r="AF621" s="18" t="n"/>
      <c r="AG621" s="18" t="n"/>
      <c r="AH621" s="18" t="n"/>
      <c r="AI621" s="18" t="n"/>
    </row>
    <row r="622">
      <c r="A622" s="14" t="inlineStr">
        <is>
          <t>2023--</t>
        </is>
      </c>
      <c r="B622" s="15">
        <f>LEFT(creditcard[[#This Row],[YYYYMM]],4)</f>
        <v/>
      </c>
      <c r="C622" s="15">
        <f>RIGHT(creditcard[[#This Row],[YYYYMM]],2)</f>
        <v/>
      </c>
      <c r="D622" s="15">
        <f>IF(RIGHT(creditcard[[#This Row],[YYYYMM]],2)="--","--","Q"&amp;ROUNDUP(VALUE(RIGHT(creditcard[[#This Row],[YYYYMM]],2))/3,0))</f>
        <v/>
      </c>
      <c r="E622" s="10" t="n">
        <v>5</v>
      </c>
      <c r="F622" s="151" t="inlineStr">
        <is>
          <t>台新</t>
        </is>
      </c>
      <c r="G622" s="152" t="inlineStr">
        <is>
          <t>05 台新</t>
        </is>
      </c>
      <c r="H622" s="153" t="n">
        <v>6500585</v>
      </c>
      <c r="I622" s="153" t="n">
        <v>4557884</v>
      </c>
      <c r="J622" s="153" t="n">
        <v>688343</v>
      </c>
      <c r="K622" s="153" t="n">
        <v>488036</v>
      </c>
      <c r="L622" s="153" t="n">
        <v>10514.032</v>
      </c>
      <c r="M622" s="11" t="n"/>
      <c r="N622" s="153" t="n">
        <v>457108.979</v>
      </c>
      <c r="O622" s="11" t="n"/>
      <c r="P622" s="11" t="n"/>
      <c r="Q622" s="12" t="n"/>
      <c r="R622" s="11" t="n"/>
      <c r="S622" s="11" t="n"/>
      <c r="T622" s="11" t="n"/>
      <c r="U622" s="11" t="n"/>
      <c r="V622" s="154" t="n"/>
      <c r="W622" s="11" t="n"/>
      <c r="X622" s="13" t="n"/>
      <c r="Y622" s="13" t="n"/>
      <c r="Z622" s="13" t="n"/>
      <c r="AA622" s="13" t="n"/>
      <c r="AB622" s="13" t="n"/>
      <c r="AC622" s="13" t="n"/>
      <c r="AD622" s="13" t="n"/>
      <c r="AE622" s="13" t="n"/>
      <c r="AF622" s="13" t="n"/>
      <c r="AG622" s="13" t="n"/>
      <c r="AH622" s="13" t="n"/>
      <c r="AI622" s="13" t="n"/>
    </row>
    <row r="623">
      <c r="A623" s="9" t="inlineStr">
        <is>
          <t>2023--</t>
        </is>
      </c>
      <c r="B623" s="10">
        <f>LEFT(creditcard[[#This Row],[YYYYMM]],4)</f>
        <v/>
      </c>
      <c r="C623" s="10">
        <f>RIGHT(creditcard[[#This Row],[YYYYMM]],2)</f>
        <v/>
      </c>
      <c r="D623" s="10">
        <f>IF(RIGHT(creditcard[[#This Row],[YYYYMM]],2)="--","--","Q"&amp;ROUNDUP(VALUE(RIGHT(creditcard[[#This Row],[YYYYMM]],2))/3,0))</f>
        <v/>
      </c>
      <c r="E623" s="15" t="n">
        <v>6</v>
      </c>
      <c r="F623" s="155" t="inlineStr">
        <is>
          <t>星展</t>
        </is>
      </c>
      <c r="G623" s="156" t="inlineStr">
        <is>
          <t>06 星展</t>
        </is>
      </c>
      <c r="H623" s="157" t="n">
        <v>3319120</v>
      </c>
      <c r="I623" s="157" t="n">
        <v>2230905</v>
      </c>
      <c r="J623" s="157" t="n">
        <v>124193</v>
      </c>
      <c r="K623" s="157" t="n">
        <v>245260</v>
      </c>
      <c r="L623" s="157" t="n">
        <v>8623.439</v>
      </c>
      <c r="M623" s="16" t="n"/>
      <c r="N623" s="157" t="n">
        <v>132511.665</v>
      </c>
      <c r="O623" s="16" t="n"/>
      <c r="P623" s="16" t="n"/>
      <c r="Q623" s="17" t="n"/>
      <c r="R623" s="16" t="n"/>
      <c r="S623" s="16" t="n"/>
      <c r="T623" s="16" t="n"/>
      <c r="U623" s="16" t="n"/>
      <c r="V623" s="158" t="n"/>
      <c r="W623" s="16" t="n"/>
      <c r="X623" s="18" t="n"/>
      <c r="Y623" s="18" t="n"/>
      <c r="Z623" s="18" t="n"/>
      <c r="AA623" s="18" t="n"/>
      <c r="AB623" s="18" t="n"/>
      <c r="AC623" s="18" t="n"/>
      <c r="AD623" s="18" t="n"/>
      <c r="AE623" s="18" t="n"/>
      <c r="AF623" s="18" t="n"/>
      <c r="AG623" s="18" t="n"/>
      <c r="AH623" s="18" t="n"/>
      <c r="AI623" s="18" t="n"/>
    </row>
    <row r="624">
      <c r="A624" s="9" t="inlineStr">
        <is>
          <t>2023--</t>
        </is>
      </c>
      <c r="B624" s="10">
        <f>LEFT(creditcard[[#This Row],[YYYYMM]],4)</f>
        <v/>
      </c>
      <c r="C624" s="10">
        <f>RIGHT(creditcard[[#This Row],[YYYYMM]],2)</f>
        <v/>
      </c>
      <c r="D624" s="10">
        <f>IF(RIGHT(creditcard[[#This Row],[YYYYMM]],2)="--","--","Q"&amp;ROUNDUP(VALUE(RIGHT(creditcard[[#This Row],[YYYYMM]],2))/3,0))</f>
        <v/>
      </c>
      <c r="E624" s="10" t="n">
        <v>7</v>
      </c>
      <c r="F624" s="151" t="inlineStr">
        <is>
          <t>聯邦</t>
        </is>
      </c>
      <c r="G624" s="152" t="inlineStr">
        <is>
          <t>07 聯邦</t>
        </is>
      </c>
      <c r="H624" s="153" t="n">
        <v>2866981</v>
      </c>
      <c r="I624" s="153" t="n">
        <v>1775992</v>
      </c>
      <c r="J624" s="153" t="n">
        <v>641997</v>
      </c>
      <c r="K624" s="153" t="n">
        <v>206548</v>
      </c>
      <c r="L624" s="153" t="n">
        <v>6172.079</v>
      </c>
      <c r="M624" s="11" t="n"/>
      <c r="N624" s="153" t="n">
        <v>171579.523</v>
      </c>
      <c r="O624" s="11" t="n"/>
      <c r="P624" s="11" t="n"/>
      <c r="Q624" s="12" t="n"/>
      <c r="R624" s="11" t="n"/>
      <c r="S624" s="11" t="n"/>
      <c r="T624" s="11" t="n"/>
      <c r="U624" s="11" t="n"/>
      <c r="V624" s="154" t="n"/>
      <c r="W624" s="11" t="n"/>
      <c r="X624" s="13" t="n"/>
      <c r="Y624" s="13" t="n"/>
      <c r="Z624" s="13" t="n"/>
      <c r="AA624" s="13" t="n"/>
      <c r="AB624" s="13" t="n"/>
      <c r="AC624" s="13" t="n"/>
      <c r="AD624" s="13" t="n"/>
      <c r="AE624" s="13" t="n"/>
      <c r="AF624" s="13" t="n"/>
      <c r="AG624" s="13" t="n"/>
      <c r="AH624" s="13" t="n"/>
      <c r="AI624" s="13" t="n"/>
    </row>
    <row r="625">
      <c r="A625" s="14" t="inlineStr">
        <is>
          <t>2023--</t>
        </is>
      </c>
      <c r="B625" s="15">
        <f>LEFT(creditcard[[#This Row],[YYYYMM]],4)</f>
        <v/>
      </c>
      <c r="C625" s="15">
        <f>RIGHT(creditcard[[#This Row],[YYYYMM]],2)</f>
        <v/>
      </c>
      <c r="D625" s="15">
        <f>IF(RIGHT(creditcard[[#This Row],[YYYYMM]],2)="--","--","Q"&amp;ROUNDUP(VALUE(RIGHT(creditcard[[#This Row],[YYYYMM]],2))/3,0))</f>
        <v/>
      </c>
      <c r="E625" s="15" t="n">
        <v>8</v>
      </c>
      <c r="F625" s="155" t="inlineStr">
        <is>
          <t>永豐</t>
        </is>
      </c>
      <c r="G625" s="156" t="inlineStr">
        <is>
          <t>08 永豐</t>
        </is>
      </c>
      <c r="H625" s="157" t="n">
        <v>2208497</v>
      </c>
      <c r="I625" s="157" t="n">
        <v>1259221</v>
      </c>
      <c r="J625" s="157" t="n">
        <v>191397</v>
      </c>
      <c r="K625" s="157" t="n">
        <v>258283</v>
      </c>
      <c r="L625" s="157" t="n">
        <v>3794.251</v>
      </c>
      <c r="M625" s="16" t="n"/>
      <c r="N625" s="157" t="n">
        <v>136219.627</v>
      </c>
      <c r="O625" s="16" t="n"/>
      <c r="P625" s="16" t="n"/>
      <c r="Q625" s="17" t="n"/>
      <c r="R625" s="16" t="n"/>
      <c r="S625" s="16" t="n"/>
      <c r="T625" s="16" t="n"/>
      <c r="U625" s="16" t="n"/>
      <c r="V625" s="158" t="n"/>
      <c r="W625" s="16" t="n"/>
      <c r="X625" s="18" t="n"/>
      <c r="Y625" s="18" t="n"/>
      <c r="Z625" s="18" t="n"/>
      <c r="AA625" s="18" t="n"/>
      <c r="AB625" s="18" t="n"/>
      <c r="AC625" s="18" t="n"/>
      <c r="AD625" s="18" t="n"/>
      <c r="AE625" s="18" t="n"/>
      <c r="AF625" s="18" t="n"/>
      <c r="AG625" s="18" t="n"/>
      <c r="AH625" s="18" t="n"/>
      <c r="AI625" s="18" t="n"/>
    </row>
    <row r="626">
      <c r="A626" s="9" t="inlineStr">
        <is>
          <t>2023--</t>
        </is>
      </c>
      <c r="B626" s="10">
        <f>LEFT(creditcard[[#This Row],[YYYYMM]],4)</f>
        <v/>
      </c>
      <c r="C626" s="10">
        <f>RIGHT(creditcard[[#This Row],[YYYYMM]],2)</f>
        <v/>
      </c>
      <c r="D626" s="10">
        <f>IF(RIGHT(creditcard[[#This Row],[YYYYMM]],2)="--","--","Q"&amp;ROUNDUP(VALUE(RIGHT(creditcard[[#This Row],[YYYYMM]],2))/3,0))</f>
        <v/>
      </c>
      <c r="E626" s="10" t="n">
        <v>9</v>
      </c>
      <c r="F626" s="151" t="inlineStr">
        <is>
          <t>第一</t>
        </is>
      </c>
      <c r="G626" s="152" t="inlineStr">
        <is>
          <t>09 第一</t>
        </is>
      </c>
      <c r="H626" s="153" t="n">
        <v>1560245</v>
      </c>
      <c r="I626" s="153" t="n">
        <v>945372</v>
      </c>
      <c r="J626" s="153" t="n">
        <v>184950</v>
      </c>
      <c r="K626" s="153" t="n">
        <v>130057</v>
      </c>
      <c r="L626" s="153" t="n">
        <v>1523.827</v>
      </c>
      <c r="M626" s="11" t="n"/>
      <c r="N626" s="153" t="n">
        <v>75467.17200000001</v>
      </c>
      <c r="O626" s="11" t="n"/>
      <c r="P626" s="11" t="n"/>
      <c r="Q626" s="12" t="n"/>
      <c r="R626" s="11" t="n"/>
      <c r="S626" s="11" t="n"/>
      <c r="T626" s="11" t="n"/>
      <c r="U626" s="11" t="n"/>
      <c r="V626" s="154" t="n"/>
      <c r="W626" s="11" t="n"/>
      <c r="X626" s="13" t="n"/>
      <c r="Y626" s="13" t="n"/>
      <c r="Z626" s="13" t="n"/>
      <c r="AA626" s="13" t="n"/>
      <c r="AB626" s="13" t="n"/>
      <c r="AC626" s="13" t="n"/>
      <c r="AD626" s="13" t="n"/>
      <c r="AE626" s="13" t="n"/>
      <c r="AF626" s="13" t="n"/>
      <c r="AG626" s="13" t="n"/>
      <c r="AH626" s="13" t="n"/>
      <c r="AI626" s="13" t="n"/>
    </row>
    <row r="627">
      <c r="A627" s="9" t="inlineStr">
        <is>
          <t>2023--</t>
        </is>
      </c>
      <c r="B627" s="10">
        <f>LEFT(creditcard[[#This Row],[YYYYMM]],4)</f>
        <v/>
      </c>
      <c r="C627" s="10">
        <f>RIGHT(creditcard[[#This Row],[YYYYMM]],2)</f>
        <v/>
      </c>
      <c r="D627" s="10">
        <f>IF(RIGHT(creditcard[[#This Row],[YYYYMM]],2)="--","--","Q"&amp;ROUNDUP(VALUE(RIGHT(creditcard[[#This Row],[YYYYMM]],2))/3,0))</f>
        <v/>
      </c>
      <c r="E627" s="15" t="n">
        <v>10</v>
      </c>
      <c r="F627" s="155" t="inlineStr">
        <is>
          <t>遠東</t>
        </is>
      </c>
      <c r="G627" s="156" t="inlineStr">
        <is>
          <t>10 遠東</t>
        </is>
      </c>
      <c r="H627" s="157" t="n">
        <v>1352688</v>
      </c>
      <c r="I627" s="157" t="n">
        <v>976323</v>
      </c>
      <c r="J627" s="157" t="n">
        <v>121602</v>
      </c>
      <c r="K627" s="157" t="n">
        <v>334318</v>
      </c>
      <c r="L627" s="157" t="n">
        <v>3556.231</v>
      </c>
      <c r="M627" s="16" t="n"/>
      <c r="N627" s="157" t="n">
        <v>53440.914</v>
      </c>
      <c r="O627" s="16" t="n"/>
      <c r="P627" s="16" t="n"/>
      <c r="Q627" s="17" t="n"/>
      <c r="R627" s="16" t="n"/>
      <c r="S627" s="16" t="n"/>
      <c r="T627" s="16" t="n"/>
      <c r="U627" s="16" t="n"/>
      <c r="V627" s="158" t="n"/>
      <c r="W627" s="16" t="n"/>
      <c r="X627" s="18" t="n"/>
      <c r="Y627" s="18" t="n"/>
      <c r="Z627" s="18" t="n"/>
      <c r="AA627" s="18" t="n"/>
      <c r="AB627" s="18" t="n"/>
      <c r="AC627" s="18" t="n"/>
      <c r="AD627" s="18" t="n"/>
      <c r="AE627" s="18" t="n"/>
      <c r="AF627" s="18" t="n"/>
      <c r="AG627" s="18" t="n"/>
      <c r="AH627" s="18" t="n"/>
      <c r="AI627" s="18" t="n"/>
    </row>
    <row r="628">
      <c r="A628" s="14" t="inlineStr">
        <is>
          <t>2023--</t>
        </is>
      </c>
      <c r="B628" s="15">
        <f>LEFT(creditcard[[#This Row],[YYYYMM]],4)</f>
        <v/>
      </c>
      <c r="C628" s="15">
        <f>RIGHT(creditcard[[#This Row],[YYYYMM]],2)</f>
        <v/>
      </c>
      <c r="D628" s="15">
        <f>IF(RIGHT(creditcard[[#This Row],[YYYYMM]],2)="--","--","Q"&amp;ROUNDUP(VALUE(RIGHT(creditcard[[#This Row],[YYYYMM]],2))/3,0))</f>
        <v/>
      </c>
      <c r="E628" s="10" t="n">
        <v>11</v>
      </c>
      <c r="F628" s="151" t="inlineStr">
        <is>
          <t>市場總計</t>
        </is>
      </c>
      <c r="G628" s="152" t="inlineStr">
        <is>
          <t>11 市場總計</t>
        </is>
      </c>
      <c r="H628" s="153" t="n">
        <v>58116021</v>
      </c>
      <c r="I628" s="153" t="n">
        <v>37769198</v>
      </c>
      <c r="J628" s="153" t="n">
        <v>10655543</v>
      </c>
      <c r="K628" s="153" t="n">
        <v>9037048</v>
      </c>
      <c r="L628" s="153" t="n">
        <v>106157.05</v>
      </c>
      <c r="M628" s="11" t="n"/>
      <c r="N628" s="153" t="n">
        <v>4185992.714</v>
      </c>
      <c r="O628" s="11" t="n"/>
      <c r="P628" s="11" t="n"/>
      <c r="Q628" s="12" t="n"/>
      <c r="R628" s="11" t="n"/>
      <c r="S628" s="11" t="n"/>
      <c r="T628" s="11" t="n"/>
      <c r="U628" s="11" t="n"/>
      <c r="V628" s="154" t="n">
        <v>4.62</v>
      </c>
      <c r="W628" s="11">
        <f>SUMIFS(H:H,A:A,creditcard[[#This Row],[YYYYMM]],G:G,creditcard[[#This Row],[Item]])</f>
        <v/>
      </c>
      <c r="X628" s="4">
        <f>IFERROR(SUMIFS(H:H,A:A,creditcard[[#This Row],[YYYYMM]],E:E,"&lt;=5")/creditcard[[#This Row],[市場總計]],"")</f>
        <v/>
      </c>
      <c r="Y628" s="4">
        <f>IFERROR(SUMIFS(H:H,A:A,creditcard[[#This Row],[YYYYMM]],E:E,"&lt;=10")/creditcard[[#This Row],[市場總計]],"")</f>
        <v/>
      </c>
      <c r="Z628" s="4">
        <f>IFERROR(SUMIFS(I:I,A:A,creditcard[[#This Row],[YYYYMM]],E:E,"&lt;=5")/creditcard[[#This Row],[有效卡數]],"")</f>
        <v/>
      </c>
      <c r="AA628" s="4">
        <f>IFERROR(SUMIFS(I:I,A:A,creditcard[[#This Row],[YYYYMM]],E:E,"&lt;=10")/creditcard[[#This Row],[有效卡數]],"")</f>
        <v/>
      </c>
      <c r="AB628" s="4">
        <f>IFERROR(SUMIFS(J:J,A:A,creditcard[[#This Row],[YYYYMM]],E:E,"&lt;=5")/creditcard[[#This Row],[當月發卡數]],"")</f>
        <v/>
      </c>
      <c r="AC628" s="4">
        <f>IFERROR(SUMIFS(J:J,A:A,creditcard[[#This Row],[YYYYMM]],E:E,"&lt;=10")/creditcard[[#This Row],[當月發卡數]],"")</f>
        <v/>
      </c>
      <c r="AD628" s="4">
        <f>IFERROR(SUMIFS(K:K,A:A,creditcard[[#This Row],[YYYYMM]],E:E,"&lt;=5")/creditcard[[#This Row],[當月停卡數]],"")</f>
        <v/>
      </c>
      <c r="AE628" s="4">
        <f>IFERROR(SUMIFS(K:K,A:A,creditcard[[#This Row],[YYYYMM]],E:E,"&lt;=10")/creditcard[[#This Row],[當月停卡數]],"")</f>
        <v/>
      </c>
      <c r="AF628" s="4">
        <f>IFERROR(SUMIFS(L:L,A:A,creditcard[[#This Row],[YYYYMM]],E:E,"&lt;=5")/creditcard[[#This Row],[循環信用餘額]],"")</f>
        <v/>
      </c>
      <c r="AG628" s="4">
        <f>IFERROR(SUMIFS(L:L,A:A,creditcard[[#This Row],[YYYYMM]],E:E,"&lt;=10")/creditcard[[#This Row],[循環信用餘額]],"")</f>
        <v/>
      </c>
      <c r="AH628" s="4">
        <f>IFERROR(SUMIFS(N:N,A:A,creditcard[[#This Row],[YYYYMM]],E:E,"&lt;=5")/creditcard[[#This Row],[當月簽帳金額]],"")</f>
        <v/>
      </c>
      <c r="AI628" s="4">
        <f>IFERROR(SUMIFS(N:N,A:A,creditcard[[#This Row],[YYYYMM]],E:E,"&lt;=10")/creditcard[[#This Row],[當月簽帳金額]],"")</f>
        <v/>
      </c>
    </row>
    <row r="629">
      <c r="A629" s="14" t="n">
        <v>202401</v>
      </c>
      <c r="B629" s="15">
        <f>LEFT(creditcard[[#This Row],[YYYYMM]],4)</f>
        <v/>
      </c>
      <c r="C629" s="15">
        <f>RIGHT(creditcard[[#This Row],[YYYYMM]],2)</f>
        <v/>
      </c>
      <c r="D629" s="15">
        <f>IF(RIGHT(creditcard[[#This Row],[YYYYMM]],2)="--","--","Q"&amp;ROUNDUP(VALUE(RIGHT(creditcard[[#This Row],[YYYYMM]],2))/3,0))</f>
        <v/>
      </c>
      <c r="E629" s="15" t="n">
        <v>1</v>
      </c>
      <c r="F629" s="155" t="inlineStr">
        <is>
          <t>中信</t>
        </is>
      </c>
      <c r="G629" s="156" t="inlineStr">
        <is>
          <t>01 中信</t>
        </is>
      </c>
      <c r="H629" s="157" t="n">
        <v>9104306</v>
      </c>
      <c r="I629" s="157" t="n">
        <v>5787166</v>
      </c>
      <c r="J629" s="157" t="n">
        <v>97753</v>
      </c>
      <c r="K629" s="157" t="n">
        <v>37193</v>
      </c>
      <c r="L629" s="157" t="n">
        <v>16514.969</v>
      </c>
      <c r="M629" s="16" t="n"/>
      <c r="N629" s="157" t="n">
        <v>59474.418</v>
      </c>
      <c r="O629" s="16" t="n"/>
      <c r="P629" s="16" t="n"/>
      <c r="Q629" s="17" t="n"/>
      <c r="R629" s="16" t="n"/>
      <c r="S629" s="16" t="n"/>
      <c r="T629" s="16" t="n"/>
      <c r="U629" s="16" t="n"/>
      <c r="V629" s="158" t="n"/>
      <c r="W629" s="16" t="n"/>
      <c r="X629" s="18" t="n"/>
      <c r="Y629" s="18" t="n"/>
      <c r="Z629" s="18" t="n"/>
      <c r="AA629" s="18" t="n"/>
      <c r="AB629" s="18" t="n"/>
      <c r="AC629" s="18" t="n"/>
      <c r="AD629" s="18" t="n"/>
      <c r="AE629" s="18" t="n"/>
      <c r="AF629" s="18" t="n"/>
      <c r="AG629" s="18" t="n"/>
      <c r="AH629" s="18" t="n"/>
      <c r="AI629" s="18" t="n"/>
    </row>
    <row r="630">
      <c r="A630" s="9" t="n">
        <v>202401</v>
      </c>
      <c r="B630" s="10">
        <f>LEFT(creditcard[[#This Row],[YYYYMM]],4)</f>
        <v/>
      </c>
      <c r="C630" s="10">
        <f>RIGHT(creditcard[[#This Row],[YYYYMM]],2)</f>
        <v/>
      </c>
      <c r="D630" s="10">
        <f>IF(RIGHT(creditcard[[#This Row],[YYYYMM]],2)="--","--","Q"&amp;ROUNDUP(VALUE(RIGHT(creditcard[[#This Row],[YYYYMM]],2))/3,0))</f>
        <v/>
      </c>
      <c r="E630" s="10" t="n">
        <v>2</v>
      </c>
      <c r="F630" s="151" t="inlineStr">
        <is>
          <t>富邦</t>
        </is>
      </c>
      <c r="G630" s="152" t="inlineStr">
        <is>
          <t>02 富邦</t>
        </is>
      </c>
      <c r="H630" s="153" t="n">
        <v>7272793</v>
      </c>
      <c r="I630" s="153" t="n">
        <v>5563109</v>
      </c>
      <c r="J630" s="153" t="n">
        <v>83366</v>
      </c>
      <c r="K630" s="153" t="n">
        <v>25054</v>
      </c>
      <c r="L630" s="153" t="n">
        <v>11153.464</v>
      </c>
      <c r="M630" s="11" t="n"/>
      <c r="N630" s="153" t="n">
        <v>54556.397</v>
      </c>
      <c r="O630" s="11" t="n"/>
      <c r="P630" s="11" t="n"/>
      <c r="Q630" s="12" t="n"/>
      <c r="R630" s="11" t="n"/>
      <c r="S630" s="11" t="n"/>
      <c r="T630" s="11" t="n"/>
      <c r="U630" s="11" t="n"/>
      <c r="V630" s="154" t="n"/>
      <c r="W630" s="11" t="n"/>
      <c r="X630" s="13" t="n"/>
      <c r="Y630" s="13" t="n"/>
      <c r="Z630" s="13" t="n"/>
      <c r="AA630" s="13" t="n"/>
      <c r="AB630" s="13" t="n"/>
      <c r="AC630" s="13" t="n"/>
      <c r="AD630" s="13" t="n"/>
      <c r="AE630" s="13" t="n"/>
      <c r="AF630" s="13" t="n"/>
      <c r="AG630" s="13" t="n"/>
      <c r="AH630" s="13" t="n"/>
      <c r="AI630" s="13" t="n"/>
    </row>
    <row r="631">
      <c r="A631" s="14" t="n">
        <v>202401</v>
      </c>
      <c r="B631" s="15">
        <f>LEFT(creditcard[[#This Row],[YYYYMM]],4)</f>
        <v/>
      </c>
      <c r="C631" s="15">
        <f>RIGHT(creditcard[[#This Row],[YYYYMM]],2)</f>
        <v/>
      </c>
      <c r="D631" s="15">
        <f>IF(RIGHT(creditcard[[#This Row],[YYYYMM]],2)="--","--","Q"&amp;ROUNDUP(VALUE(RIGHT(creditcard[[#This Row],[YYYYMM]],2))/3,0))</f>
        <v/>
      </c>
      <c r="E631" s="15" t="n">
        <v>3</v>
      </c>
      <c r="F631" s="155" t="inlineStr">
        <is>
          <t>國泰</t>
        </is>
      </c>
      <c r="G631" s="156" t="inlineStr">
        <is>
          <t>03 國泰</t>
        </is>
      </c>
      <c r="H631" s="157" t="n">
        <v>7210022</v>
      </c>
      <c r="I631" s="157" t="n">
        <v>4658656</v>
      </c>
      <c r="J631" s="157" t="n">
        <v>49827</v>
      </c>
      <c r="K631" s="157" t="n">
        <v>37519</v>
      </c>
      <c r="L631" s="157" t="n">
        <v>19189.589</v>
      </c>
      <c r="M631" s="16" t="n"/>
      <c r="N631" s="157" t="n">
        <v>60113.702</v>
      </c>
      <c r="O631" s="16" t="n"/>
      <c r="P631" s="16" t="n"/>
      <c r="Q631" s="17" t="n"/>
      <c r="R631" s="16" t="n"/>
      <c r="S631" s="16" t="n"/>
      <c r="T631" s="16" t="n"/>
      <c r="U631" s="16" t="n"/>
      <c r="V631" s="158" t="n"/>
      <c r="W631" s="16" t="n"/>
      <c r="X631" s="18" t="n"/>
      <c r="Y631" s="18" t="n"/>
      <c r="Z631" s="18" t="n"/>
      <c r="AA631" s="18" t="n"/>
      <c r="AB631" s="18" t="n"/>
      <c r="AC631" s="18" t="n"/>
      <c r="AD631" s="18" t="n"/>
      <c r="AE631" s="18" t="n"/>
      <c r="AF631" s="18" t="n"/>
      <c r="AG631" s="18" t="n"/>
      <c r="AH631" s="18" t="n"/>
      <c r="AI631" s="18" t="n"/>
    </row>
    <row r="632">
      <c r="A632" s="9" t="n">
        <v>202401</v>
      </c>
      <c r="B632" s="10">
        <f>LEFT(creditcard[[#This Row],[YYYYMM]],4)</f>
        <v/>
      </c>
      <c r="C632" s="10">
        <f>RIGHT(creditcard[[#This Row],[YYYYMM]],2)</f>
        <v/>
      </c>
      <c r="D632" s="10">
        <f>IF(RIGHT(creditcard[[#This Row],[YYYYMM]],2)="--","--","Q"&amp;ROUNDUP(VALUE(RIGHT(creditcard[[#This Row],[YYYYMM]],2))/3,0))</f>
        <v/>
      </c>
      <c r="E632" s="10" t="n">
        <v>4</v>
      </c>
      <c r="F632" s="151" t="inlineStr">
        <is>
          <t>玉山</t>
        </is>
      </c>
      <c r="G632" s="152" t="inlineStr">
        <is>
          <t>04 玉山</t>
        </is>
      </c>
      <c r="H632" s="153" t="n">
        <v>7227179</v>
      </c>
      <c r="I632" s="153" t="n">
        <v>4826736</v>
      </c>
      <c r="J632" s="153" t="n">
        <v>55987</v>
      </c>
      <c r="K632" s="153" t="n">
        <v>59531</v>
      </c>
      <c r="L632" s="153" t="n">
        <v>13296.816</v>
      </c>
      <c r="M632" s="11" t="n"/>
      <c r="N632" s="153" t="n">
        <v>47055.787</v>
      </c>
      <c r="O632" s="11" t="n"/>
      <c r="P632" s="11" t="n"/>
      <c r="Q632" s="12" t="n"/>
      <c r="R632" s="11" t="n"/>
      <c r="S632" s="11" t="n"/>
      <c r="T632" s="11" t="n"/>
      <c r="U632" s="11" t="n"/>
      <c r="V632" s="154" t="n"/>
      <c r="W632" s="11" t="n"/>
      <c r="X632" s="13" t="n"/>
      <c r="Y632" s="13" t="n"/>
      <c r="Z632" s="13" t="n"/>
      <c r="AA632" s="13" t="n"/>
      <c r="AB632" s="13" t="n"/>
      <c r="AC632" s="13" t="n"/>
      <c r="AD632" s="13" t="n"/>
      <c r="AE632" s="13" t="n"/>
      <c r="AF632" s="13" t="n"/>
      <c r="AG632" s="13" t="n"/>
      <c r="AH632" s="13" t="n"/>
      <c r="AI632" s="13" t="n"/>
    </row>
    <row r="633">
      <c r="A633" s="14" t="n">
        <v>202401</v>
      </c>
      <c r="B633" s="15">
        <f>LEFT(creditcard[[#This Row],[YYYYMM]],4)</f>
        <v/>
      </c>
      <c r="C633" s="15">
        <f>RIGHT(creditcard[[#This Row],[YYYYMM]],2)</f>
        <v/>
      </c>
      <c r="D633" s="15">
        <f>IF(RIGHT(creditcard[[#This Row],[YYYYMM]],2)="--","--","Q"&amp;ROUNDUP(VALUE(RIGHT(creditcard[[#This Row],[YYYYMM]],2))/3,0))</f>
        <v/>
      </c>
      <c r="E633" s="15" t="n">
        <v>5</v>
      </c>
      <c r="F633" s="155" t="inlineStr">
        <is>
          <t>台新</t>
        </is>
      </c>
      <c r="G633" s="156" t="inlineStr">
        <is>
          <t>05 台新</t>
        </is>
      </c>
      <c r="H633" s="157" t="n">
        <v>6500402</v>
      </c>
      <c r="I633" s="157" t="n">
        <v>4596014</v>
      </c>
      <c r="J633" s="157" t="n">
        <v>60384</v>
      </c>
      <c r="K633" s="157" t="n">
        <v>60567</v>
      </c>
      <c r="L633" s="157" t="n">
        <v>10524.667</v>
      </c>
      <c r="M633" s="16" t="n"/>
      <c r="N633" s="157" t="n">
        <v>42771.048</v>
      </c>
      <c r="O633" s="16" t="n"/>
      <c r="P633" s="16" t="n"/>
      <c r="Q633" s="17" t="n"/>
      <c r="R633" s="16" t="n"/>
      <c r="S633" s="16" t="n"/>
      <c r="T633" s="16" t="n"/>
      <c r="U633" s="16" t="n"/>
      <c r="V633" s="158" t="n"/>
      <c r="W633" s="16" t="n"/>
      <c r="X633" s="18" t="n"/>
      <c r="Y633" s="18" t="n"/>
      <c r="Z633" s="18" t="n"/>
      <c r="AA633" s="18" t="n"/>
      <c r="AB633" s="18" t="n"/>
      <c r="AC633" s="18" t="n"/>
      <c r="AD633" s="18" t="n"/>
      <c r="AE633" s="18" t="n"/>
      <c r="AF633" s="18" t="n"/>
      <c r="AG633" s="18" t="n"/>
      <c r="AH633" s="18" t="n"/>
      <c r="AI633" s="18" t="n"/>
    </row>
    <row r="634">
      <c r="A634" s="9" t="n">
        <v>202401</v>
      </c>
      <c r="B634" s="10">
        <f>LEFT(creditcard[[#This Row],[YYYYMM]],4)</f>
        <v/>
      </c>
      <c r="C634" s="10">
        <f>RIGHT(creditcard[[#This Row],[YYYYMM]],2)</f>
        <v/>
      </c>
      <c r="D634" s="10">
        <f>IF(RIGHT(creditcard[[#This Row],[YYYYMM]],2)="--","--","Q"&amp;ROUNDUP(VALUE(RIGHT(creditcard[[#This Row],[YYYYMM]],2))/3,0))</f>
        <v/>
      </c>
      <c r="E634" s="10" t="n">
        <v>6</v>
      </c>
      <c r="F634" s="151" t="inlineStr">
        <is>
          <t>星展</t>
        </is>
      </c>
      <c r="G634" s="152" t="inlineStr">
        <is>
          <t>06 星展</t>
        </is>
      </c>
      <c r="H634" s="153" t="n">
        <v>3840305</v>
      </c>
      <c r="I634" s="153" t="n">
        <v>2122428</v>
      </c>
      <c r="J634" s="153" t="n">
        <v>658473</v>
      </c>
      <c r="K634" s="153" t="n">
        <v>151057</v>
      </c>
      <c r="L634" s="153" t="n">
        <v>8505.093000000001</v>
      </c>
      <c r="M634" s="11" t="n"/>
      <c r="N634" s="153" t="n">
        <v>23505.877</v>
      </c>
      <c r="O634" s="11" t="n"/>
      <c r="P634" s="11" t="n"/>
      <c r="Q634" s="12" t="n"/>
      <c r="R634" s="11" t="n"/>
      <c r="S634" s="11" t="n"/>
      <c r="T634" s="11" t="n"/>
      <c r="U634" s="11" t="n"/>
      <c r="V634" s="154" t="n"/>
      <c r="W634" s="11" t="n"/>
      <c r="X634" s="13" t="n"/>
      <c r="Y634" s="13" t="n"/>
      <c r="Z634" s="13" t="n"/>
      <c r="AA634" s="13" t="n"/>
      <c r="AB634" s="13" t="n"/>
      <c r="AC634" s="13" t="n"/>
      <c r="AD634" s="13" t="n"/>
      <c r="AE634" s="13" t="n"/>
      <c r="AF634" s="13" t="n"/>
      <c r="AG634" s="13" t="n"/>
      <c r="AH634" s="13" t="n"/>
      <c r="AI634" s="13" t="n"/>
    </row>
    <row r="635">
      <c r="A635" s="14" t="n">
        <v>202401</v>
      </c>
      <c r="B635" s="15">
        <f>LEFT(creditcard[[#This Row],[YYYYMM]],4)</f>
        <v/>
      </c>
      <c r="C635" s="15">
        <f>RIGHT(creditcard[[#This Row],[YYYYMM]],2)</f>
        <v/>
      </c>
      <c r="D635" s="15">
        <f>IF(RIGHT(creditcard[[#This Row],[YYYYMM]],2)="--","--","Q"&amp;ROUNDUP(VALUE(RIGHT(creditcard[[#This Row],[YYYYMM]],2))/3,0))</f>
        <v/>
      </c>
      <c r="E635" s="15" t="n">
        <v>7</v>
      </c>
      <c r="F635" s="155" t="inlineStr">
        <is>
          <t>聯邦</t>
        </is>
      </c>
      <c r="G635" s="156" t="inlineStr">
        <is>
          <t>07 聯邦</t>
        </is>
      </c>
      <c r="H635" s="157" t="n">
        <v>2866981</v>
      </c>
      <c r="I635" s="157" t="n">
        <v>1775992</v>
      </c>
      <c r="J635" s="157" t="n">
        <v>41593</v>
      </c>
      <c r="K635" s="157" t="n">
        <v>17094</v>
      </c>
      <c r="L635" s="157" t="n">
        <v>6172.079</v>
      </c>
      <c r="M635" s="16" t="n"/>
      <c r="N635" s="157" t="n">
        <v>16678.253</v>
      </c>
      <c r="O635" s="16" t="n"/>
      <c r="P635" s="16" t="n"/>
      <c r="Q635" s="17" t="n"/>
      <c r="R635" s="16" t="n"/>
      <c r="S635" s="16" t="n"/>
      <c r="T635" s="16" t="n"/>
      <c r="U635" s="16" t="n"/>
      <c r="V635" s="158" t="n"/>
      <c r="W635" s="16" t="n"/>
      <c r="X635" s="18" t="n"/>
      <c r="Y635" s="18" t="n"/>
      <c r="Z635" s="18" t="n"/>
      <c r="AA635" s="18" t="n"/>
      <c r="AB635" s="18" t="n"/>
      <c r="AC635" s="18" t="n"/>
      <c r="AD635" s="18" t="n"/>
      <c r="AE635" s="18" t="n"/>
      <c r="AF635" s="18" t="n"/>
      <c r="AG635" s="18" t="n"/>
      <c r="AH635" s="18" t="n"/>
      <c r="AI635" s="18" t="n"/>
    </row>
    <row r="636">
      <c r="A636" s="9" t="n">
        <v>202401</v>
      </c>
      <c r="B636" s="10">
        <f>LEFT(creditcard[[#This Row],[YYYYMM]],4)</f>
        <v/>
      </c>
      <c r="C636" s="10">
        <f>RIGHT(creditcard[[#This Row],[YYYYMM]],2)</f>
        <v/>
      </c>
      <c r="D636" s="10">
        <f>IF(RIGHT(creditcard[[#This Row],[YYYYMM]],2)="--","--","Q"&amp;ROUNDUP(VALUE(RIGHT(creditcard[[#This Row],[YYYYMM]],2))/3,0))</f>
        <v/>
      </c>
      <c r="E636" s="10" t="n">
        <v>8</v>
      </c>
      <c r="F636" s="151" t="inlineStr">
        <is>
          <t>永豐</t>
        </is>
      </c>
      <c r="G636" s="152" t="inlineStr">
        <is>
          <t>08 永豐</t>
        </is>
      </c>
      <c r="H636" s="153" t="n">
        <v>2217155</v>
      </c>
      <c r="I636" s="153" t="n">
        <v>1265625</v>
      </c>
      <c r="J636" s="153" t="n">
        <v>19643</v>
      </c>
      <c r="K636" s="153" t="n">
        <v>10769</v>
      </c>
      <c r="L636" s="153" t="n">
        <v>3803.923</v>
      </c>
      <c r="M636" s="11" t="n"/>
      <c r="N636" s="153" t="n">
        <v>12451.323</v>
      </c>
      <c r="O636" s="11" t="n"/>
      <c r="P636" s="11" t="n"/>
      <c r="Q636" s="12" t="n"/>
      <c r="R636" s="11" t="n"/>
      <c r="S636" s="11" t="n"/>
      <c r="T636" s="11" t="n"/>
      <c r="U636" s="11" t="n"/>
      <c r="V636" s="154" t="n"/>
      <c r="W636" s="11" t="n"/>
      <c r="X636" s="13" t="n"/>
      <c r="Y636" s="13" t="n"/>
      <c r="Z636" s="13" t="n"/>
      <c r="AA636" s="13" t="n"/>
      <c r="AB636" s="13" t="n"/>
      <c r="AC636" s="13" t="n"/>
      <c r="AD636" s="13" t="n"/>
      <c r="AE636" s="13" t="n"/>
      <c r="AF636" s="13" t="n"/>
      <c r="AG636" s="13" t="n"/>
      <c r="AH636" s="13" t="n"/>
      <c r="AI636" s="13" t="n"/>
    </row>
    <row r="637">
      <c r="A637" s="14" t="n">
        <v>202401</v>
      </c>
      <c r="B637" s="15">
        <f>LEFT(creditcard[[#This Row],[YYYYMM]],4)</f>
        <v/>
      </c>
      <c r="C637" s="15">
        <f>RIGHT(creditcard[[#This Row],[YYYYMM]],2)</f>
        <v/>
      </c>
      <c r="D637" s="15">
        <f>IF(RIGHT(creditcard[[#This Row],[YYYYMM]],2)="--","--","Q"&amp;ROUNDUP(VALUE(RIGHT(creditcard[[#This Row],[YYYYMM]],2))/3,0))</f>
        <v/>
      </c>
      <c r="E637" s="15" t="n">
        <v>9</v>
      </c>
      <c r="F637" s="155" t="inlineStr">
        <is>
          <t>第一</t>
        </is>
      </c>
      <c r="G637" s="156" t="inlineStr">
        <is>
          <t>09 第一</t>
        </is>
      </c>
      <c r="H637" s="157" t="n">
        <v>1568718</v>
      </c>
      <c r="I637" s="157" t="n">
        <v>945549</v>
      </c>
      <c r="J637" s="157" t="n">
        <v>18592</v>
      </c>
      <c r="K637" s="157" t="n">
        <v>10594</v>
      </c>
      <c r="L637" s="157" t="n">
        <v>1480.418</v>
      </c>
      <c r="M637" s="16" t="n"/>
      <c r="N637" s="157" t="n">
        <v>7052.008</v>
      </c>
      <c r="O637" s="16" t="n"/>
      <c r="P637" s="16" t="n"/>
      <c r="Q637" s="17" t="n"/>
      <c r="R637" s="16" t="n"/>
      <c r="S637" s="16" t="n"/>
      <c r="T637" s="16" t="n"/>
      <c r="U637" s="16" t="n"/>
      <c r="V637" s="158" t="n"/>
      <c r="W637" s="16" t="n"/>
      <c r="X637" s="18" t="n"/>
      <c r="Y637" s="18" t="n"/>
      <c r="Z637" s="18" t="n"/>
      <c r="AA637" s="18" t="n"/>
      <c r="AB637" s="18" t="n"/>
      <c r="AC637" s="18" t="n"/>
      <c r="AD637" s="18" t="n"/>
      <c r="AE637" s="18" t="n"/>
      <c r="AF637" s="18" t="n"/>
      <c r="AG637" s="18" t="n"/>
      <c r="AH637" s="18" t="n"/>
      <c r="AI637" s="18" t="n"/>
    </row>
    <row r="638">
      <c r="A638" s="9" t="n">
        <v>202401</v>
      </c>
      <c r="B638" s="10">
        <f>LEFT(creditcard[[#This Row],[YYYYMM]],4)</f>
        <v/>
      </c>
      <c r="C638" s="10">
        <f>RIGHT(creditcard[[#This Row],[YYYYMM]],2)</f>
        <v/>
      </c>
      <c r="D638" s="10">
        <f>IF(RIGHT(creditcard[[#This Row],[YYYYMM]],2)="--","--","Q"&amp;ROUNDUP(VALUE(RIGHT(creditcard[[#This Row],[YYYYMM]],2))/3,0))</f>
        <v/>
      </c>
      <c r="E638" s="10" t="n">
        <v>10</v>
      </c>
      <c r="F638" s="151" t="inlineStr">
        <is>
          <t>遠東</t>
        </is>
      </c>
      <c r="G638" s="152" t="inlineStr">
        <is>
          <t>10 遠東</t>
        </is>
      </c>
      <c r="H638" s="153" t="n">
        <v>1353549</v>
      </c>
      <c r="I638" s="153" t="n">
        <v>974331</v>
      </c>
      <c r="J638" s="153" t="n">
        <v>7661</v>
      </c>
      <c r="K638" s="153" t="n">
        <v>6935</v>
      </c>
      <c r="L638" s="153" t="n">
        <v>3455.246</v>
      </c>
      <c r="M638" s="11" t="n"/>
      <c r="N638" s="153" t="n">
        <v>4750.517</v>
      </c>
      <c r="O638" s="11" t="n"/>
      <c r="P638" s="11" t="n"/>
      <c r="Q638" s="12" t="n"/>
      <c r="R638" s="11" t="n"/>
      <c r="S638" s="11" t="n"/>
      <c r="T638" s="11" t="n"/>
      <c r="U638" s="11" t="n"/>
      <c r="V638" s="154" t="n"/>
      <c r="W638" s="11" t="n"/>
      <c r="X638" s="13" t="n"/>
      <c r="Y638" s="13" t="n"/>
      <c r="Z638" s="13" t="n"/>
      <c r="AA638" s="13" t="n"/>
      <c r="AB638" s="13" t="n"/>
      <c r="AC638" s="13" t="n"/>
      <c r="AD638" s="13" t="n"/>
      <c r="AE638" s="13" t="n"/>
      <c r="AF638" s="13" t="n"/>
      <c r="AG638" s="13" t="n"/>
      <c r="AH638" s="13" t="n"/>
      <c r="AI638" s="13" t="n"/>
    </row>
    <row r="639">
      <c r="A639" s="14" t="n">
        <v>202401</v>
      </c>
      <c r="B639" s="15">
        <f>LEFT(creditcard[[#This Row],[YYYYMM]],4)</f>
        <v/>
      </c>
      <c r="C639" s="15">
        <f>RIGHT(creditcard[[#This Row],[YYYYMM]],2)</f>
        <v/>
      </c>
      <c r="D639" s="15">
        <f>IF(RIGHT(creditcard[[#This Row],[YYYYMM]],2)="--","--","Q"&amp;ROUNDUP(VALUE(RIGHT(creditcard[[#This Row],[YYYYMM]],2))/3,0))</f>
        <v/>
      </c>
      <c r="E639" s="15" t="n">
        <v>11</v>
      </c>
      <c r="F639" s="155" t="inlineStr">
        <is>
          <t>市場總計</t>
        </is>
      </c>
      <c r="G639" s="156" t="inlineStr">
        <is>
          <t>11 市場總計</t>
        </is>
      </c>
      <c r="H639" s="157" t="n">
        <v>58799464</v>
      </c>
      <c r="I639" s="157" t="n">
        <v>37887426</v>
      </c>
      <c r="J639" s="157" t="n">
        <v>1185495</v>
      </c>
      <c r="K639" s="157" t="n">
        <v>522168</v>
      </c>
      <c r="L639" s="157" t="n">
        <v>106507.015</v>
      </c>
      <c r="M639" s="16" t="n"/>
      <c r="N639" s="157" t="n">
        <v>385195.508</v>
      </c>
      <c r="O639" s="16" t="n"/>
      <c r="P639" s="16" t="n"/>
      <c r="Q639" s="17" t="n"/>
      <c r="R639" s="16" t="n"/>
      <c r="S639" s="16" t="n"/>
      <c r="T639" s="16" t="n"/>
      <c r="U639" s="16" t="n"/>
      <c r="V639" s="158" t="n">
        <v>4.67</v>
      </c>
      <c r="W639" s="16">
        <f>SUMIFS(H:H,A:A,creditcard[[#This Row],[YYYYMM]],G:G,creditcard[[#This Row],[Item]])</f>
        <v/>
      </c>
      <c r="X639" s="4">
        <f>IFERROR(SUMIFS(H:H,A:A,creditcard[[#This Row],[YYYYMM]],E:E,"&lt;=5")/creditcard[[#This Row],[市場總計]],"")</f>
        <v/>
      </c>
      <c r="Y639" s="4">
        <f>IFERROR(SUMIFS(H:H,A:A,creditcard[[#This Row],[YYYYMM]],E:E,"&lt;=10")/creditcard[[#This Row],[市場總計]],"")</f>
        <v/>
      </c>
      <c r="Z639" s="4">
        <f>IFERROR(SUMIFS(I:I,A:A,creditcard[[#This Row],[YYYYMM]],E:E,"&lt;=5")/creditcard[[#This Row],[有效卡數]],"")</f>
        <v/>
      </c>
      <c r="AA639" s="4">
        <f>IFERROR(SUMIFS(I:I,A:A,creditcard[[#This Row],[YYYYMM]],E:E,"&lt;=10")/creditcard[[#This Row],[有效卡數]],"")</f>
        <v/>
      </c>
      <c r="AB639" s="4">
        <f>IFERROR(SUMIFS(J:J,A:A,creditcard[[#This Row],[YYYYMM]],E:E,"&lt;=5")/creditcard[[#This Row],[當月發卡數]],"")</f>
        <v/>
      </c>
      <c r="AC639" s="4">
        <f>IFERROR(SUMIFS(J:J,A:A,creditcard[[#This Row],[YYYYMM]],E:E,"&lt;=10")/creditcard[[#This Row],[當月發卡數]],"")</f>
        <v/>
      </c>
      <c r="AD639" s="4">
        <f>IFERROR(SUMIFS(K:K,A:A,creditcard[[#This Row],[YYYYMM]],E:E,"&lt;=5")/creditcard[[#This Row],[當月停卡數]],"")</f>
        <v/>
      </c>
      <c r="AE639" s="4">
        <f>IFERROR(SUMIFS(K:K,A:A,creditcard[[#This Row],[YYYYMM]],E:E,"&lt;=10")/creditcard[[#This Row],[當月停卡數]],"")</f>
        <v/>
      </c>
      <c r="AF639" s="4">
        <f>IFERROR(SUMIFS(L:L,A:A,creditcard[[#This Row],[YYYYMM]],E:E,"&lt;=5")/creditcard[[#This Row],[循環信用餘額]],"")</f>
        <v/>
      </c>
      <c r="AG639" s="4">
        <f>IFERROR(SUMIFS(L:L,A:A,creditcard[[#This Row],[YYYYMM]],E:E,"&lt;=10")/creditcard[[#This Row],[循環信用餘額]],"")</f>
        <v/>
      </c>
      <c r="AH639" s="4">
        <f>IFERROR(SUMIFS(N:N,A:A,creditcard[[#This Row],[YYYYMM]],E:E,"&lt;=5")/creditcard[[#This Row],[當月簽帳金額]],"")</f>
        <v/>
      </c>
      <c r="AI639" s="4">
        <f>IFERROR(SUMIFS(N:N,A:A,creditcard[[#This Row],[YYYYMM]],E:E,"&lt;=10")/creditcard[[#This Row],[當月簽帳金額]],"")</f>
        <v/>
      </c>
    </row>
    <row r="640">
      <c r="A640" s="9" t="n">
        <v>202402</v>
      </c>
      <c r="B640" s="10">
        <f>LEFT(creditcard[[#This Row],[YYYYMM]],4)</f>
        <v/>
      </c>
      <c r="C640" s="10">
        <f>RIGHT(creditcard[[#This Row],[YYYYMM]],2)</f>
        <v/>
      </c>
      <c r="D640" s="10">
        <f>IF(RIGHT(creditcard[[#This Row],[YYYYMM]],2)="--","--","Q"&amp;ROUNDUP(VALUE(RIGHT(creditcard[[#This Row],[YYYYMM]],2))/3,0))</f>
        <v/>
      </c>
      <c r="E640" s="10" t="n">
        <v>1</v>
      </c>
      <c r="F640" s="151" t="inlineStr">
        <is>
          <t>中信</t>
        </is>
      </c>
      <c r="G640" s="152" t="inlineStr">
        <is>
          <t>01 中信</t>
        </is>
      </c>
      <c r="H640" s="153" t="n">
        <v>9163099</v>
      </c>
      <c r="I640" s="153" t="n">
        <v>5809849</v>
      </c>
      <c r="J640" s="153" t="n">
        <v>72034</v>
      </c>
      <c r="K640" s="153" t="n">
        <v>36580</v>
      </c>
      <c r="L640" s="153" t="n">
        <v>16396.791</v>
      </c>
      <c r="M640" s="11" t="n"/>
      <c r="N640" s="153" t="n">
        <v>53370.095</v>
      </c>
      <c r="O640" s="11" t="n"/>
      <c r="P640" s="11" t="n"/>
      <c r="Q640" s="12" t="n"/>
      <c r="R640" s="11" t="n"/>
      <c r="S640" s="11" t="n"/>
      <c r="T640" s="11" t="n"/>
      <c r="U640" s="11" t="n"/>
      <c r="V640" s="154" t="n"/>
      <c r="W640" s="11" t="n"/>
      <c r="X640" s="13" t="n"/>
      <c r="Y640" s="13" t="n"/>
      <c r="Z640" s="13" t="n"/>
      <c r="AA640" s="13" t="n"/>
      <c r="AB640" s="13" t="n"/>
      <c r="AC640" s="13" t="n"/>
      <c r="AD640" s="13" t="n"/>
      <c r="AE640" s="13" t="n"/>
      <c r="AF640" s="13" t="n"/>
      <c r="AG640" s="13" t="n"/>
      <c r="AH640" s="13" t="n"/>
      <c r="AI640" s="13" t="n"/>
    </row>
    <row r="641">
      <c r="A641" s="14" t="n">
        <v>202402</v>
      </c>
      <c r="B641" s="15">
        <f>LEFT(creditcard[[#This Row],[YYYYMM]],4)</f>
        <v/>
      </c>
      <c r="C641" s="15">
        <f>RIGHT(creditcard[[#This Row],[YYYYMM]],2)</f>
        <v/>
      </c>
      <c r="D641" s="15">
        <f>IF(RIGHT(creditcard[[#This Row],[YYYYMM]],2)="--","--","Q"&amp;ROUNDUP(VALUE(RIGHT(creditcard[[#This Row],[YYYYMM]],2))/3,0))</f>
        <v/>
      </c>
      <c r="E641" s="15" t="n">
        <v>2</v>
      </c>
      <c r="F641" s="155" t="inlineStr">
        <is>
          <t>富邦</t>
        </is>
      </c>
      <c r="G641" s="156" t="inlineStr">
        <is>
          <t>02 富邦</t>
        </is>
      </c>
      <c r="H641" s="157" t="n">
        <v>7311101</v>
      </c>
      <c r="I641" s="157" t="n">
        <v>5580767</v>
      </c>
      <c r="J641" s="157" t="n">
        <v>57859</v>
      </c>
      <c r="K641" s="157" t="n">
        <v>19551</v>
      </c>
      <c r="L641" s="157" t="n">
        <v>9310.986000000001</v>
      </c>
      <c r="M641" s="16" t="n"/>
      <c r="N641" s="157" t="n">
        <v>42580.2</v>
      </c>
      <c r="O641" s="16" t="n"/>
      <c r="P641" s="16" t="n"/>
      <c r="Q641" s="17" t="n"/>
      <c r="R641" s="16" t="n"/>
      <c r="S641" s="16" t="n"/>
      <c r="T641" s="16" t="n"/>
      <c r="U641" s="16" t="n"/>
      <c r="V641" s="158" t="n"/>
      <c r="W641" s="16" t="n"/>
      <c r="X641" s="18" t="n"/>
      <c r="Y641" s="18" t="n"/>
      <c r="Z641" s="18" t="n"/>
      <c r="AA641" s="18" t="n"/>
      <c r="AB641" s="18" t="n"/>
      <c r="AC641" s="18" t="n"/>
      <c r="AD641" s="18" t="n"/>
      <c r="AE641" s="18" t="n"/>
      <c r="AF641" s="18" t="n"/>
      <c r="AG641" s="18" t="n"/>
      <c r="AH641" s="18" t="n"/>
      <c r="AI641" s="18" t="n"/>
    </row>
    <row r="642">
      <c r="A642" s="9" t="n">
        <v>202402</v>
      </c>
      <c r="B642" s="10">
        <f>LEFT(creditcard[[#This Row],[YYYYMM]],4)</f>
        <v/>
      </c>
      <c r="C642" s="10">
        <f>RIGHT(creditcard[[#This Row],[YYYYMM]],2)</f>
        <v/>
      </c>
      <c r="D642" s="10">
        <f>IF(RIGHT(creditcard[[#This Row],[YYYYMM]],2)="--","--","Q"&amp;ROUNDUP(VALUE(RIGHT(creditcard[[#This Row],[YYYYMM]],2))/3,0))</f>
        <v/>
      </c>
      <c r="E642" s="10" t="n">
        <v>3</v>
      </c>
      <c r="F642" s="151" t="inlineStr">
        <is>
          <t>國泰</t>
        </is>
      </c>
      <c r="G642" s="152" t="inlineStr">
        <is>
          <t>03 國泰</t>
        </is>
      </c>
      <c r="H642" s="153" t="n">
        <v>7222583</v>
      </c>
      <c r="I642" s="153" t="n">
        <v>4663895</v>
      </c>
      <c r="J642" s="153" t="n">
        <v>39698</v>
      </c>
      <c r="K642" s="153" t="n">
        <v>27137</v>
      </c>
      <c r="L642" s="153" t="n">
        <v>17347.2</v>
      </c>
      <c r="M642" s="11" t="n"/>
      <c r="N642" s="153" t="n">
        <v>50000.91</v>
      </c>
      <c r="O642" s="11" t="n"/>
      <c r="P642" s="11" t="n"/>
      <c r="Q642" s="12" t="n"/>
      <c r="R642" s="11" t="n"/>
      <c r="S642" s="11" t="n"/>
      <c r="T642" s="11" t="n"/>
      <c r="U642" s="11" t="n"/>
      <c r="V642" s="154" t="n"/>
      <c r="W642" s="11" t="n"/>
      <c r="X642" s="13" t="n"/>
      <c r="Y642" s="13" t="n"/>
      <c r="Z642" s="13" t="n"/>
      <c r="AA642" s="13" t="n"/>
      <c r="AB642" s="13" t="n"/>
      <c r="AC642" s="13" t="n"/>
      <c r="AD642" s="13" t="n"/>
      <c r="AE642" s="13" t="n"/>
      <c r="AF642" s="13" t="n"/>
      <c r="AG642" s="13" t="n"/>
      <c r="AH642" s="13" t="n"/>
      <c r="AI642" s="13" t="n"/>
    </row>
    <row r="643">
      <c r="A643" s="14" t="n">
        <v>202402</v>
      </c>
      <c r="B643" s="15">
        <f>LEFT(creditcard[[#This Row],[YYYYMM]],4)</f>
        <v/>
      </c>
      <c r="C643" s="15">
        <f>RIGHT(creditcard[[#This Row],[YYYYMM]],2)</f>
        <v/>
      </c>
      <c r="D643" s="15">
        <f>IF(RIGHT(creditcard[[#This Row],[YYYYMM]],2)="--","--","Q"&amp;ROUNDUP(VALUE(RIGHT(creditcard[[#This Row],[YYYYMM]],2))/3,0))</f>
        <v/>
      </c>
      <c r="E643" s="15" t="n">
        <v>4</v>
      </c>
      <c r="F643" s="155" t="inlineStr">
        <is>
          <t>玉山</t>
        </is>
      </c>
      <c r="G643" s="156" t="inlineStr">
        <is>
          <t>04 玉山</t>
        </is>
      </c>
      <c r="H643" s="157" t="n">
        <v>7231571</v>
      </c>
      <c r="I643" s="157" t="n">
        <v>4814216</v>
      </c>
      <c r="J643" s="157" t="n">
        <v>61083</v>
      </c>
      <c r="K643" s="157" t="n">
        <v>56691</v>
      </c>
      <c r="L643" s="157" t="n">
        <v>13145.624</v>
      </c>
      <c r="M643" s="16" t="n"/>
      <c r="N643" s="157" t="n">
        <v>40695.584</v>
      </c>
      <c r="O643" s="16" t="n"/>
      <c r="P643" s="16" t="n"/>
      <c r="Q643" s="17" t="n"/>
      <c r="R643" s="16" t="n"/>
      <c r="S643" s="16" t="n"/>
      <c r="T643" s="16" t="n"/>
      <c r="U643" s="16" t="n"/>
      <c r="V643" s="158" t="n"/>
      <c r="W643" s="16" t="n"/>
      <c r="X643" s="18" t="n"/>
      <c r="Y643" s="18" t="n"/>
      <c r="Z643" s="18" t="n"/>
      <c r="AA643" s="18" t="n"/>
      <c r="AB643" s="18" t="n"/>
      <c r="AC643" s="18" t="n"/>
      <c r="AD643" s="18" t="n"/>
      <c r="AE643" s="18" t="n"/>
      <c r="AF643" s="18" t="n"/>
      <c r="AG643" s="18" t="n"/>
      <c r="AH643" s="18" t="n"/>
      <c r="AI643" s="18" t="n"/>
    </row>
    <row r="644">
      <c r="A644" s="9" t="n">
        <v>202402</v>
      </c>
      <c r="B644" s="10">
        <f>LEFT(creditcard[[#This Row],[YYYYMM]],4)</f>
        <v/>
      </c>
      <c r="C644" s="10">
        <f>RIGHT(creditcard[[#This Row],[YYYYMM]],2)</f>
        <v/>
      </c>
      <c r="D644" s="10">
        <f>IF(RIGHT(creditcard[[#This Row],[YYYYMM]],2)="--","--","Q"&amp;ROUNDUP(VALUE(RIGHT(creditcard[[#This Row],[YYYYMM]],2))/3,0))</f>
        <v/>
      </c>
      <c r="E644" s="10" t="n">
        <v>5</v>
      </c>
      <c r="F644" s="151" t="inlineStr">
        <is>
          <t>台新</t>
        </is>
      </c>
      <c r="G644" s="152" t="inlineStr">
        <is>
          <t>05 台新</t>
        </is>
      </c>
      <c r="H644" s="153" t="n">
        <v>6504420</v>
      </c>
      <c r="I644" s="153" t="n">
        <v>4602442</v>
      </c>
      <c r="J644" s="153" t="n">
        <v>47873</v>
      </c>
      <c r="K644" s="153" t="n">
        <v>15550</v>
      </c>
      <c r="L644" s="153" t="n">
        <v>10490.463</v>
      </c>
      <c r="M644" s="11" t="n"/>
      <c r="N644" s="153" t="n">
        <v>36870.328</v>
      </c>
      <c r="O644" s="11" t="n"/>
      <c r="P644" s="11" t="n"/>
      <c r="Q644" s="12" t="n"/>
      <c r="R644" s="11" t="n"/>
      <c r="S644" s="11" t="n"/>
      <c r="T644" s="11" t="n"/>
      <c r="U644" s="11" t="n"/>
      <c r="V644" s="154" t="n"/>
      <c r="W644" s="11" t="n"/>
      <c r="X644" s="13" t="n"/>
      <c r="Y644" s="13" t="n"/>
      <c r="Z644" s="13" t="n"/>
      <c r="AA644" s="13" t="n"/>
      <c r="AB644" s="13" t="n"/>
      <c r="AC644" s="13" t="n"/>
      <c r="AD644" s="13" t="n"/>
      <c r="AE644" s="13" t="n"/>
      <c r="AF644" s="13" t="n"/>
      <c r="AG644" s="13" t="n"/>
      <c r="AH644" s="13" t="n"/>
      <c r="AI644" s="13" t="n"/>
    </row>
    <row r="645">
      <c r="A645" s="14" t="n">
        <v>202402</v>
      </c>
      <c r="B645" s="15">
        <f>LEFT(creditcard[[#This Row],[YYYYMM]],4)</f>
        <v/>
      </c>
      <c r="C645" s="15">
        <f>RIGHT(creditcard[[#This Row],[YYYYMM]],2)</f>
        <v/>
      </c>
      <c r="D645" s="15">
        <f>IF(RIGHT(creditcard[[#This Row],[YYYYMM]],2)="--","--","Q"&amp;ROUNDUP(VALUE(RIGHT(creditcard[[#This Row],[YYYYMM]],2))/3,0))</f>
        <v/>
      </c>
      <c r="E645" s="15" t="n">
        <v>6</v>
      </c>
      <c r="F645" s="155" t="inlineStr">
        <is>
          <t>星展</t>
        </is>
      </c>
      <c r="G645" s="156" t="inlineStr">
        <is>
          <t>06 星展</t>
        </is>
      </c>
      <c r="H645" s="157" t="n">
        <v>3766185</v>
      </c>
      <c r="I645" s="157" t="n">
        <v>2126704</v>
      </c>
      <c r="J645" s="157" t="n">
        <v>178847</v>
      </c>
      <c r="K645" s="157" t="n">
        <v>266862</v>
      </c>
      <c r="L645" s="157" t="n">
        <v>8504.503000000001</v>
      </c>
      <c r="M645" s="16" t="n"/>
      <c r="N645" s="157" t="n">
        <v>19113.946</v>
      </c>
      <c r="O645" s="16" t="n"/>
      <c r="P645" s="16" t="n"/>
      <c r="Q645" s="17" t="n"/>
      <c r="R645" s="16" t="n"/>
      <c r="S645" s="16" t="n"/>
      <c r="T645" s="16" t="n"/>
      <c r="U645" s="16" t="n"/>
      <c r="V645" s="158" t="n"/>
      <c r="W645" s="16" t="n"/>
      <c r="X645" s="18" t="n"/>
      <c r="Y645" s="18" t="n"/>
      <c r="Z645" s="18" t="n"/>
      <c r="AA645" s="18" t="n"/>
      <c r="AB645" s="18" t="n"/>
      <c r="AC645" s="18" t="n"/>
      <c r="AD645" s="18" t="n"/>
      <c r="AE645" s="18" t="n"/>
      <c r="AF645" s="18" t="n"/>
      <c r="AG645" s="18" t="n"/>
      <c r="AH645" s="18" t="n"/>
      <c r="AI645" s="18" t="n"/>
    </row>
    <row r="646">
      <c r="A646" s="9" t="n">
        <v>202402</v>
      </c>
      <c r="B646" s="10">
        <f>LEFT(creditcard[[#This Row],[YYYYMM]],4)</f>
        <v/>
      </c>
      <c r="C646" s="10">
        <f>RIGHT(creditcard[[#This Row],[YYYYMM]],2)</f>
        <v/>
      </c>
      <c r="D646" s="10">
        <f>IF(RIGHT(creditcard[[#This Row],[YYYYMM]],2)="--","--","Q"&amp;ROUNDUP(VALUE(RIGHT(creditcard[[#This Row],[YYYYMM]],2))/3,0))</f>
        <v/>
      </c>
      <c r="E646" s="10" t="n">
        <v>7</v>
      </c>
      <c r="F646" s="151" t="inlineStr">
        <is>
          <t>聯邦</t>
        </is>
      </c>
      <c r="G646" s="152" t="inlineStr">
        <is>
          <t>07 聯邦</t>
        </is>
      </c>
      <c r="H646" s="153" t="n">
        <v>2930343</v>
      </c>
      <c r="I646" s="153" t="n">
        <v>1824889</v>
      </c>
      <c r="J646" s="153" t="n">
        <v>44252</v>
      </c>
      <c r="K646" s="153" t="n">
        <v>43855</v>
      </c>
      <c r="L646" s="153" t="n">
        <v>6116.619</v>
      </c>
      <c r="M646" s="11" t="n"/>
      <c r="N646" s="153" t="n">
        <v>15251.488</v>
      </c>
      <c r="O646" s="11" t="n"/>
      <c r="P646" s="11" t="n"/>
      <c r="Q646" s="12" t="n"/>
      <c r="R646" s="11" t="n"/>
      <c r="S646" s="11" t="n"/>
      <c r="T646" s="11" t="n"/>
      <c r="U646" s="11" t="n"/>
      <c r="V646" s="154" t="n"/>
      <c r="W646" s="11" t="n"/>
      <c r="X646" s="13" t="n"/>
      <c r="Y646" s="13" t="n"/>
      <c r="Z646" s="13" t="n"/>
      <c r="AA646" s="13" t="n"/>
      <c r="AB646" s="13" t="n"/>
      <c r="AC646" s="13" t="n"/>
      <c r="AD646" s="13" t="n"/>
      <c r="AE646" s="13" t="n"/>
      <c r="AF646" s="13" t="n"/>
      <c r="AG646" s="13" t="n"/>
      <c r="AH646" s="13" t="n"/>
      <c r="AI646" s="13" t="n"/>
    </row>
    <row r="647">
      <c r="A647" s="14" t="n">
        <v>202402</v>
      </c>
      <c r="B647" s="15">
        <f>LEFT(creditcard[[#This Row],[YYYYMM]],4)</f>
        <v/>
      </c>
      <c r="C647" s="15">
        <f>RIGHT(creditcard[[#This Row],[YYYYMM]],2)</f>
        <v/>
      </c>
      <c r="D647" s="15">
        <f>IF(RIGHT(creditcard[[#This Row],[YYYYMM]],2)="--","--","Q"&amp;ROUNDUP(VALUE(RIGHT(creditcard[[#This Row],[YYYYMM]],2))/3,0))</f>
        <v/>
      </c>
      <c r="E647" s="15" t="n">
        <v>8</v>
      </c>
      <c r="F647" s="155" t="inlineStr">
        <is>
          <t>永豐</t>
        </is>
      </c>
      <c r="G647" s="156" t="inlineStr">
        <is>
          <t>08 永豐</t>
        </is>
      </c>
      <c r="H647" s="157" t="n">
        <v>2222178</v>
      </c>
      <c r="I647" s="157" t="n">
        <v>1261613</v>
      </c>
      <c r="J647" s="157" t="n">
        <v>11839</v>
      </c>
      <c r="K647" s="157" t="n">
        <v>6653</v>
      </c>
      <c r="L647" s="157" t="n">
        <v>3781.39</v>
      </c>
      <c r="M647" s="16" t="n"/>
      <c r="N647" s="157" t="n">
        <v>10210.409</v>
      </c>
      <c r="O647" s="16" t="n"/>
      <c r="P647" s="16" t="n"/>
      <c r="Q647" s="17" t="n"/>
      <c r="R647" s="16" t="n"/>
      <c r="S647" s="16" t="n"/>
      <c r="T647" s="16" t="n"/>
      <c r="U647" s="16" t="n"/>
      <c r="V647" s="158" t="n"/>
      <c r="W647" s="16" t="n"/>
      <c r="X647" s="18" t="n"/>
      <c r="Y647" s="18" t="n"/>
      <c r="Z647" s="18" t="n"/>
      <c r="AA647" s="18" t="n"/>
      <c r="AB647" s="18" t="n"/>
      <c r="AC647" s="18" t="n"/>
      <c r="AD647" s="18" t="n"/>
      <c r="AE647" s="18" t="n"/>
      <c r="AF647" s="18" t="n"/>
      <c r="AG647" s="18" t="n"/>
      <c r="AH647" s="18" t="n"/>
      <c r="AI647" s="18" t="n"/>
    </row>
    <row r="648">
      <c r="A648" s="9" t="n">
        <v>202402</v>
      </c>
      <c r="B648" s="10">
        <f>LEFT(creditcard[[#This Row],[YYYYMM]],4)</f>
        <v/>
      </c>
      <c r="C648" s="10">
        <f>RIGHT(creditcard[[#This Row],[YYYYMM]],2)</f>
        <v/>
      </c>
      <c r="D648" s="10">
        <f>IF(RIGHT(creditcard[[#This Row],[YYYYMM]],2)="--","--","Q"&amp;ROUNDUP(VALUE(RIGHT(creditcard[[#This Row],[YYYYMM]],2))/3,0))</f>
        <v/>
      </c>
      <c r="E648" s="10" t="n">
        <v>9</v>
      </c>
      <c r="F648" s="151" t="inlineStr">
        <is>
          <t>第一</t>
        </is>
      </c>
      <c r="G648" s="152" t="inlineStr">
        <is>
          <t>09 第一</t>
        </is>
      </c>
      <c r="H648" s="153" t="n">
        <v>1574030</v>
      </c>
      <c r="I648" s="153" t="n">
        <v>951249</v>
      </c>
      <c r="J648" s="153" t="n">
        <v>16126</v>
      </c>
      <c r="K648" s="153" t="n">
        <v>10888</v>
      </c>
      <c r="L648" s="153" t="n">
        <v>1385.85</v>
      </c>
      <c r="M648" s="11" t="n"/>
      <c r="N648" s="153" t="n">
        <v>5887.991</v>
      </c>
      <c r="O648" s="11" t="n"/>
      <c r="P648" s="11" t="n"/>
      <c r="Q648" s="12" t="n"/>
      <c r="R648" s="11" t="n"/>
      <c r="S648" s="11" t="n"/>
      <c r="T648" s="11" t="n"/>
      <c r="U648" s="11" t="n"/>
      <c r="V648" s="154" t="n"/>
      <c r="W648" s="11" t="n"/>
      <c r="X648" s="13" t="n"/>
      <c r="Y648" s="13" t="n"/>
      <c r="Z648" s="13" t="n"/>
      <c r="AA648" s="13" t="n"/>
      <c r="AB648" s="13" t="n"/>
      <c r="AC648" s="13" t="n"/>
      <c r="AD648" s="13" t="n"/>
      <c r="AE648" s="13" t="n"/>
      <c r="AF648" s="13" t="n"/>
      <c r="AG648" s="13" t="n"/>
      <c r="AH648" s="13" t="n"/>
      <c r="AI648" s="13" t="n"/>
    </row>
    <row r="649">
      <c r="A649" s="14" t="n">
        <v>202402</v>
      </c>
      <c r="B649" s="15">
        <f>LEFT(creditcard[[#This Row],[YYYYMM]],4)</f>
        <v/>
      </c>
      <c r="C649" s="15">
        <f>RIGHT(creditcard[[#This Row],[YYYYMM]],2)</f>
        <v/>
      </c>
      <c r="D649" s="15">
        <f>IF(RIGHT(creditcard[[#This Row],[YYYYMM]],2)="--","--","Q"&amp;ROUNDUP(VALUE(RIGHT(creditcard[[#This Row],[YYYYMM]],2))/3,0))</f>
        <v/>
      </c>
      <c r="E649" s="15" t="n">
        <v>10</v>
      </c>
      <c r="F649" s="155" t="inlineStr">
        <is>
          <t>遠東</t>
        </is>
      </c>
      <c r="G649" s="156" t="inlineStr">
        <is>
          <t>10 遠東</t>
        </is>
      </c>
      <c r="H649" s="157" t="n">
        <v>1353010</v>
      </c>
      <c r="I649" s="157" t="n">
        <v>968101</v>
      </c>
      <c r="J649" s="157" t="n">
        <v>5557</v>
      </c>
      <c r="K649" s="157" t="n">
        <v>6196</v>
      </c>
      <c r="L649" s="157" t="n">
        <v>3510.004</v>
      </c>
      <c r="M649" s="16" t="n"/>
      <c r="N649" s="157" t="n">
        <v>4306.401</v>
      </c>
      <c r="O649" s="16" t="n"/>
      <c r="P649" s="16" t="n"/>
      <c r="Q649" s="17" t="n"/>
      <c r="R649" s="16" t="n"/>
      <c r="S649" s="16" t="n"/>
      <c r="T649" s="16" t="n"/>
      <c r="U649" s="16" t="n"/>
      <c r="V649" s="158" t="n"/>
      <c r="W649" s="16" t="n"/>
      <c r="X649" s="18" t="n"/>
      <c r="Y649" s="18" t="n"/>
      <c r="Z649" s="18" t="n"/>
      <c r="AA649" s="18" t="n"/>
      <c r="AB649" s="18" t="n"/>
      <c r="AC649" s="18" t="n"/>
      <c r="AD649" s="18" t="n"/>
      <c r="AE649" s="18" t="n"/>
      <c r="AF649" s="18" t="n"/>
      <c r="AG649" s="18" t="n"/>
      <c r="AH649" s="18" t="n"/>
      <c r="AI649" s="18" t="n"/>
    </row>
    <row r="650">
      <c r="A650" s="9" t="n">
        <v>202402</v>
      </c>
      <c r="B650" s="10">
        <f>LEFT(creditcard[[#This Row],[YYYYMM]],4)</f>
        <v/>
      </c>
      <c r="C650" s="10">
        <f>RIGHT(creditcard[[#This Row],[YYYYMM]],2)</f>
        <v/>
      </c>
      <c r="D650" s="10">
        <f>IF(RIGHT(creditcard[[#This Row],[YYYYMM]],2)="--","--","Q"&amp;ROUNDUP(VALUE(RIGHT(creditcard[[#This Row],[YYYYMM]],2))/3,0))</f>
        <v/>
      </c>
      <c r="E650" s="10" t="n">
        <v>11</v>
      </c>
      <c r="F650" s="151" t="inlineStr">
        <is>
          <t>市場總計</t>
        </is>
      </c>
      <c r="G650" s="152" t="inlineStr">
        <is>
          <t>11 市場總計</t>
        </is>
      </c>
      <c r="H650" s="153" t="n">
        <v>58866498</v>
      </c>
      <c r="I650" s="153" t="n">
        <v>37908568</v>
      </c>
      <c r="J650" s="153" t="n">
        <v>601782</v>
      </c>
      <c r="K650" s="153" t="n">
        <v>553086</v>
      </c>
      <c r="L650" s="153" t="n">
        <v>103745.387</v>
      </c>
      <c r="M650" s="11" t="n"/>
      <c r="N650" s="153" t="n">
        <v>321835.011</v>
      </c>
      <c r="O650" s="11" t="n"/>
      <c r="P650" s="11" t="n"/>
      <c r="Q650" s="12" t="n"/>
      <c r="R650" s="11" t="n"/>
      <c r="S650" s="11" t="n"/>
      <c r="T650" s="11" t="n"/>
      <c r="U650" s="11" t="n"/>
      <c r="V650" s="154" t="n">
        <v>4.67</v>
      </c>
      <c r="W650" s="11">
        <f>SUMIFS(H:H,A:A,creditcard[[#This Row],[YYYYMM]],G:G,creditcard[[#This Row],[Item]])</f>
        <v/>
      </c>
      <c r="X650" s="4">
        <f>IFERROR(SUMIFS(H:H,A:A,creditcard[[#This Row],[YYYYMM]],E:E,"&lt;=5")/creditcard[[#This Row],[市場總計]],"")</f>
        <v/>
      </c>
      <c r="Y650" s="4">
        <f>IFERROR(SUMIFS(H:H,A:A,creditcard[[#This Row],[YYYYMM]],E:E,"&lt;=10")/creditcard[[#This Row],[市場總計]],"")</f>
        <v/>
      </c>
      <c r="Z650" s="4">
        <f>IFERROR(SUMIFS(I:I,A:A,creditcard[[#This Row],[YYYYMM]],E:E,"&lt;=5")/creditcard[[#This Row],[有效卡數]],"")</f>
        <v/>
      </c>
      <c r="AA650" s="4">
        <f>IFERROR(SUMIFS(I:I,A:A,creditcard[[#This Row],[YYYYMM]],E:E,"&lt;=10")/creditcard[[#This Row],[有效卡數]],"")</f>
        <v/>
      </c>
      <c r="AB650" s="4">
        <f>IFERROR(SUMIFS(J:J,A:A,creditcard[[#This Row],[YYYYMM]],E:E,"&lt;=5")/creditcard[[#This Row],[當月發卡數]],"")</f>
        <v/>
      </c>
      <c r="AC650" s="4">
        <f>IFERROR(SUMIFS(J:J,A:A,creditcard[[#This Row],[YYYYMM]],E:E,"&lt;=10")/creditcard[[#This Row],[當月發卡數]],"")</f>
        <v/>
      </c>
      <c r="AD650" s="4">
        <f>IFERROR(SUMIFS(K:K,A:A,creditcard[[#This Row],[YYYYMM]],E:E,"&lt;=5")/creditcard[[#This Row],[當月停卡數]],"")</f>
        <v/>
      </c>
      <c r="AE650" s="4">
        <f>IFERROR(SUMIFS(K:K,A:A,creditcard[[#This Row],[YYYYMM]],E:E,"&lt;=10")/creditcard[[#This Row],[當月停卡數]],"")</f>
        <v/>
      </c>
      <c r="AF650" s="4">
        <f>IFERROR(SUMIFS(L:L,A:A,creditcard[[#This Row],[YYYYMM]],E:E,"&lt;=5")/creditcard[[#This Row],[循環信用餘額]],"")</f>
        <v/>
      </c>
      <c r="AG650" s="4">
        <f>IFERROR(SUMIFS(L:L,A:A,creditcard[[#This Row],[YYYYMM]],E:E,"&lt;=10")/creditcard[[#This Row],[循環信用餘額]],"")</f>
        <v/>
      </c>
      <c r="AH650" s="4">
        <f>IFERROR(SUMIFS(N:N,A:A,creditcard[[#This Row],[YYYYMM]],E:E,"&lt;=5")/creditcard[[#This Row],[當月簽帳金額]],"")</f>
        <v/>
      </c>
      <c r="AI650" s="4">
        <f>IFERROR(SUMIFS(N:N,A:A,creditcard[[#This Row],[YYYYMM]],E:E,"&lt;=10")/creditcard[[#This Row],[當月簽帳金額]],"")</f>
        <v/>
      </c>
    </row>
    <row r="651">
      <c r="A651" s="14" t="n">
        <v>202403</v>
      </c>
      <c r="B651" s="15">
        <f>LEFT(creditcard[[#This Row],[YYYYMM]],4)</f>
        <v/>
      </c>
      <c r="C651" s="15">
        <f>RIGHT(creditcard[[#This Row],[YYYYMM]],2)</f>
        <v/>
      </c>
      <c r="D651" s="15">
        <f>IF(RIGHT(creditcard[[#This Row],[YYYYMM]],2)="--","--","Q"&amp;ROUNDUP(VALUE(RIGHT(creditcard[[#This Row],[YYYYMM]],2))/3,0))</f>
        <v/>
      </c>
      <c r="E651" s="15" t="n">
        <v>1</v>
      </c>
      <c r="F651" s="155" t="inlineStr">
        <is>
          <t>中信</t>
        </is>
      </c>
      <c r="G651" s="156" t="inlineStr">
        <is>
          <t>01 中信</t>
        </is>
      </c>
      <c r="H651" s="157" t="n">
        <v>9206691</v>
      </c>
      <c r="I651" s="157" t="n">
        <v>5840035</v>
      </c>
      <c r="J651" s="157" t="n">
        <v>82732</v>
      </c>
      <c r="K651" s="157" t="n">
        <v>39140</v>
      </c>
      <c r="L651" s="157" t="n">
        <v>16250.142</v>
      </c>
      <c r="M651" s="16" t="n"/>
      <c r="N651" s="157" t="n">
        <v>56252.705</v>
      </c>
      <c r="O651" s="16" t="n"/>
      <c r="P651" s="16" t="n"/>
      <c r="Q651" s="17" t="n"/>
      <c r="R651" s="16" t="n"/>
      <c r="S651" s="16" t="n"/>
      <c r="T651" s="16" t="n"/>
      <c r="U651" s="16" t="n"/>
      <c r="V651" s="158" t="n"/>
      <c r="W651" s="16" t="n"/>
      <c r="X651" s="18" t="n"/>
      <c r="Y651" s="18" t="n"/>
      <c r="Z651" s="18" t="n"/>
      <c r="AA651" s="18" t="n"/>
      <c r="AB651" s="18" t="n"/>
      <c r="AC651" s="18" t="n"/>
      <c r="AD651" s="18" t="n"/>
      <c r="AE651" s="18" t="n"/>
      <c r="AF651" s="18" t="n"/>
      <c r="AG651" s="18" t="n"/>
      <c r="AH651" s="18" t="n"/>
      <c r="AI651" s="18" t="n"/>
    </row>
    <row r="652">
      <c r="A652" s="9" t="n">
        <v>202403</v>
      </c>
      <c r="B652" s="10">
        <f>LEFT(creditcard[[#This Row],[YYYYMM]],4)</f>
        <v/>
      </c>
      <c r="C652" s="10">
        <f>RIGHT(creditcard[[#This Row],[YYYYMM]],2)</f>
        <v/>
      </c>
      <c r="D652" s="10">
        <f>IF(RIGHT(creditcard[[#This Row],[YYYYMM]],2)="--","--","Q"&amp;ROUNDUP(VALUE(RIGHT(creditcard[[#This Row],[YYYYMM]],2))/3,0))</f>
        <v/>
      </c>
      <c r="E652" s="10" t="n">
        <v>2</v>
      </c>
      <c r="F652" s="151" t="inlineStr">
        <is>
          <t>富邦</t>
        </is>
      </c>
      <c r="G652" s="152" t="inlineStr">
        <is>
          <t>02 富邦</t>
        </is>
      </c>
      <c r="H652" s="153" t="n">
        <v>7346864</v>
      </c>
      <c r="I652" s="153" t="n">
        <v>5608654</v>
      </c>
      <c r="J652" s="153" t="n">
        <v>58321</v>
      </c>
      <c r="K652" s="153" t="n">
        <v>22558</v>
      </c>
      <c r="L652" s="153" t="n">
        <v>9179.289000000001</v>
      </c>
      <c r="M652" s="11" t="n"/>
      <c r="N652" s="153" t="n">
        <v>45910.163</v>
      </c>
      <c r="O652" s="11" t="n"/>
      <c r="P652" s="11" t="n"/>
      <c r="Q652" s="12" t="n"/>
      <c r="R652" s="11" t="n"/>
      <c r="S652" s="11" t="n"/>
      <c r="T652" s="11" t="n"/>
      <c r="U652" s="11" t="n"/>
      <c r="V652" s="154" t="n"/>
      <c r="W652" s="11" t="n"/>
      <c r="X652" s="13" t="n"/>
      <c r="Y652" s="13" t="n"/>
      <c r="Z652" s="13" t="n"/>
      <c r="AA652" s="13" t="n"/>
      <c r="AB652" s="13" t="n"/>
      <c r="AC652" s="13" t="n"/>
      <c r="AD652" s="13" t="n"/>
      <c r="AE652" s="13" t="n"/>
      <c r="AF652" s="13" t="n"/>
      <c r="AG652" s="13" t="n"/>
      <c r="AH652" s="13" t="n"/>
      <c r="AI652" s="13" t="n"/>
    </row>
    <row r="653">
      <c r="A653" s="14" t="n">
        <v>202403</v>
      </c>
      <c r="B653" s="15">
        <f>LEFT(creditcard[[#This Row],[YYYYMM]],4)</f>
        <v/>
      </c>
      <c r="C653" s="15">
        <f>RIGHT(creditcard[[#This Row],[YYYYMM]],2)</f>
        <v/>
      </c>
      <c r="D653" s="15">
        <f>IF(RIGHT(creditcard[[#This Row],[YYYYMM]],2)="--","--","Q"&amp;ROUNDUP(VALUE(RIGHT(creditcard[[#This Row],[YYYYMM]],2))/3,0))</f>
        <v/>
      </c>
      <c r="E653" s="15" t="n">
        <v>3</v>
      </c>
      <c r="F653" s="155" t="inlineStr">
        <is>
          <t>國泰</t>
        </is>
      </c>
      <c r="G653" s="156" t="inlineStr">
        <is>
          <t>03 國泰</t>
        </is>
      </c>
      <c r="H653" s="157" t="n">
        <v>7255505</v>
      </c>
      <c r="I653" s="157" t="n">
        <v>4683326</v>
      </c>
      <c r="J653" s="157" t="n">
        <v>62266</v>
      </c>
      <c r="K653" s="157" t="n">
        <v>29344</v>
      </c>
      <c r="L653" s="157" t="n">
        <v>18592.095</v>
      </c>
      <c r="M653" s="16" t="n"/>
      <c r="N653" s="157" t="n">
        <v>53335.214</v>
      </c>
      <c r="O653" s="16" t="n"/>
      <c r="P653" s="16" t="n"/>
      <c r="Q653" s="17" t="n"/>
      <c r="R653" s="16" t="n"/>
      <c r="S653" s="16" t="n"/>
      <c r="T653" s="16" t="n"/>
      <c r="U653" s="16" t="n"/>
      <c r="V653" s="158" t="n"/>
      <c r="W653" s="16" t="n"/>
      <c r="X653" s="18" t="n"/>
      <c r="Y653" s="18" t="n"/>
      <c r="Z653" s="18" t="n"/>
      <c r="AA653" s="18" t="n"/>
      <c r="AB653" s="18" t="n"/>
      <c r="AC653" s="18" t="n"/>
      <c r="AD653" s="18" t="n"/>
      <c r="AE653" s="18" t="n"/>
      <c r="AF653" s="18" t="n"/>
      <c r="AG653" s="18" t="n"/>
      <c r="AH653" s="18" t="n"/>
      <c r="AI653" s="18" t="n"/>
    </row>
    <row r="654">
      <c r="A654" s="9" t="n">
        <v>202403</v>
      </c>
      <c r="B654" s="10">
        <f>LEFT(creditcard[[#This Row],[YYYYMM]],4)</f>
        <v/>
      </c>
      <c r="C654" s="10">
        <f>RIGHT(creditcard[[#This Row],[YYYYMM]],2)</f>
        <v/>
      </c>
      <c r="D654" s="10">
        <f>IF(RIGHT(creditcard[[#This Row],[YYYYMM]],2)="--","--","Q"&amp;ROUNDUP(VALUE(RIGHT(creditcard[[#This Row],[YYYYMM]],2))/3,0))</f>
        <v/>
      </c>
      <c r="E654" s="10" t="n">
        <v>4</v>
      </c>
      <c r="F654" s="151" t="inlineStr">
        <is>
          <t>玉山</t>
        </is>
      </c>
      <c r="G654" s="152" t="inlineStr">
        <is>
          <t>04 玉山</t>
        </is>
      </c>
      <c r="H654" s="153" t="n">
        <v>7253031</v>
      </c>
      <c r="I654" s="153" t="n">
        <v>4803284</v>
      </c>
      <c r="J654" s="153" t="n">
        <v>73614</v>
      </c>
      <c r="K654" s="153" t="n">
        <v>52154</v>
      </c>
      <c r="L654" s="153" t="n">
        <v>16317.448</v>
      </c>
      <c r="M654" s="11" t="n"/>
      <c r="N654" s="153" t="n">
        <v>41778.826</v>
      </c>
      <c r="O654" s="11" t="n"/>
      <c r="P654" s="11" t="n"/>
      <c r="Q654" s="12" t="n"/>
      <c r="R654" s="11" t="n"/>
      <c r="S654" s="11" t="n"/>
      <c r="T654" s="11" t="n"/>
      <c r="U654" s="11" t="n"/>
      <c r="V654" s="154" t="n"/>
      <c r="W654" s="11" t="n"/>
      <c r="X654" s="13" t="n"/>
      <c r="Y654" s="13" t="n"/>
      <c r="Z654" s="13" t="n"/>
      <c r="AA654" s="13" t="n"/>
      <c r="AB654" s="13" t="n"/>
      <c r="AC654" s="13" t="n"/>
      <c r="AD654" s="13" t="n"/>
      <c r="AE654" s="13" t="n"/>
      <c r="AF654" s="13" t="n"/>
      <c r="AG654" s="13" t="n"/>
      <c r="AH654" s="13" t="n"/>
      <c r="AI654" s="13" t="n"/>
    </row>
    <row r="655">
      <c r="A655" s="14" t="n">
        <v>202403</v>
      </c>
      <c r="B655" s="15">
        <f>LEFT(creditcard[[#This Row],[YYYYMM]],4)</f>
        <v/>
      </c>
      <c r="C655" s="15">
        <f>RIGHT(creditcard[[#This Row],[YYYYMM]],2)</f>
        <v/>
      </c>
      <c r="D655" s="15">
        <f>IF(RIGHT(creditcard[[#This Row],[YYYYMM]],2)="--","--","Q"&amp;ROUNDUP(VALUE(RIGHT(creditcard[[#This Row],[YYYYMM]],2))/3,0))</f>
        <v/>
      </c>
      <c r="E655" s="15" t="n">
        <v>5</v>
      </c>
      <c r="F655" s="155" t="inlineStr">
        <is>
          <t>台新</t>
        </is>
      </c>
      <c r="G655" s="156" t="inlineStr">
        <is>
          <t>05 台新</t>
        </is>
      </c>
      <c r="H655" s="157" t="n">
        <v>6505711</v>
      </c>
      <c r="I655" s="157" t="n">
        <v>4632600</v>
      </c>
      <c r="J655" s="157" t="n">
        <v>59480</v>
      </c>
      <c r="K655" s="157" t="n">
        <v>58189</v>
      </c>
      <c r="L655" s="157" t="n">
        <v>10273.946</v>
      </c>
      <c r="M655" s="16" t="n"/>
      <c r="N655" s="157" t="n">
        <v>37210.947</v>
      </c>
      <c r="O655" s="16" t="n"/>
      <c r="P655" s="16" t="n"/>
      <c r="Q655" s="17" t="n"/>
      <c r="R655" s="16" t="n"/>
      <c r="S655" s="16" t="n"/>
      <c r="T655" s="16" t="n"/>
      <c r="U655" s="16" t="n"/>
      <c r="V655" s="158" t="n"/>
      <c r="W655" s="16" t="n"/>
      <c r="X655" s="18" t="n"/>
      <c r="Y655" s="18" t="n"/>
      <c r="Z655" s="18" t="n"/>
      <c r="AA655" s="18" t="n"/>
      <c r="AB655" s="18" t="n"/>
      <c r="AC655" s="18" t="n"/>
      <c r="AD655" s="18" t="n"/>
      <c r="AE655" s="18" t="n"/>
      <c r="AF655" s="18" t="n"/>
      <c r="AG655" s="18" t="n"/>
      <c r="AH655" s="18" t="n"/>
      <c r="AI655" s="18" t="n"/>
    </row>
    <row r="656">
      <c r="A656" s="9" t="n">
        <v>202403</v>
      </c>
      <c r="B656" s="10">
        <f>LEFT(creditcard[[#This Row],[YYYYMM]],4)</f>
        <v/>
      </c>
      <c r="C656" s="10">
        <f>RIGHT(creditcard[[#This Row],[YYYYMM]],2)</f>
        <v/>
      </c>
      <c r="D656" s="10">
        <f>IF(RIGHT(creditcard[[#This Row],[YYYYMM]],2)="--","--","Q"&amp;ROUNDUP(VALUE(RIGHT(creditcard[[#This Row],[YYYYMM]],2))/3,0))</f>
        <v/>
      </c>
      <c r="E656" s="10" t="n">
        <v>6</v>
      </c>
      <c r="F656" s="151" t="inlineStr">
        <is>
          <t>星展</t>
        </is>
      </c>
      <c r="G656" s="152" t="inlineStr">
        <is>
          <t>06 星展</t>
        </is>
      </c>
      <c r="H656" s="153" t="n">
        <v>3730787</v>
      </c>
      <c r="I656" s="153" t="n">
        <v>2030599</v>
      </c>
      <c r="J656" s="153" t="n">
        <v>142622</v>
      </c>
      <c r="K656" s="153" t="n">
        <v>167233</v>
      </c>
      <c r="L656" s="153" t="n">
        <v>8422.825999999999</v>
      </c>
      <c r="M656" s="11" t="n"/>
      <c r="N656" s="153" t="n">
        <v>21519.968</v>
      </c>
      <c r="O656" s="11" t="n"/>
      <c r="P656" s="11" t="n"/>
      <c r="Q656" s="12" t="n"/>
      <c r="R656" s="11" t="n"/>
      <c r="S656" s="11" t="n"/>
      <c r="T656" s="11" t="n"/>
      <c r="U656" s="11" t="n"/>
      <c r="V656" s="154" t="n"/>
      <c r="W656" s="11" t="n"/>
      <c r="X656" s="13" t="n"/>
      <c r="Y656" s="13" t="n"/>
      <c r="Z656" s="13" t="n"/>
      <c r="AA656" s="13" t="n"/>
      <c r="AB656" s="13" t="n"/>
      <c r="AC656" s="13" t="n"/>
      <c r="AD656" s="13" t="n"/>
      <c r="AE656" s="13" t="n"/>
      <c r="AF656" s="13" t="n"/>
      <c r="AG656" s="13" t="n"/>
      <c r="AH656" s="13" t="n"/>
      <c r="AI656" s="13" t="n"/>
    </row>
    <row r="657">
      <c r="A657" s="14" t="n">
        <v>202403</v>
      </c>
      <c r="B657" s="15">
        <f>LEFT(creditcard[[#This Row],[YYYYMM]],4)</f>
        <v/>
      </c>
      <c r="C657" s="15">
        <f>RIGHT(creditcard[[#This Row],[YYYYMM]],2)</f>
        <v/>
      </c>
      <c r="D657" s="15">
        <f>IF(RIGHT(creditcard[[#This Row],[YYYYMM]],2)="--","--","Q"&amp;ROUNDUP(VALUE(RIGHT(creditcard[[#This Row],[YYYYMM]],2))/3,0))</f>
        <v/>
      </c>
      <c r="E657" s="15" t="n">
        <v>7</v>
      </c>
      <c r="F657" s="155" t="inlineStr">
        <is>
          <t>聯邦</t>
        </is>
      </c>
      <c r="G657" s="156" t="inlineStr">
        <is>
          <t>07 聯邦</t>
        </is>
      </c>
      <c r="H657" s="157" t="n">
        <v>2878839</v>
      </c>
      <c r="I657" s="157" t="n">
        <v>1842928</v>
      </c>
      <c r="J657" s="157" t="n">
        <v>50343</v>
      </c>
      <c r="K657" s="157" t="n">
        <v>101847</v>
      </c>
      <c r="L657" s="157" t="n">
        <v>6164.551</v>
      </c>
      <c r="M657" s="16" t="n"/>
      <c r="N657" s="157" t="n">
        <v>15856.564</v>
      </c>
      <c r="O657" s="16" t="n"/>
      <c r="P657" s="16" t="n"/>
      <c r="Q657" s="17" t="n"/>
      <c r="R657" s="16" t="n"/>
      <c r="S657" s="16" t="n"/>
      <c r="T657" s="16" t="n"/>
      <c r="U657" s="16" t="n"/>
      <c r="V657" s="158" t="n"/>
      <c r="W657" s="16" t="n"/>
      <c r="X657" s="18" t="n"/>
      <c r="Y657" s="18" t="n"/>
      <c r="Z657" s="18" t="n"/>
      <c r="AA657" s="18" t="n"/>
      <c r="AB657" s="18" t="n"/>
      <c r="AC657" s="18" t="n"/>
      <c r="AD657" s="18" t="n"/>
      <c r="AE657" s="18" t="n"/>
      <c r="AF657" s="18" t="n"/>
      <c r="AG657" s="18" t="n"/>
      <c r="AH657" s="18" t="n"/>
      <c r="AI657" s="18" t="n"/>
    </row>
    <row r="658">
      <c r="A658" s="9" t="n">
        <v>202403</v>
      </c>
      <c r="B658" s="10">
        <f>LEFT(creditcard[[#This Row],[YYYYMM]],4)</f>
        <v/>
      </c>
      <c r="C658" s="10">
        <f>RIGHT(creditcard[[#This Row],[YYYYMM]],2)</f>
        <v/>
      </c>
      <c r="D658" s="10">
        <f>IF(RIGHT(creditcard[[#This Row],[YYYYMM]],2)="--","--","Q"&amp;ROUNDUP(VALUE(RIGHT(creditcard[[#This Row],[YYYYMM]],2))/3,0))</f>
        <v/>
      </c>
      <c r="E658" s="10" t="n">
        <v>8</v>
      </c>
      <c r="F658" s="151" t="inlineStr">
        <is>
          <t>永豐</t>
        </is>
      </c>
      <c r="G658" s="152" t="inlineStr">
        <is>
          <t>08 永豐</t>
        </is>
      </c>
      <c r="H658" s="153" t="n">
        <v>2231267</v>
      </c>
      <c r="I658" s="153" t="n">
        <v>1268856</v>
      </c>
      <c r="J658" s="153" t="n">
        <v>15923</v>
      </c>
      <c r="K658" s="153" t="n">
        <v>6699</v>
      </c>
      <c r="L658" s="153" t="n">
        <v>3707.522</v>
      </c>
      <c r="M658" s="11" t="n"/>
      <c r="N658" s="153" t="n">
        <v>10937.454</v>
      </c>
      <c r="O658" s="11" t="n"/>
      <c r="P658" s="11" t="n"/>
      <c r="Q658" s="12" t="n"/>
      <c r="R658" s="11" t="n"/>
      <c r="S658" s="11" t="n"/>
      <c r="T658" s="11" t="n"/>
      <c r="U658" s="11" t="n"/>
      <c r="V658" s="154" t="n"/>
      <c r="W658" s="11" t="n"/>
      <c r="X658" s="13" t="n"/>
      <c r="Y658" s="13" t="n"/>
      <c r="Z658" s="13" t="n"/>
      <c r="AA658" s="13" t="n"/>
      <c r="AB658" s="13" t="n"/>
      <c r="AC658" s="13" t="n"/>
      <c r="AD658" s="13" t="n"/>
      <c r="AE658" s="13" t="n"/>
      <c r="AF658" s="13" t="n"/>
      <c r="AG658" s="13" t="n"/>
      <c r="AH658" s="13" t="n"/>
      <c r="AI658" s="13" t="n"/>
    </row>
    <row r="659">
      <c r="A659" s="14" t="n">
        <v>202403</v>
      </c>
      <c r="B659" s="15">
        <f>LEFT(creditcard[[#This Row],[YYYYMM]],4)</f>
        <v/>
      </c>
      <c r="C659" s="15">
        <f>RIGHT(creditcard[[#This Row],[YYYYMM]],2)</f>
        <v/>
      </c>
      <c r="D659" s="15">
        <f>IF(RIGHT(creditcard[[#This Row],[YYYYMM]],2)="--","--","Q"&amp;ROUNDUP(VALUE(RIGHT(creditcard[[#This Row],[YYYYMM]],2))/3,0))</f>
        <v/>
      </c>
      <c r="E659" s="15" t="n">
        <v>9</v>
      </c>
      <c r="F659" s="155" t="inlineStr">
        <is>
          <t>第一</t>
        </is>
      </c>
      <c r="G659" s="156" t="inlineStr">
        <is>
          <t>09 第一</t>
        </is>
      </c>
      <c r="H659" s="157" t="n">
        <v>1537657</v>
      </c>
      <c r="I659" s="157" t="n">
        <v>962672</v>
      </c>
      <c r="J659" s="157" t="n">
        <v>18133</v>
      </c>
      <c r="K659" s="157" t="n">
        <v>54930</v>
      </c>
      <c r="L659" s="157" t="n">
        <v>1313.605</v>
      </c>
      <c r="M659" s="16" t="n"/>
      <c r="N659" s="157" t="n">
        <v>6524.366</v>
      </c>
      <c r="O659" s="16" t="n"/>
      <c r="P659" s="16" t="n"/>
      <c r="Q659" s="17" t="n"/>
      <c r="R659" s="16" t="n"/>
      <c r="S659" s="16" t="n"/>
      <c r="T659" s="16" t="n"/>
      <c r="U659" s="16" t="n"/>
      <c r="V659" s="158" t="n"/>
      <c r="W659" s="16" t="n"/>
      <c r="X659" s="18" t="n"/>
      <c r="Y659" s="18" t="n"/>
      <c r="Z659" s="18" t="n"/>
      <c r="AA659" s="18" t="n"/>
      <c r="AB659" s="18" t="n"/>
      <c r="AC659" s="18" t="n"/>
      <c r="AD659" s="18" t="n"/>
      <c r="AE659" s="18" t="n"/>
      <c r="AF659" s="18" t="n"/>
      <c r="AG659" s="18" t="n"/>
      <c r="AH659" s="18" t="n"/>
      <c r="AI659" s="18" t="n"/>
    </row>
    <row r="660">
      <c r="A660" s="9" t="n">
        <v>202403</v>
      </c>
      <c r="B660" s="10">
        <f>LEFT(creditcard[[#This Row],[YYYYMM]],4)</f>
        <v/>
      </c>
      <c r="C660" s="10">
        <f>RIGHT(creditcard[[#This Row],[YYYYMM]],2)</f>
        <v/>
      </c>
      <c r="D660" s="10">
        <f>IF(RIGHT(creditcard[[#This Row],[YYYYMM]],2)="--","--","Q"&amp;ROUNDUP(VALUE(RIGHT(creditcard[[#This Row],[YYYYMM]],2))/3,0))</f>
        <v/>
      </c>
      <c r="E660" s="10" t="n">
        <v>10</v>
      </c>
      <c r="F660" s="151" t="inlineStr">
        <is>
          <t>遠東</t>
        </is>
      </c>
      <c r="G660" s="152" t="inlineStr">
        <is>
          <t>10 遠東</t>
        </is>
      </c>
      <c r="H660" s="153" t="n">
        <v>1352201</v>
      </c>
      <c r="I660" s="153" t="n">
        <v>966829</v>
      </c>
      <c r="J660" s="153" t="n">
        <v>6435</v>
      </c>
      <c r="K660" s="153" t="n">
        <v>7298</v>
      </c>
      <c r="L660" s="153" t="n">
        <v>3437.535</v>
      </c>
      <c r="M660" s="11" t="n"/>
      <c r="N660" s="153" t="n">
        <v>3982.06</v>
      </c>
      <c r="O660" s="11" t="n"/>
      <c r="P660" s="11" t="n"/>
      <c r="Q660" s="12" t="n"/>
      <c r="R660" s="11" t="n"/>
      <c r="S660" s="11" t="n"/>
      <c r="T660" s="11" t="n"/>
      <c r="U660" s="11" t="n"/>
      <c r="V660" s="154" t="n"/>
      <c r="W660" s="11" t="n"/>
      <c r="X660" s="13" t="n"/>
      <c r="Y660" s="13" t="n"/>
      <c r="Z660" s="13" t="n"/>
      <c r="AA660" s="13" t="n"/>
      <c r="AB660" s="13" t="n"/>
      <c r="AC660" s="13" t="n"/>
      <c r="AD660" s="13" t="n"/>
      <c r="AE660" s="13" t="n"/>
      <c r="AF660" s="13" t="n"/>
      <c r="AG660" s="13" t="n"/>
      <c r="AH660" s="13" t="n"/>
      <c r="AI660" s="13" t="n"/>
    </row>
    <row r="661">
      <c r="A661" s="14" t="n">
        <v>202403</v>
      </c>
      <c r="B661" s="15">
        <f>LEFT(creditcard[[#This Row],[YYYYMM]],4)</f>
        <v/>
      </c>
      <c r="C661" s="15">
        <f>RIGHT(creditcard[[#This Row],[YYYYMM]],2)</f>
        <v/>
      </c>
      <c r="D661" s="15">
        <f>IF(RIGHT(creditcard[[#This Row],[YYYYMM]],2)="--","--","Q"&amp;ROUNDUP(VALUE(RIGHT(creditcard[[#This Row],[YYYYMM]],2))/3,0))</f>
        <v/>
      </c>
      <c r="E661" s="15" t="n">
        <v>11</v>
      </c>
      <c r="F661" s="155" t="inlineStr">
        <is>
          <t>市場總計</t>
        </is>
      </c>
      <c r="G661" s="156" t="inlineStr">
        <is>
          <t>11 市場總計</t>
        </is>
      </c>
      <c r="H661" s="157" t="n">
        <v>58913203</v>
      </c>
      <c r="I661" s="157" t="n">
        <v>37956635</v>
      </c>
      <c r="J661" s="157" t="n">
        <v>667358</v>
      </c>
      <c r="K661" s="157" t="n">
        <v>619311</v>
      </c>
      <c r="L661" s="157" t="n">
        <v>107267.559</v>
      </c>
      <c r="M661" s="16" t="n"/>
      <c r="N661" s="157" t="n">
        <v>340536.007</v>
      </c>
      <c r="O661" s="16" t="n"/>
      <c r="P661" s="16" t="n"/>
      <c r="Q661" s="17" t="n"/>
      <c r="R661" s="16" t="n"/>
      <c r="S661" s="16" t="n"/>
      <c r="T661" s="16" t="n"/>
      <c r="U661" s="16" t="n"/>
      <c r="V661" s="158" t="n">
        <v>4.66</v>
      </c>
      <c r="W661" s="16">
        <f>SUMIFS(H:H,A:A,creditcard[[#This Row],[YYYYMM]],G:G,creditcard[[#This Row],[Item]])</f>
        <v/>
      </c>
      <c r="X661" s="4">
        <f>IFERROR(SUMIFS(H:H,A:A,creditcard[[#This Row],[YYYYMM]],E:E,"&lt;=5")/creditcard[[#This Row],[市場總計]],"")</f>
        <v/>
      </c>
      <c r="Y661" s="4">
        <f>IFERROR(SUMIFS(H:H,A:A,creditcard[[#This Row],[YYYYMM]],E:E,"&lt;=10")/creditcard[[#This Row],[市場總計]],"")</f>
        <v/>
      </c>
      <c r="Z661" s="4">
        <f>IFERROR(SUMIFS(I:I,A:A,creditcard[[#This Row],[YYYYMM]],E:E,"&lt;=5")/creditcard[[#This Row],[有效卡數]],"")</f>
        <v/>
      </c>
      <c r="AA661" s="4">
        <f>IFERROR(SUMIFS(I:I,A:A,creditcard[[#This Row],[YYYYMM]],E:E,"&lt;=10")/creditcard[[#This Row],[有效卡數]],"")</f>
        <v/>
      </c>
      <c r="AB661" s="4">
        <f>IFERROR(SUMIFS(J:J,A:A,creditcard[[#This Row],[YYYYMM]],E:E,"&lt;=5")/creditcard[[#This Row],[當月發卡數]],"")</f>
        <v/>
      </c>
      <c r="AC661" s="4">
        <f>IFERROR(SUMIFS(J:J,A:A,creditcard[[#This Row],[YYYYMM]],E:E,"&lt;=10")/creditcard[[#This Row],[當月發卡數]],"")</f>
        <v/>
      </c>
      <c r="AD661" s="4">
        <f>IFERROR(SUMIFS(K:K,A:A,creditcard[[#This Row],[YYYYMM]],E:E,"&lt;=5")/creditcard[[#This Row],[當月停卡數]],"")</f>
        <v/>
      </c>
      <c r="AE661" s="4">
        <f>IFERROR(SUMIFS(K:K,A:A,creditcard[[#This Row],[YYYYMM]],E:E,"&lt;=10")/creditcard[[#This Row],[當月停卡數]],"")</f>
        <v/>
      </c>
      <c r="AF661" s="4">
        <f>IFERROR(SUMIFS(L:L,A:A,creditcard[[#This Row],[YYYYMM]],E:E,"&lt;=5")/creditcard[[#This Row],[循環信用餘額]],"")</f>
        <v/>
      </c>
      <c r="AG661" s="4">
        <f>IFERROR(SUMIFS(L:L,A:A,creditcard[[#This Row],[YYYYMM]],E:E,"&lt;=10")/creditcard[[#This Row],[循環信用餘額]],"")</f>
        <v/>
      </c>
      <c r="AH661" s="4">
        <f>IFERROR(SUMIFS(N:N,A:A,creditcard[[#This Row],[YYYYMM]],E:E,"&lt;=5")/creditcard[[#This Row],[當月簽帳金額]],"")</f>
        <v/>
      </c>
      <c r="AI661" s="4">
        <f>IFERROR(SUMIFS(N:N,A:A,creditcard[[#This Row],[YYYYMM]],E:E,"&lt;=10")/creditcard[[#This Row],[當月簽帳金額]],"")</f>
        <v/>
      </c>
    </row>
    <row r="662">
      <c r="A662" s="9" t="n">
        <v>202404</v>
      </c>
      <c r="B662" s="10">
        <f>LEFT(creditcard[[#This Row],[YYYYMM]],4)</f>
        <v/>
      </c>
      <c r="C662" s="10">
        <f>RIGHT(creditcard[[#This Row],[YYYYMM]],2)</f>
        <v/>
      </c>
      <c r="D662" s="10">
        <f>IF(RIGHT(creditcard[[#This Row],[YYYYMM]],2)="--","--","Q"&amp;ROUNDUP(VALUE(RIGHT(creditcard[[#This Row],[YYYYMM]],2))/3,0))</f>
        <v/>
      </c>
      <c r="E662" s="10" t="n">
        <v>1</v>
      </c>
      <c r="F662" s="151" t="inlineStr">
        <is>
          <t>中信</t>
        </is>
      </c>
      <c r="G662" s="152" t="inlineStr">
        <is>
          <t>01 中信</t>
        </is>
      </c>
      <c r="H662" s="153" t="n">
        <v>9238786</v>
      </c>
      <c r="I662" s="153" t="n">
        <v>5860230</v>
      </c>
      <c r="J662" s="153" t="n">
        <v>87935</v>
      </c>
      <c r="K662" s="153" t="n">
        <v>55840</v>
      </c>
      <c r="L662" s="153" t="n">
        <v>16218.634</v>
      </c>
      <c r="M662" s="11" t="n"/>
      <c r="N662" s="153" t="n">
        <v>59554.453</v>
      </c>
      <c r="O662" s="11" t="n"/>
      <c r="P662" s="11" t="n"/>
      <c r="Q662" s="12" t="n"/>
      <c r="R662" s="11" t="n"/>
      <c r="S662" s="11" t="n"/>
      <c r="T662" s="11" t="n"/>
      <c r="U662" s="11" t="n"/>
      <c r="V662" s="154" t="n"/>
      <c r="W662" s="11" t="n"/>
      <c r="X662" s="13" t="n"/>
      <c r="Y662" s="13" t="n"/>
      <c r="Z662" s="13" t="n"/>
      <c r="AA662" s="13" t="n"/>
      <c r="AB662" s="13" t="n"/>
      <c r="AC662" s="13" t="n"/>
      <c r="AD662" s="13" t="n"/>
      <c r="AE662" s="13" t="n"/>
      <c r="AF662" s="13" t="n"/>
      <c r="AG662" s="13" t="n"/>
      <c r="AH662" s="13" t="n"/>
      <c r="AI662" s="13" t="n"/>
    </row>
    <row r="663">
      <c r="A663" s="14" t="n">
        <v>202404</v>
      </c>
      <c r="B663" s="15">
        <f>LEFT(creditcard[[#This Row],[YYYYMM]],4)</f>
        <v/>
      </c>
      <c r="C663" s="15">
        <f>RIGHT(creditcard[[#This Row],[YYYYMM]],2)</f>
        <v/>
      </c>
      <c r="D663" s="15">
        <f>IF(RIGHT(creditcard[[#This Row],[YYYYMM]],2)="--","--","Q"&amp;ROUNDUP(VALUE(RIGHT(creditcard[[#This Row],[YYYYMM]],2))/3,0))</f>
        <v/>
      </c>
      <c r="E663" s="15" t="n">
        <v>2</v>
      </c>
      <c r="F663" s="155" t="inlineStr">
        <is>
          <t>富邦</t>
        </is>
      </c>
      <c r="G663" s="156" t="inlineStr">
        <is>
          <t>02 富邦</t>
        </is>
      </c>
      <c r="H663" s="157" t="n">
        <v>7393732</v>
      </c>
      <c r="I663" s="157" t="n">
        <v>5625697</v>
      </c>
      <c r="J663" s="157" t="n">
        <v>80656</v>
      </c>
      <c r="K663" s="157" t="n">
        <v>33788</v>
      </c>
      <c r="L663" s="157" t="n">
        <v>9289.494000000001</v>
      </c>
      <c r="M663" s="16" t="n"/>
      <c r="N663" s="157" t="n">
        <v>47625.274</v>
      </c>
      <c r="O663" s="16" t="n"/>
      <c r="P663" s="16" t="n"/>
      <c r="Q663" s="17" t="n"/>
      <c r="R663" s="16" t="n"/>
      <c r="S663" s="16" t="n"/>
      <c r="T663" s="16" t="n"/>
      <c r="U663" s="16" t="n"/>
      <c r="V663" s="158" t="n"/>
      <c r="W663" s="16" t="n"/>
      <c r="X663" s="18" t="n"/>
      <c r="Y663" s="18" t="n"/>
      <c r="Z663" s="18" t="n"/>
      <c r="AA663" s="18" t="n"/>
      <c r="AB663" s="18" t="n"/>
      <c r="AC663" s="18" t="n"/>
      <c r="AD663" s="18" t="n"/>
      <c r="AE663" s="18" t="n"/>
      <c r="AF663" s="18" t="n"/>
      <c r="AG663" s="18" t="n"/>
      <c r="AH663" s="18" t="n"/>
      <c r="AI663" s="18" t="n"/>
    </row>
    <row r="664">
      <c r="A664" s="9" t="n">
        <v>202404</v>
      </c>
      <c r="B664" s="10">
        <f>LEFT(creditcard[[#This Row],[YYYYMM]],4)</f>
        <v/>
      </c>
      <c r="C664" s="10">
        <f>RIGHT(creditcard[[#This Row],[YYYYMM]],2)</f>
        <v/>
      </c>
      <c r="D664" s="10">
        <f>IF(RIGHT(creditcard[[#This Row],[YYYYMM]],2)="--","--","Q"&amp;ROUNDUP(VALUE(RIGHT(creditcard[[#This Row],[YYYYMM]],2))/3,0))</f>
        <v/>
      </c>
      <c r="E664" s="10" t="n">
        <v>3</v>
      </c>
      <c r="F664" s="151" t="inlineStr">
        <is>
          <t>國泰</t>
        </is>
      </c>
      <c r="G664" s="152" t="inlineStr">
        <is>
          <t>03 國泰</t>
        </is>
      </c>
      <c r="H664" s="153" t="n">
        <v>7266658</v>
      </c>
      <c r="I664" s="153" t="n">
        <v>4712850</v>
      </c>
      <c r="J664" s="153" t="n">
        <v>56940</v>
      </c>
      <c r="K664" s="153" t="n">
        <v>45787</v>
      </c>
      <c r="L664" s="153" t="n">
        <v>18736</v>
      </c>
      <c r="M664" s="11" t="n"/>
      <c r="N664" s="153" t="n">
        <v>59773.233</v>
      </c>
      <c r="O664" s="11" t="n"/>
      <c r="P664" s="11" t="n"/>
      <c r="Q664" s="12" t="n"/>
      <c r="R664" s="11" t="n"/>
      <c r="S664" s="11" t="n"/>
      <c r="T664" s="11" t="n"/>
      <c r="U664" s="11" t="n"/>
      <c r="V664" s="154" t="n"/>
      <c r="W664" s="11" t="n"/>
      <c r="X664" s="13" t="n"/>
      <c r="Y664" s="13" t="n"/>
      <c r="Z664" s="13" t="n"/>
      <c r="AA664" s="13" t="n"/>
      <c r="AB664" s="13" t="n"/>
      <c r="AC664" s="13" t="n"/>
      <c r="AD664" s="13" t="n"/>
      <c r="AE664" s="13" t="n"/>
      <c r="AF664" s="13" t="n"/>
      <c r="AG664" s="13" t="n"/>
      <c r="AH664" s="13" t="n"/>
      <c r="AI664" s="13" t="n"/>
    </row>
    <row r="665">
      <c r="A665" s="14" t="n">
        <v>202404</v>
      </c>
      <c r="B665" s="15">
        <f>LEFT(creditcard[[#This Row],[YYYYMM]],4)</f>
        <v/>
      </c>
      <c r="C665" s="15">
        <f>RIGHT(creditcard[[#This Row],[YYYYMM]],2)</f>
        <v/>
      </c>
      <c r="D665" s="15">
        <f>IF(RIGHT(creditcard[[#This Row],[YYYYMM]],2)="--","--","Q"&amp;ROUNDUP(VALUE(RIGHT(creditcard[[#This Row],[YYYYMM]],2))/3,0))</f>
        <v/>
      </c>
      <c r="E665" s="15" t="n">
        <v>4</v>
      </c>
      <c r="F665" s="155" t="inlineStr">
        <is>
          <t>玉山</t>
        </is>
      </c>
      <c r="G665" s="156" t="inlineStr">
        <is>
          <t>04 玉山</t>
        </is>
      </c>
      <c r="H665" s="157" t="n">
        <v>7241304</v>
      </c>
      <c r="I665" s="157" t="n">
        <v>4799838</v>
      </c>
      <c r="J665" s="157" t="n">
        <v>68771</v>
      </c>
      <c r="K665" s="157" t="n">
        <v>80498</v>
      </c>
      <c r="L665" s="157" t="n">
        <v>18180.789</v>
      </c>
      <c r="M665" s="16" t="n"/>
      <c r="N665" s="157" t="n">
        <v>43646.854</v>
      </c>
      <c r="O665" s="16" t="n"/>
      <c r="P665" s="16" t="n"/>
      <c r="Q665" s="17" t="n"/>
      <c r="R665" s="16" t="n"/>
      <c r="S665" s="16" t="n"/>
      <c r="T665" s="16" t="n"/>
      <c r="U665" s="16" t="n"/>
      <c r="V665" s="158" t="n"/>
      <c r="W665" s="16" t="n"/>
      <c r="X665" s="18" t="n"/>
      <c r="Y665" s="18" t="n"/>
      <c r="Z665" s="18" t="n"/>
      <c r="AA665" s="18" t="n"/>
      <c r="AB665" s="18" t="n"/>
      <c r="AC665" s="18" t="n"/>
      <c r="AD665" s="18" t="n"/>
      <c r="AE665" s="18" t="n"/>
      <c r="AF665" s="18" t="n"/>
      <c r="AG665" s="18" t="n"/>
      <c r="AH665" s="18" t="n"/>
      <c r="AI665" s="18" t="n"/>
    </row>
    <row r="666">
      <c r="A666" s="9" t="n">
        <v>202404</v>
      </c>
      <c r="B666" s="10">
        <f>LEFT(creditcard[[#This Row],[YYYYMM]],4)</f>
        <v/>
      </c>
      <c r="C666" s="10">
        <f>RIGHT(creditcard[[#This Row],[YYYYMM]],2)</f>
        <v/>
      </c>
      <c r="D666" s="10">
        <f>IF(RIGHT(creditcard[[#This Row],[YYYYMM]],2)="--","--","Q"&amp;ROUNDUP(VALUE(RIGHT(creditcard[[#This Row],[YYYYMM]],2))/3,0))</f>
        <v/>
      </c>
      <c r="E666" s="10" t="n">
        <v>5</v>
      </c>
      <c r="F666" s="151" t="inlineStr">
        <is>
          <t>台新</t>
        </is>
      </c>
      <c r="G666" s="152" t="inlineStr">
        <is>
          <t>05 台新</t>
        </is>
      </c>
      <c r="H666" s="153" t="n">
        <v>6508790</v>
      </c>
      <c r="I666" s="153" t="n">
        <v>4652145</v>
      </c>
      <c r="J666" s="153" t="n">
        <v>60711</v>
      </c>
      <c r="K666" s="153" t="n">
        <v>57632</v>
      </c>
      <c r="L666" s="153" t="n">
        <v>10208.851</v>
      </c>
      <c r="M666" s="11" t="n"/>
      <c r="N666" s="153" t="n">
        <v>40311.405</v>
      </c>
      <c r="O666" s="11" t="n"/>
      <c r="P666" s="11" t="n"/>
      <c r="Q666" s="12" t="n"/>
      <c r="R666" s="11" t="n"/>
      <c r="S666" s="11" t="n"/>
      <c r="T666" s="11" t="n"/>
      <c r="U666" s="11" t="n"/>
      <c r="V666" s="154" t="n"/>
      <c r="W666" s="11" t="n"/>
      <c r="X666" s="13" t="n"/>
      <c r="Y666" s="13" t="n"/>
      <c r="Z666" s="13" t="n"/>
      <c r="AA666" s="13" t="n"/>
      <c r="AB666" s="13" t="n"/>
      <c r="AC666" s="13" t="n"/>
      <c r="AD666" s="13" t="n"/>
      <c r="AE666" s="13" t="n"/>
      <c r="AF666" s="13" t="n"/>
      <c r="AG666" s="13" t="n"/>
      <c r="AH666" s="13" t="n"/>
      <c r="AI666" s="13" t="n"/>
    </row>
    <row r="667">
      <c r="A667" s="14" t="n">
        <v>202404</v>
      </c>
      <c r="B667" s="15">
        <f>LEFT(creditcard[[#This Row],[YYYYMM]],4)</f>
        <v/>
      </c>
      <c r="C667" s="15">
        <f>RIGHT(creditcard[[#This Row],[YYYYMM]],2)</f>
        <v/>
      </c>
      <c r="D667" s="15">
        <f>IF(RIGHT(creditcard[[#This Row],[YYYYMM]],2)="--","--","Q"&amp;ROUNDUP(VALUE(RIGHT(creditcard[[#This Row],[YYYYMM]],2))/3,0))</f>
        <v/>
      </c>
      <c r="E667" s="15" t="n">
        <v>6</v>
      </c>
      <c r="F667" s="155" t="inlineStr">
        <is>
          <t>星展</t>
        </is>
      </c>
      <c r="G667" s="156" t="inlineStr">
        <is>
          <t>06 星展</t>
        </is>
      </c>
      <c r="H667" s="157" t="n">
        <v>3688109</v>
      </c>
      <c r="I667" s="157" t="n">
        <v>2079957</v>
      </c>
      <c r="J667" s="157" t="n">
        <v>70650</v>
      </c>
      <c r="K667" s="157" t="n">
        <v>151747</v>
      </c>
      <c r="L667" s="157" t="n">
        <v>8342.161</v>
      </c>
      <c r="M667" s="16" t="n"/>
      <c r="N667" s="157" t="n">
        <v>22324.04</v>
      </c>
      <c r="O667" s="16" t="n"/>
      <c r="P667" s="16" t="n"/>
      <c r="Q667" s="17" t="n"/>
      <c r="R667" s="16" t="n"/>
      <c r="S667" s="16" t="n"/>
      <c r="T667" s="16" t="n"/>
      <c r="U667" s="16" t="n"/>
      <c r="V667" s="158" t="n"/>
      <c r="W667" s="16" t="n"/>
      <c r="X667" s="18" t="n"/>
      <c r="Y667" s="18" t="n"/>
      <c r="Z667" s="18" t="n"/>
      <c r="AA667" s="18" t="n"/>
      <c r="AB667" s="18" t="n"/>
      <c r="AC667" s="18" t="n"/>
      <c r="AD667" s="18" t="n"/>
      <c r="AE667" s="18" t="n"/>
      <c r="AF667" s="18" t="n"/>
      <c r="AG667" s="18" t="n"/>
      <c r="AH667" s="18" t="n"/>
      <c r="AI667" s="18" t="n"/>
    </row>
    <row r="668">
      <c r="A668" s="9" t="n">
        <v>202404</v>
      </c>
      <c r="B668" s="10">
        <f>LEFT(creditcard[[#This Row],[YYYYMM]],4)</f>
        <v/>
      </c>
      <c r="C668" s="10">
        <f>RIGHT(creditcard[[#This Row],[YYYYMM]],2)</f>
        <v/>
      </c>
      <c r="D668" s="10">
        <f>IF(RIGHT(creditcard[[#This Row],[YYYYMM]],2)="--","--","Q"&amp;ROUNDUP(VALUE(RIGHT(creditcard[[#This Row],[YYYYMM]],2))/3,0))</f>
        <v/>
      </c>
      <c r="E668" s="10" t="n">
        <v>7</v>
      </c>
      <c r="F668" s="151" t="inlineStr">
        <is>
          <t>聯邦</t>
        </is>
      </c>
      <c r="G668" s="152" t="inlineStr">
        <is>
          <t>07 聯邦</t>
        </is>
      </c>
      <c r="H668" s="153" t="n">
        <v>2892579</v>
      </c>
      <c r="I668" s="153" t="n">
        <v>1866257</v>
      </c>
      <c r="J668" s="153" t="n">
        <v>37551</v>
      </c>
      <c r="K668" s="153" t="n">
        <v>23811</v>
      </c>
      <c r="L668" s="153" t="n">
        <v>6339.974</v>
      </c>
      <c r="M668" s="11" t="n"/>
      <c r="N668" s="153" t="n">
        <v>15673.828</v>
      </c>
      <c r="O668" s="11" t="n"/>
      <c r="P668" s="11" t="n"/>
      <c r="Q668" s="12" t="n"/>
      <c r="R668" s="11" t="n"/>
      <c r="S668" s="11" t="n"/>
      <c r="T668" s="11" t="n"/>
      <c r="U668" s="11" t="n"/>
      <c r="V668" s="154" t="n"/>
      <c r="W668" s="11" t="n"/>
      <c r="X668" s="13" t="n"/>
      <c r="Y668" s="13" t="n"/>
      <c r="Z668" s="13" t="n"/>
      <c r="AA668" s="13" t="n"/>
      <c r="AB668" s="13" t="n"/>
      <c r="AC668" s="13" t="n"/>
      <c r="AD668" s="13" t="n"/>
      <c r="AE668" s="13" t="n"/>
      <c r="AF668" s="13" t="n"/>
      <c r="AG668" s="13" t="n"/>
      <c r="AH668" s="13" t="n"/>
      <c r="AI668" s="13" t="n"/>
    </row>
    <row r="669">
      <c r="A669" s="14" t="n">
        <v>202404</v>
      </c>
      <c r="B669" s="15">
        <f>LEFT(creditcard[[#This Row],[YYYYMM]],4)</f>
        <v/>
      </c>
      <c r="C669" s="15">
        <f>RIGHT(creditcard[[#This Row],[YYYYMM]],2)</f>
        <v/>
      </c>
      <c r="D669" s="15">
        <f>IF(RIGHT(creditcard[[#This Row],[YYYYMM]],2)="--","--","Q"&amp;ROUNDUP(VALUE(RIGHT(creditcard[[#This Row],[YYYYMM]],2))/3,0))</f>
        <v/>
      </c>
      <c r="E669" s="15" t="n">
        <v>8</v>
      </c>
      <c r="F669" s="155" t="inlineStr">
        <is>
          <t>永豐</t>
        </is>
      </c>
      <c r="G669" s="156" t="inlineStr">
        <is>
          <t>08 永豐</t>
        </is>
      </c>
      <c r="H669" s="157" t="n">
        <v>2242177</v>
      </c>
      <c r="I669" s="157" t="n">
        <v>1261206</v>
      </c>
      <c r="J669" s="157" t="n">
        <v>18145</v>
      </c>
      <c r="K669" s="157" t="n">
        <v>6997</v>
      </c>
      <c r="L669" s="157" t="n">
        <v>3940.474</v>
      </c>
      <c r="M669" s="16" t="n"/>
      <c r="N669" s="157" t="n">
        <v>11287.146</v>
      </c>
      <c r="O669" s="16" t="n"/>
      <c r="P669" s="16" t="n"/>
      <c r="Q669" s="17" t="n"/>
      <c r="R669" s="16" t="n"/>
      <c r="S669" s="16" t="n"/>
      <c r="T669" s="16" t="n"/>
      <c r="U669" s="16" t="n"/>
      <c r="V669" s="158" t="n"/>
      <c r="W669" s="16" t="n"/>
      <c r="X669" s="18" t="n"/>
      <c r="Y669" s="18" t="n"/>
      <c r="Z669" s="18" t="n"/>
      <c r="AA669" s="18" t="n"/>
      <c r="AB669" s="18" t="n"/>
      <c r="AC669" s="18" t="n"/>
      <c r="AD669" s="18" t="n"/>
      <c r="AE669" s="18" t="n"/>
      <c r="AF669" s="18" t="n"/>
      <c r="AG669" s="18" t="n"/>
      <c r="AH669" s="18" t="n"/>
      <c r="AI669" s="18" t="n"/>
    </row>
    <row r="670">
      <c r="A670" s="9" t="n">
        <v>202404</v>
      </c>
      <c r="B670" s="10">
        <f>LEFT(creditcard[[#This Row],[YYYYMM]],4)</f>
        <v/>
      </c>
      <c r="C670" s="10">
        <f>RIGHT(creditcard[[#This Row],[YYYYMM]],2)</f>
        <v/>
      </c>
      <c r="D670" s="10">
        <f>IF(RIGHT(creditcard[[#This Row],[YYYYMM]],2)="--","--","Q"&amp;ROUNDUP(VALUE(RIGHT(creditcard[[#This Row],[YYYYMM]],2))/3,0))</f>
        <v/>
      </c>
      <c r="E670" s="10" t="n">
        <v>9</v>
      </c>
      <c r="F670" s="151" t="inlineStr">
        <is>
          <t>第一</t>
        </is>
      </c>
      <c r="G670" s="152" t="inlineStr">
        <is>
          <t>09 第一</t>
        </is>
      </c>
      <c r="H670" s="153" t="n">
        <v>1510972</v>
      </c>
      <c r="I670" s="153" t="n">
        <v>963162</v>
      </c>
      <c r="J670" s="153" t="n">
        <v>15669</v>
      </c>
      <c r="K670" s="153" t="n">
        <v>42819</v>
      </c>
      <c r="L670" s="153" t="n">
        <v>1278.092</v>
      </c>
      <c r="M670" s="11" t="n"/>
      <c r="N670" s="153" t="n">
        <v>6774.206</v>
      </c>
      <c r="O670" s="11" t="n"/>
      <c r="P670" s="11" t="n"/>
      <c r="Q670" s="12" t="n"/>
      <c r="R670" s="11" t="n"/>
      <c r="S670" s="11" t="n"/>
      <c r="T670" s="11" t="n"/>
      <c r="U670" s="11" t="n"/>
      <c r="V670" s="154" t="n"/>
      <c r="W670" s="11" t="n"/>
      <c r="X670" s="13" t="n"/>
      <c r="Y670" s="13" t="n"/>
      <c r="Z670" s="13" t="n"/>
      <c r="AA670" s="13" t="n"/>
      <c r="AB670" s="13" t="n"/>
      <c r="AC670" s="13" t="n"/>
      <c r="AD670" s="13" t="n"/>
      <c r="AE670" s="13" t="n"/>
      <c r="AF670" s="13" t="n"/>
      <c r="AG670" s="13" t="n"/>
      <c r="AH670" s="13" t="n"/>
      <c r="AI670" s="13" t="n"/>
    </row>
    <row r="671">
      <c r="A671" s="14" t="n">
        <v>202404</v>
      </c>
      <c r="B671" s="15">
        <f>LEFT(creditcard[[#This Row],[YYYYMM]],4)</f>
        <v/>
      </c>
      <c r="C671" s="15">
        <f>RIGHT(creditcard[[#This Row],[YYYYMM]],2)</f>
        <v/>
      </c>
      <c r="D671" s="15">
        <f>IF(RIGHT(creditcard[[#This Row],[YYYYMM]],2)="--","--","Q"&amp;ROUNDUP(VALUE(RIGHT(creditcard[[#This Row],[YYYYMM]],2))/3,0))</f>
        <v/>
      </c>
      <c r="E671" s="15" t="n">
        <v>10</v>
      </c>
      <c r="F671" s="155" t="inlineStr">
        <is>
          <t>遠東</t>
        </is>
      </c>
      <c r="G671" s="156" t="inlineStr">
        <is>
          <t>10 遠東</t>
        </is>
      </c>
      <c r="H671" s="157" t="n">
        <v>1351834</v>
      </c>
      <c r="I671" s="157" t="n">
        <v>961162</v>
      </c>
      <c r="J671" s="157" t="n">
        <v>6275</v>
      </c>
      <c r="K671" s="157" t="n">
        <v>6679</v>
      </c>
      <c r="L671" s="157" t="n">
        <v>3366.177</v>
      </c>
      <c r="M671" s="16" t="n"/>
      <c r="N671" s="157" t="n">
        <v>4249.246</v>
      </c>
      <c r="O671" s="16" t="n"/>
      <c r="P671" s="16" t="n"/>
      <c r="Q671" s="17" t="n"/>
      <c r="R671" s="16" t="n"/>
      <c r="S671" s="16" t="n"/>
      <c r="T671" s="16" t="n"/>
      <c r="U671" s="16" t="n"/>
      <c r="V671" s="158" t="n"/>
      <c r="W671" s="16" t="n"/>
      <c r="X671" s="18" t="n"/>
      <c r="Y671" s="18" t="n"/>
      <c r="Z671" s="18" t="n"/>
      <c r="AA671" s="18" t="n"/>
      <c r="AB671" s="18" t="n"/>
      <c r="AC671" s="18" t="n"/>
      <c r="AD671" s="18" t="n"/>
      <c r="AE671" s="18" t="n"/>
      <c r="AF671" s="18" t="n"/>
      <c r="AG671" s="18" t="n"/>
      <c r="AH671" s="18" t="n"/>
      <c r="AI671" s="18" t="n"/>
    </row>
    <row r="672">
      <c r="A672" s="9" t="n">
        <v>202404</v>
      </c>
      <c r="B672" s="10">
        <f>LEFT(creditcard[[#This Row],[YYYYMM]],4)</f>
        <v/>
      </c>
      <c r="C672" s="10">
        <f>RIGHT(creditcard[[#This Row],[YYYYMM]],2)</f>
        <v/>
      </c>
      <c r="D672" s="10">
        <f>IF(RIGHT(creditcard[[#This Row],[YYYYMM]],2)="--","--","Q"&amp;ROUNDUP(VALUE(RIGHT(creditcard[[#This Row],[YYYYMM]],2))/3,0))</f>
        <v/>
      </c>
      <c r="E672" s="10" t="n">
        <v>11</v>
      </c>
      <c r="F672" s="151" t="inlineStr">
        <is>
          <t>市場總計</t>
        </is>
      </c>
      <c r="G672" s="152" t="inlineStr">
        <is>
          <t>11 市場總計</t>
        </is>
      </c>
      <c r="H672" s="153" t="n">
        <v>58965522</v>
      </c>
      <c r="I672" s="153" t="n">
        <v>38116346</v>
      </c>
      <c r="J672" s="153" t="n">
        <v>586399</v>
      </c>
      <c r="K672" s="153" t="n">
        <v>578342</v>
      </c>
      <c r="L672" s="153" t="n">
        <v>109463.059</v>
      </c>
      <c r="M672" s="11" t="n"/>
      <c r="N672" s="153" t="n">
        <v>359655.298</v>
      </c>
      <c r="O672" s="11" t="n"/>
      <c r="P672" s="11" t="n"/>
      <c r="Q672" s="12" t="n"/>
      <c r="R672" s="11" t="n"/>
      <c r="S672" s="11" t="n"/>
      <c r="T672" s="11" t="n"/>
      <c r="U672" s="11" t="n"/>
      <c r="V672" s="154" t="n">
        <v>4.65</v>
      </c>
      <c r="W672" s="11">
        <f>SUMIFS(H:H,A:A,creditcard[[#This Row],[YYYYMM]],G:G,creditcard[[#This Row],[Item]])</f>
        <v/>
      </c>
      <c r="X672" s="4">
        <f>IFERROR(SUMIFS(H:H,A:A,creditcard[[#This Row],[YYYYMM]],E:E,"&lt;=5")/creditcard[[#This Row],[市場總計]],"")</f>
        <v/>
      </c>
      <c r="Y672" s="4">
        <f>IFERROR(SUMIFS(H:H,A:A,creditcard[[#This Row],[YYYYMM]],E:E,"&lt;=10")/creditcard[[#This Row],[市場總計]],"")</f>
        <v/>
      </c>
      <c r="Z672" s="4">
        <f>IFERROR(SUMIFS(I:I,A:A,creditcard[[#This Row],[YYYYMM]],E:E,"&lt;=5")/creditcard[[#This Row],[有效卡數]],"")</f>
        <v/>
      </c>
      <c r="AA672" s="4">
        <f>IFERROR(SUMIFS(I:I,A:A,creditcard[[#This Row],[YYYYMM]],E:E,"&lt;=10")/creditcard[[#This Row],[有效卡數]],"")</f>
        <v/>
      </c>
      <c r="AB672" s="4">
        <f>IFERROR(SUMIFS(J:J,A:A,creditcard[[#This Row],[YYYYMM]],E:E,"&lt;=5")/creditcard[[#This Row],[當月發卡數]],"")</f>
        <v/>
      </c>
      <c r="AC672" s="4">
        <f>IFERROR(SUMIFS(J:J,A:A,creditcard[[#This Row],[YYYYMM]],E:E,"&lt;=10")/creditcard[[#This Row],[當月發卡數]],"")</f>
        <v/>
      </c>
      <c r="AD672" s="4">
        <f>IFERROR(SUMIFS(K:K,A:A,creditcard[[#This Row],[YYYYMM]],E:E,"&lt;=5")/creditcard[[#This Row],[當月停卡數]],"")</f>
        <v/>
      </c>
      <c r="AE672" s="4">
        <f>IFERROR(SUMIFS(K:K,A:A,creditcard[[#This Row],[YYYYMM]],E:E,"&lt;=10")/creditcard[[#This Row],[當月停卡數]],"")</f>
        <v/>
      </c>
      <c r="AF672" s="4">
        <f>IFERROR(SUMIFS(L:L,A:A,creditcard[[#This Row],[YYYYMM]],E:E,"&lt;=5")/creditcard[[#This Row],[循環信用餘額]],"")</f>
        <v/>
      </c>
      <c r="AG672" s="4">
        <f>IFERROR(SUMIFS(L:L,A:A,creditcard[[#This Row],[YYYYMM]],E:E,"&lt;=10")/creditcard[[#This Row],[循環信用餘額]],"")</f>
        <v/>
      </c>
      <c r="AH672" s="4">
        <f>IFERROR(SUMIFS(N:N,A:A,creditcard[[#This Row],[YYYYMM]],E:E,"&lt;=5")/creditcard[[#This Row],[當月簽帳金額]],"")</f>
        <v/>
      </c>
      <c r="AI672" s="4">
        <f>IFERROR(SUMIFS(N:N,A:A,creditcard[[#This Row],[YYYYMM]],E:E,"&lt;=10")/creditcard[[#This Row],[當月簽帳金額]],"")</f>
        <v/>
      </c>
    </row>
    <row r="673">
      <c r="A673" s="14" t="n">
        <v>202405</v>
      </c>
      <c r="B673" s="15">
        <f>LEFT(creditcard[[#This Row],[YYYYMM]],4)</f>
        <v/>
      </c>
      <c r="C673" s="15">
        <f>RIGHT(creditcard[[#This Row],[YYYYMM]],2)</f>
        <v/>
      </c>
      <c r="D673" s="15">
        <f>IF(RIGHT(creditcard[[#This Row],[YYYYMM]],2)="--","--","Q"&amp;ROUNDUP(VALUE(RIGHT(creditcard[[#This Row],[YYYYMM]],2))/3,0))</f>
        <v/>
      </c>
      <c r="E673" s="15" t="n">
        <v>1</v>
      </c>
      <c r="F673" s="155" t="inlineStr">
        <is>
          <t>中信</t>
        </is>
      </c>
      <c r="G673" s="156" t="inlineStr">
        <is>
          <t>01 中信</t>
        </is>
      </c>
      <c r="H673" s="157" t="n">
        <v>9276341</v>
      </c>
      <c r="I673" s="157" t="n">
        <v>5875216</v>
      </c>
      <c r="J673" s="157" t="n">
        <v>86774</v>
      </c>
      <c r="K673" s="157" t="n">
        <v>49219</v>
      </c>
      <c r="L673" s="157" t="n">
        <v>16238</v>
      </c>
      <c r="M673" s="16" t="n"/>
      <c r="N673" s="157" t="n">
        <v>61196</v>
      </c>
      <c r="O673" s="16" t="n"/>
      <c r="P673" s="16" t="n"/>
      <c r="Q673" s="17" t="n"/>
      <c r="R673" s="16" t="n"/>
      <c r="S673" s="16" t="n"/>
      <c r="T673" s="16" t="n"/>
      <c r="U673" s="16" t="n"/>
      <c r="V673" s="158" t="n"/>
      <c r="W673" s="16" t="n"/>
      <c r="X673" s="18" t="n"/>
      <c r="Y673" s="18" t="n"/>
      <c r="Z673" s="18" t="n"/>
      <c r="AA673" s="18" t="n"/>
      <c r="AB673" s="18" t="n"/>
      <c r="AC673" s="18" t="n"/>
      <c r="AD673" s="18" t="n"/>
      <c r="AE673" s="18" t="n"/>
      <c r="AF673" s="18" t="n"/>
      <c r="AG673" s="18" t="n"/>
      <c r="AH673" s="18" t="n"/>
      <c r="AI673" s="18" t="n"/>
    </row>
    <row r="674">
      <c r="A674" s="9" t="n">
        <v>202405</v>
      </c>
      <c r="B674" s="10">
        <f>LEFT(creditcard[[#This Row],[YYYYMM]],4)</f>
        <v/>
      </c>
      <c r="C674" s="10">
        <f>RIGHT(creditcard[[#This Row],[YYYYMM]],2)</f>
        <v/>
      </c>
      <c r="D674" s="10">
        <f>IF(RIGHT(creditcard[[#This Row],[YYYYMM]],2)="--","--","Q"&amp;ROUNDUP(VALUE(RIGHT(creditcard[[#This Row],[YYYYMM]],2))/3,0))</f>
        <v/>
      </c>
      <c r="E674" s="10" t="n">
        <v>2</v>
      </c>
      <c r="F674" s="151" t="inlineStr">
        <is>
          <t>富邦</t>
        </is>
      </c>
      <c r="G674" s="152" t="inlineStr">
        <is>
          <t>02 富邦</t>
        </is>
      </c>
      <c r="H674" s="153" t="n">
        <v>7418460</v>
      </c>
      <c r="I674" s="153" t="n">
        <v>5637874</v>
      </c>
      <c r="J674" s="153" t="n">
        <v>61565</v>
      </c>
      <c r="K674" s="153" t="n">
        <v>36837</v>
      </c>
      <c r="L674" s="153" t="n">
        <v>9418</v>
      </c>
      <c r="M674" s="11" t="n"/>
      <c r="N674" s="153" t="n">
        <v>50572</v>
      </c>
      <c r="O674" s="11" t="n"/>
      <c r="P674" s="11" t="n"/>
      <c r="Q674" s="12" t="n"/>
      <c r="R674" s="11" t="n"/>
      <c r="S674" s="11" t="n"/>
      <c r="T674" s="11" t="n"/>
      <c r="U674" s="11" t="n"/>
      <c r="V674" s="154" t="n"/>
      <c r="W674" s="11" t="n"/>
      <c r="X674" s="13" t="n"/>
      <c r="Y674" s="13" t="n"/>
      <c r="Z674" s="13" t="n"/>
      <c r="AA674" s="13" t="n"/>
      <c r="AB674" s="13" t="n"/>
      <c r="AC674" s="13" t="n"/>
      <c r="AD674" s="13" t="n"/>
      <c r="AE674" s="13" t="n"/>
      <c r="AF674" s="13" t="n"/>
      <c r="AG674" s="13" t="n"/>
      <c r="AH674" s="13" t="n"/>
      <c r="AI674" s="13" t="n"/>
    </row>
    <row r="675">
      <c r="A675" s="14" t="n">
        <v>202405</v>
      </c>
      <c r="B675" s="15">
        <f>LEFT(creditcard[[#This Row],[YYYYMM]],4)</f>
        <v/>
      </c>
      <c r="C675" s="15">
        <f>RIGHT(creditcard[[#This Row],[YYYYMM]],2)</f>
        <v/>
      </c>
      <c r="D675" s="15">
        <f>IF(RIGHT(creditcard[[#This Row],[YYYYMM]],2)="--","--","Q"&amp;ROUNDUP(VALUE(RIGHT(creditcard[[#This Row],[YYYYMM]],2))/3,0))</f>
        <v/>
      </c>
      <c r="E675" s="15" t="n">
        <v>3</v>
      </c>
      <c r="F675" s="155" t="inlineStr">
        <is>
          <t>國泰</t>
        </is>
      </c>
      <c r="G675" s="156" t="inlineStr">
        <is>
          <t>03 國泰</t>
        </is>
      </c>
      <c r="H675" s="157" t="n">
        <v>7304437</v>
      </c>
      <c r="I675" s="157" t="n">
        <v>4738121</v>
      </c>
      <c r="J675" s="157" t="n">
        <v>66093</v>
      </c>
      <c r="K675" s="157" t="n">
        <v>28313</v>
      </c>
      <c r="L675" s="157" t="n">
        <v>18816</v>
      </c>
      <c r="M675" s="16" t="n"/>
      <c r="N675" s="157" t="n">
        <v>59824</v>
      </c>
      <c r="O675" s="16" t="n"/>
      <c r="P675" s="16" t="n"/>
      <c r="Q675" s="17" t="n"/>
      <c r="R675" s="16" t="n"/>
      <c r="S675" s="16" t="n"/>
      <c r="T675" s="16" t="n"/>
      <c r="U675" s="16" t="n"/>
      <c r="V675" s="158" t="n"/>
      <c r="W675" s="16" t="n"/>
      <c r="X675" s="18" t="n"/>
      <c r="Y675" s="18" t="n"/>
      <c r="Z675" s="18" t="n"/>
      <c r="AA675" s="18" t="n"/>
      <c r="AB675" s="18" t="n"/>
      <c r="AC675" s="18" t="n"/>
      <c r="AD675" s="18" t="n"/>
      <c r="AE675" s="18" t="n"/>
      <c r="AF675" s="18" t="n"/>
      <c r="AG675" s="18" t="n"/>
      <c r="AH675" s="18" t="n"/>
      <c r="AI675" s="18" t="n"/>
    </row>
    <row r="676">
      <c r="A676" s="9" t="n">
        <v>202405</v>
      </c>
      <c r="B676" s="10">
        <f>LEFT(creditcard[[#This Row],[YYYYMM]],4)</f>
        <v/>
      </c>
      <c r="C676" s="10">
        <f>RIGHT(creditcard[[#This Row],[YYYYMM]],2)</f>
        <v/>
      </c>
      <c r="D676" s="10">
        <f>IF(RIGHT(creditcard[[#This Row],[YYYYMM]],2)="--","--","Q"&amp;ROUNDUP(VALUE(RIGHT(creditcard[[#This Row],[YYYYMM]],2))/3,0))</f>
        <v/>
      </c>
      <c r="E676" s="10" t="n">
        <v>4</v>
      </c>
      <c r="F676" s="151" t="inlineStr">
        <is>
          <t>玉山</t>
        </is>
      </c>
      <c r="G676" s="152" t="inlineStr">
        <is>
          <t>04 玉山</t>
        </is>
      </c>
      <c r="H676" s="153" t="n">
        <v>7259717</v>
      </c>
      <c r="I676" s="153" t="n">
        <v>4799594</v>
      </c>
      <c r="J676" s="153" t="n">
        <v>82386</v>
      </c>
      <c r="K676" s="153" t="n">
        <v>63973</v>
      </c>
      <c r="L676" s="153" t="n">
        <v>17038</v>
      </c>
      <c r="M676" s="11" t="n"/>
      <c r="N676" s="153" t="n">
        <v>45859</v>
      </c>
      <c r="O676" s="11" t="n"/>
      <c r="P676" s="11" t="n"/>
      <c r="Q676" s="12" t="n"/>
      <c r="R676" s="11" t="n"/>
      <c r="S676" s="11" t="n"/>
      <c r="T676" s="11" t="n"/>
      <c r="U676" s="11" t="n"/>
      <c r="V676" s="154" t="n"/>
      <c r="W676" s="11" t="n"/>
      <c r="X676" s="13" t="n"/>
      <c r="Y676" s="13" t="n"/>
      <c r="Z676" s="13" t="n"/>
      <c r="AA676" s="13" t="n"/>
      <c r="AB676" s="13" t="n"/>
      <c r="AC676" s="13" t="n"/>
      <c r="AD676" s="13" t="n"/>
      <c r="AE676" s="13" t="n"/>
      <c r="AF676" s="13" t="n"/>
      <c r="AG676" s="13" t="n"/>
      <c r="AH676" s="13" t="n"/>
      <c r="AI676" s="13" t="n"/>
    </row>
    <row r="677">
      <c r="A677" s="14" t="n">
        <v>202405</v>
      </c>
      <c r="B677" s="15">
        <f>LEFT(creditcard[[#This Row],[YYYYMM]],4)</f>
        <v/>
      </c>
      <c r="C677" s="15">
        <f>RIGHT(creditcard[[#This Row],[YYYYMM]],2)</f>
        <v/>
      </c>
      <c r="D677" s="15">
        <f>IF(RIGHT(creditcard[[#This Row],[YYYYMM]],2)="--","--","Q"&amp;ROUNDUP(VALUE(RIGHT(creditcard[[#This Row],[YYYYMM]],2))/3,0))</f>
        <v/>
      </c>
      <c r="E677" s="15" t="n">
        <v>5</v>
      </c>
      <c r="F677" s="155" t="inlineStr">
        <is>
          <t>台新</t>
        </is>
      </c>
      <c r="G677" s="156" t="inlineStr">
        <is>
          <t>05 台新</t>
        </is>
      </c>
      <c r="H677" s="157" t="n">
        <v>6510659</v>
      </c>
      <c r="I677" s="157" t="n">
        <v>4654403</v>
      </c>
      <c r="J677" s="157" t="n">
        <v>57333</v>
      </c>
      <c r="K677" s="157" t="n">
        <v>55464</v>
      </c>
      <c r="L677" s="157" t="n">
        <v>10257</v>
      </c>
      <c r="M677" s="16" t="n"/>
      <c r="N677" s="157" t="n">
        <v>41624</v>
      </c>
      <c r="O677" s="16" t="n"/>
      <c r="P677" s="16" t="n"/>
      <c r="Q677" s="17" t="n"/>
      <c r="R677" s="16" t="n"/>
      <c r="S677" s="16" t="n"/>
      <c r="T677" s="16" t="n"/>
      <c r="U677" s="16" t="n"/>
      <c r="V677" s="158" t="n"/>
      <c r="W677" s="16" t="n"/>
      <c r="X677" s="18" t="n"/>
      <c r="Y677" s="18" t="n"/>
      <c r="Z677" s="18" t="n"/>
      <c r="AA677" s="18" t="n"/>
      <c r="AB677" s="18" t="n"/>
      <c r="AC677" s="18" t="n"/>
      <c r="AD677" s="18" t="n"/>
      <c r="AE677" s="18" t="n"/>
      <c r="AF677" s="18" t="n"/>
      <c r="AG677" s="18" t="n"/>
      <c r="AH677" s="18" t="n"/>
      <c r="AI677" s="18" t="n"/>
    </row>
    <row r="678">
      <c r="A678" s="9" t="n">
        <v>202405</v>
      </c>
      <c r="B678" s="10">
        <f>LEFT(creditcard[[#This Row],[YYYYMM]],4)</f>
        <v/>
      </c>
      <c r="C678" s="10">
        <f>RIGHT(creditcard[[#This Row],[YYYYMM]],2)</f>
        <v/>
      </c>
      <c r="D678" s="10">
        <f>IF(RIGHT(creditcard[[#This Row],[YYYYMM]],2)="--","--","Q"&amp;ROUNDUP(VALUE(RIGHT(creditcard[[#This Row],[YYYYMM]],2))/3,0))</f>
        <v/>
      </c>
      <c r="E678" s="10" t="n">
        <v>6</v>
      </c>
      <c r="F678" s="151" t="inlineStr">
        <is>
          <t>星展</t>
        </is>
      </c>
      <c r="G678" s="152" t="inlineStr">
        <is>
          <t>06 星展</t>
        </is>
      </c>
      <c r="H678" s="153" t="n">
        <v>3646355</v>
      </c>
      <c r="I678" s="153" t="n">
        <v>1962848</v>
      </c>
      <c r="J678" s="153" t="n">
        <v>449440</v>
      </c>
      <c r="K678" s="153" t="n">
        <v>491091</v>
      </c>
      <c r="L678" s="153" t="n">
        <v>8295</v>
      </c>
      <c r="M678" s="11" t="n"/>
      <c r="N678" s="153" t="n">
        <v>22652</v>
      </c>
      <c r="O678" s="11" t="n"/>
      <c r="P678" s="11" t="n"/>
      <c r="Q678" s="12" t="n"/>
      <c r="R678" s="11" t="n"/>
      <c r="S678" s="11" t="n"/>
      <c r="T678" s="11" t="n"/>
      <c r="U678" s="11" t="n"/>
      <c r="V678" s="154" t="n"/>
      <c r="W678" s="11" t="n"/>
      <c r="X678" s="13" t="n"/>
      <c r="Y678" s="13" t="n"/>
      <c r="Z678" s="13" t="n"/>
      <c r="AA678" s="13" t="n"/>
      <c r="AB678" s="13" t="n"/>
      <c r="AC678" s="13" t="n"/>
      <c r="AD678" s="13" t="n"/>
      <c r="AE678" s="13" t="n"/>
      <c r="AF678" s="13" t="n"/>
      <c r="AG678" s="13" t="n"/>
      <c r="AH678" s="13" t="n"/>
      <c r="AI678" s="13" t="n"/>
    </row>
    <row r="679">
      <c r="A679" s="14" t="n">
        <v>202405</v>
      </c>
      <c r="B679" s="15">
        <f>LEFT(creditcard[[#This Row],[YYYYMM]],4)</f>
        <v/>
      </c>
      <c r="C679" s="15">
        <f>RIGHT(creditcard[[#This Row],[YYYYMM]],2)</f>
        <v/>
      </c>
      <c r="D679" s="15">
        <f>IF(RIGHT(creditcard[[#This Row],[YYYYMM]],2)="--","--","Q"&amp;ROUNDUP(VALUE(RIGHT(creditcard[[#This Row],[YYYYMM]],2))/3,0))</f>
        <v/>
      </c>
      <c r="E679" s="15" t="n">
        <v>7</v>
      </c>
      <c r="F679" s="155" t="inlineStr">
        <is>
          <t>聯邦</t>
        </is>
      </c>
      <c r="G679" s="156" t="inlineStr">
        <is>
          <t>07 聯邦</t>
        </is>
      </c>
      <c r="H679" s="157" t="n">
        <v>2912389</v>
      </c>
      <c r="I679" s="157" t="n">
        <v>1876977</v>
      </c>
      <c r="J679" s="157" t="n">
        <v>42345</v>
      </c>
      <c r="K679" s="157" t="n">
        <v>22535</v>
      </c>
      <c r="L679" s="157" t="n">
        <v>6414</v>
      </c>
      <c r="M679" s="16" t="n"/>
      <c r="N679" s="157" t="n">
        <v>16416</v>
      </c>
      <c r="O679" s="16" t="n"/>
      <c r="P679" s="16" t="n"/>
      <c r="Q679" s="17" t="n"/>
      <c r="R679" s="16" t="n"/>
      <c r="S679" s="16" t="n"/>
      <c r="T679" s="16" t="n"/>
      <c r="U679" s="16" t="n"/>
      <c r="V679" s="158" t="n"/>
      <c r="W679" s="16" t="n"/>
      <c r="X679" s="18" t="n"/>
      <c r="Y679" s="18" t="n"/>
      <c r="Z679" s="18" t="n"/>
      <c r="AA679" s="18" t="n"/>
      <c r="AB679" s="18" t="n"/>
      <c r="AC679" s="18" t="n"/>
      <c r="AD679" s="18" t="n"/>
      <c r="AE679" s="18" t="n"/>
      <c r="AF679" s="18" t="n"/>
      <c r="AG679" s="18" t="n"/>
      <c r="AH679" s="18" t="n"/>
      <c r="AI679" s="18" t="n"/>
    </row>
    <row r="680">
      <c r="A680" s="9" t="n">
        <v>202405</v>
      </c>
      <c r="B680" s="10">
        <f>LEFT(creditcard[[#This Row],[YYYYMM]],4)</f>
        <v/>
      </c>
      <c r="C680" s="10">
        <f>RIGHT(creditcard[[#This Row],[YYYYMM]],2)</f>
        <v/>
      </c>
      <c r="D680" s="10">
        <f>IF(RIGHT(creditcard[[#This Row],[YYYYMM]],2)="--","--","Q"&amp;ROUNDUP(VALUE(RIGHT(creditcard[[#This Row],[YYYYMM]],2))/3,0))</f>
        <v/>
      </c>
      <c r="E680" s="10" t="n">
        <v>8</v>
      </c>
      <c r="F680" s="151" t="inlineStr">
        <is>
          <t>永豐</t>
        </is>
      </c>
      <c r="G680" s="152" t="inlineStr">
        <is>
          <t>08 永豐</t>
        </is>
      </c>
      <c r="H680" s="153" t="n">
        <v>2250886</v>
      </c>
      <c r="I680" s="153" t="n">
        <v>1249908</v>
      </c>
      <c r="J680" s="153" t="n">
        <v>16739</v>
      </c>
      <c r="K680" s="153" t="n">
        <v>7763</v>
      </c>
      <c r="L680" s="153" t="n">
        <v>3711</v>
      </c>
      <c r="M680" s="11" t="n"/>
      <c r="N680" s="153" t="n">
        <v>12062</v>
      </c>
      <c r="O680" s="11" t="n"/>
      <c r="P680" s="11" t="n"/>
      <c r="Q680" s="12" t="n"/>
      <c r="R680" s="11" t="n"/>
      <c r="S680" s="11" t="n"/>
      <c r="T680" s="11" t="n"/>
      <c r="U680" s="11" t="n"/>
      <c r="V680" s="154" t="n"/>
      <c r="W680" s="11" t="n"/>
      <c r="X680" s="13" t="n"/>
      <c r="Y680" s="13" t="n"/>
      <c r="Z680" s="13" t="n"/>
      <c r="AA680" s="13" t="n"/>
      <c r="AB680" s="13" t="n"/>
      <c r="AC680" s="13" t="n"/>
      <c r="AD680" s="13" t="n"/>
      <c r="AE680" s="13" t="n"/>
      <c r="AF680" s="13" t="n"/>
      <c r="AG680" s="13" t="n"/>
      <c r="AH680" s="13" t="n"/>
      <c r="AI680" s="13" t="n"/>
    </row>
    <row r="681">
      <c r="A681" s="14" t="n">
        <v>202405</v>
      </c>
      <c r="B681" s="15">
        <f>LEFT(creditcard[[#This Row],[YYYYMM]],4)</f>
        <v/>
      </c>
      <c r="C681" s="15">
        <f>RIGHT(creditcard[[#This Row],[YYYYMM]],2)</f>
        <v/>
      </c>
      <c r="D681" s="15">
        <f>IF(RIGHT(creditcard[[#This Row],[YYYYMM]],2)="--","--","Q"&amp;ROUNDUP(VALUE(RIGHT(creditcard[[#This Row],[YYYYMM]],2))/3,0))</f>
        <v/>
      </c>
      <c r="E681" s="15" t="n">
        <v>9</v>
      </c>
      <c r="F681" s="155" t="inlineStr">
        <is>
          <t>第一</t>
        </is>
      </c>
      <c r="G681" s="156" t="inlineStr">
        <is>
          <t>09 第一</t>
        </is>
      </c>
      <c r="H681" s="157" t="n">
        <v>1513450</v>
      </c>
      <c r="I681" s="157" t="n">
        <v>967881</v>
      </c>
      <c r="J681" s="157" t="n">
        <v>13805</v>
      </c>
      <c r="K681" s="157" t="n">
        <v>11794</v>
      </c>
      <c r="L681" s="157" t="n">
        <v>1299</v>
      </c>
      <c r="M681" s="16" t="n"/>
      <c r="N681" s="157" t="n">
        <v>7175</v>
      </c>
      <c r="O681" s="16" t="n"/>
      <c r="P681" s="16" t="n"/>
      <c r="Q681" s="17" t="n"/>
      <c r="R681" s="16" t="n"/>
      <c r="S681" s="16" t="n"/>
      <c r="T681" s="16" t="n"/>
      <c r="U681" s="16" t="n"/>
      <c r="V681" s="158" t="n"/>
      <c r="W681" s="16" t="n"/>
      <c r="X681" s="18" t="n"/>
      <c r="Y681" s="18" t="n"/>
      <c r="Z681" s="18" t="n"/>
      <c r="AA681" s="18" t="n"/>
      <c r="AB681" s="18" t="n"/>
      <c r="AC681" s="18" t="n"/>
      <c r="AD681" s="18" t="n"/>
      <c r="AE681" s="18" t="n"/>
      <c r="AF681" s="18" t="n"/>
      <c r="AG681" s="18" t="n"/>
      <c r="AH681" s="18" t="n"/>
      <c r="AI681" s="18" t="n"/>
    </row>
    <row r="682">
      <c r="A682" s="9" t="n">
        <v>202405</v>
      </c>
      <c r="B682" s="10">
        <f>LEFT(creditcard[[#This Row],[YYYYMM]],4)</f>
        <v/>
      </c>
      <c r="C682" s="10">
        <f>RIGHT(creditcard[[#This Row],[YYYYMM]],2)</f>
        <v/>
      </c>
      <c r="D682" s="10">
        <f>IF(RIGHT(creditcard[[#This Row],[YYYYMM]],2)="--","--","Q"&amp;ROUNDUP(VALUE(RIGHT(creditcard[[#This Row],[YYYYMM]],2))/3,0))</f>
        <v/>
      </c>
      <c r="E682" s="10" t="n">
        <v>10</v>
      </c>
      <c r="F682" s="151" t="inlineStr">
        <is>
          <t>遠東</t>
        </is>
      </c>
      <c r="G682" s="152" t="inlineStr">
        <is>
          <t>10 遠東</t>
        </is>
      </c>
      <c r="H682" s="153" t="n">
        <v>1351660</v>
      </c>
      <c r="I682" s="153" t="n">
        <v>954746</v>
      </c>
      <c r="J682" s="153" t="n">
        <v>6482</v>
      </c>
      <c r="K682" s="153" t="n">
        <v>6704</v>
      </c>
      <c r="L682" s="153" t="n">
        <v>3317</v>
      </c>
      <c r="M682" s="11" t="n"/>
      <c r="N682" s="153" t="n">
        <v>4330</v>
      </c>
      <c r="O682" s="11" t="n"/>
      <c r="P682" s="11" t="n"/>
      <c r="Q682" s="12" t="n"/>
      <c r="R682" s="11" t="n"/>
      <c r="S682" s="11" t="n"/>
      <c r="T682" s="11" t="n"/>
      <c r="U682" s="11" t="n"/>
      <c r="V682" s="154" t="n"/>
      <c r="W682" s="11" t="n"/>
      <c r="X682" s="13" t="n"/>
      <c r="Y682" s="13" t="n"/>
      <c r="Z682" s="13" t="n"/>
      <c r="AA682" s="13" t="n"/>
      <c r="AB682" s="13" t="n"/>
      <c r="AC682" s="13" t="n"/>
      <c r="AD682" s="13" t="n"/>
      <c r="AE682" s="13" t="n"/>
      <c r="AF682" s="13" t="n"/>
      <c r="AG682" s="13" t="n"/>
      <c r="AH682" s="13" t="n"/>
      <c r="AI682" s="13" t="n"/>
    </row>
    <row r="683">
      <c r="A683" s="14" t="n">
        <v>202405</v>
      </c>
      <c r="B683" s="15">
        <f>LEFT(creditcard[[#This Row],[YYYYMM]],4)</f>
        <v/>
      </c>
      <c r="C683" s="15">
        <f>RIGHT(creditcard[[#This Row],[YYYYMM]],2)</f>
        <v/>
      </c>
      <c r="D683" s="15">
        <f>IF(RIGHT(creditcard[[#This Row],[YYYYMM]],2)="--","--","Q"&amp;ROUNDUP(VALUE(RIGHT(creditcard[[#This Row],[YYYYMM]],2))/3,0))</f>
        <v/>
      </c>
      <c r="E683" s="15" t="n">
        <v>11</v>
      </c>
      <c r="F683" s="155" t="inlineStr">
        <is>
          <t>市場總計</t>
        </is>
      </c>
      <c r="G683" s="156" t="inlineStr">
        <is>
          <t>11 市場總計</t>
        </is>
      </c>
      <c r="H683" s="157" t="n">
        <v>59039098</v>
      </c>
      <c r="I683" s="157" t="n">
        <v>38060646</v>
      </c>
      <c r="J683" s="157" t="n">
        <v>964348</v>
      </c>
      <c r="K683" s="157" t="n">
        <v>894661</v>
      </c>
      <c r="L683" s="157" t="n">
        <v>108454</v>
      </c>
      <c r="M683" s="15" t="n">
        <v>158065.919</v>
      </c>
      <c r="N683" s="157" t="n">
        <v>372769</v>
      </c>
      <c r="O683" s="15" t="n">
        <v>1685.353</v>
      </c>
      <c r="P683" s="17" t="n">
        <v>0.00295185455924076</v>
      </c>
      <c r="Q683" s="17" t="n">
        <v>0.0003</v>
      </c>
      <c r="R683" s="19" t="n">
        <v>4.42052901279084</v>
      </c>
      <c r="S683" s="15" t="n">
        <v>575.796</v>
      </c>
      <c r="T683" s="15" t="n">
        <v>2819.536</v>
      </c>
      <c r="U683" s="16" t="n"/>
      <c r="V683" s="158" t="n">
        <v>4.65</v>
      </c>
      <c r="W683" s="16">
        <f>SUMIFS(H:H,A:A,creditcard[[#This Row],[YYYYMM]],G:G,creditcard[[#This Row],[Item]])</f>
        <v/>
      </c>
      <c r="X683" s="4">
        <f>IFERROR(SUMIFS(H:H,A:A,creditcard[[#This Row],[YYYYMM]],E:E,"&lt;=5")/creditcard[[#This Row],[市場總計]],"")</f>
        <v/>
      </c>
      <c r="Y683" s="4">
        <f>IFERROR(SUMIFS(H:H,A:A,creditcard[[#This Row],[YYYYMM]],E:E,"&lt;=10")/creditcard[[#This Row],[市場總計]],"")</f>
        <v/>
      </c>
      <c r="Z683" s="4">
        <f>IFERROR(SUMIFS(I:I,A:A,creditcard[[#This Row],[YYYYMM]],E:E,"&lt;=5")/creditcard[[#This Row],[有效卡數]],"")</f>
        <v/>
      </c>
      <c r="AA683" s="4">
        <f>IFERROR(SUMIFS(I:I,A:A,creditcard[[#This Row],[YYYYMM]],E:E,"&lt;=10")/creditcard[[#This Row],[有效卡數]],"")</f>
        <v/>
      </c>
      <c r="AB683" s="4">
        <f>IFERROR(SUMIFS(J:J,A:A,creditcard[[#This Row],[YYYYMM]],E:E,"&lt;=5")/creditcard[[#This Row],[當月發卡數]],"")</f>
        <v/>
      </c>
      <c r="AC683" s="4">
        <f>IFERROR(SUMIFS(J:J,A:A,creditcard[[#This Row],[YYYYMM]],E:E,"&lt;=10")/creditcard[[#This Row],[當月發卡數]],"")</f>
        <v/>
      </c>
      <c r="AD683" s="4">
        <f>IFERROR(SUMIFS(K:K,A:A,creditcard[[#This Row],[YYYYMM]],E:E,"&lt;=5")/creditcard[[#This Row],[當月停卡數]],"")</f>
        <v/>
      </c>
      <c r="AE683" s="4">
        <f>IFERROR(SUMIFS(K:K,A:A,creditcard[[#This Row],[YYYYMM]],E:E,"&lt;=10")/creditcard[[#This Row],[當月停卡數]],"")</f>
        <v/>
      </c>
      <c r="AF683" s="4">
        <f>IFERROR(SUMIFS(L:L,A:A,creditcard[[#This Row],[YYYYMM]],E:E,"&lt;=5")/creditcard[[#This Row],[循環信用餘額]],"")</f>
        <v/>
      </c>
      <c r="AG683" s="4">
        <f>IFERROR(SUMIFS(L:L,A:A,creditcard[[#This Row],[YYYYMM]],E:E,"&lt;=10")/creditcard[[#This Row],[循環信用餘額]],"")</f>
        <v/>
      </c>
      <c r="AH683" s="4">
        <f>IFERROR(SUMIFS(N:N,A:A,creditcard[[#This Row],[YYYYMM]],E:E,"&lt;=5")/creditcard[[#This Row],[當月簽帳金額]],"")</f>
        <v/>
      </c>
      <c r="AI683" s="4">
        <f>IFERROR(SUMIFS(N:N,A:A,creditcard[[#This Row],[YYYYMM]],E:E,"&lt;=10")/creditcard[[#This Row],[當月簽帳金額]],"")</f>
        <v/>
      </c>
    </row>
    <row r="684">
      <c r="A684" s="9" t="n">
        <v>202406</v>
      </c>
      <c r="B684" s="10">
        <f>LEFT(creditcard[[#This Row],[YYYYMM]],4)</f>
        <v/>
      </c>
      <c r="C684" s="10">
        <f>RIGHT(creditcard[[#This Row],[YYYYMM]],2)</f>
        <v/>
      </c>
      <c r="D684" s="10">
        <f>IF(RIGHT(creditcard[[#This Row],[YYYYMM]],2)="--","--","Q"&amp;ROUNDUP(VALUE(RIGHT(creditcard[[#This Row],[YYYYMM]],2))/3,0))</f>
        <v/>
      </c>
      <c r="E684" s="10" t="n">
        <v>1</v>
      </c>
      <c r="F684" s="151" t="inlineStr">
        <is>
          <t>中信</t>
        </is>
      </c>
      <c r="G684" s="152" t="inlineStr">
        <is>
          <t>01 中信</t>
        </is>
      </c>
      <c r="H684" s="153" t="n">
        <v>9312533</v>
      </c>
      <c r="I684" s="153" t="n">
        <v>5882600</v>
      </c>
      <c r="J684" s="153" t="n">
        <v>68717</v>
      </c>
      <c r="K684" s="153" t="n">
        <v>32525</v>
      </c>
      <c r="L684" s="153" t="n">
        <v>16211</v>
      </c>
      <c r="M684" s="11" t="n"/>
      <c r="N684" s="153" t="n">
        <v>111234</v>
      </c>
      <c r="O684" s="11" t="n"/>
      <c r="P684" s="11" t="n"/>
      <c r="Q684" s="12" t="n"/>
      <c r="R684" s="11" t="n"/>
      <c r="S684" s="11" t="n"/>
      <c r="T684" s="11" t="n"/>
      <c r="U684" s="11" t="n"/>
      <c r="V684" s="154" t="n"/>
      <c r="W684" s="11" t="n"/>
      <c r="X684" s="13" t="n"/>
      <c r="Y684" s="13" t="n"/>
      <c r="Z684" s="13" t="n"/>
      <c r="AA684" s="13" t="n"/>
      <c r="AB684" s="13" t="n"/>
      <c r="AC684" s="13" t="n"/>
      <c r="AD684" s="13" t="n"/>
      <c r="AE684" s="13" t="n"/>
      <c r="AF684" s="13" t="n"/>
      <c r="AG684" s="13" t="n"/>
      <c r="AH684" s="13" t="n"/>
      <c r="AI684" s="13" t="n"/>
    </row>
    <row r="685">
      <c r="A685" s="14" t="n">
        <v>202406</v>
      </c>
      <c r="B685" s="15">
        <f>LEFT(creditcard[[#This Row],[YYYYMM]],4)</f>
        <v/>
      </c>
      <c r="C685" s="15">
        <f>RIGHT(creditcard[[#This Row],[YYYYMM]],2)</f>
        <v/>
      </c>
      <c r="D685" s="15">
        <f>IF(RIGHT(creditcard[[#This Row],[YYYYMM]],2)="--","--","Q"&amp;ROUNDUP(VALUE(RIGHT(creditcard[[#This Row],[YYYYMM]],2))/3,0))</f>
        <v/>
      </c>
      <c r="E685" s="15" t="n">
        <v>2</v>
      </c>
      <c r="F685" s="155" t="inlineStr">
        <is>
          <t>富邦</t>
        </is>
      </c>
      <c r="G685" s="156" t="inlineStr">
        <is>
          <t>02 富邦</t>
        </is>
      </c>
      <c r="H685" s="157" t="n">
        <v>7440549</v>
      </c>
      <c r="I685" s="157" t="n">
        <v>5655202</v>
      </c>
      <c r="J685" s="157" t="n">
        <v>57789</v>
      </c>
      <c r="K685" s="157" t="n">
        <v>35700</v>
      </c>
      <c r="L685" s="157" t="n">
        <v>9854</v>
      </c>
      <c r="M685" s="16" t="n"/>
      <c r="N685" s="157" t="n">
        <v>56776</v>
      </c>
      <c r="O685" s="16" t="n"/>
      <c r="P685" s="16" t="n"/>
      <c r="Q685" s="17" t="n"/>
      <c r="R685" s="16" t="n"/>
      <c r="S685" s="16" t="n"/>
      <c r="T685" s="16" t="n"/>
      <c r="U685" s="16" t="n"/>
      <c r="V685" s="158" t="n"/>
      <c r="W685" s="16" t="n"/>
      <c r="X685" s="18" t="n"/>
      <c r="Y685" s="18" t="n"/>
      <c r="Z685" s="18" t="n"/>
      <c r="AA685" s="18" t="n"/>
      <c r="AB685" s="18" t="n"/>
      <c r="AC685" s="18" t="n"/>
      <c r="AD685" s="18" t="n"/>
      <c r="AE685" s="18" t="n"/>
      <c r="AF685" s="18" t="n"/>
      <c r="AG685" s="18" t="n"/>
      <c r="AH685" s="18" t="n"/>
      <c r="AI685" s="18" t="n"/>
    </row>
    <row r="686">
      <c r="A686" s="9" t="n">
        <v>202406</v>
      </c>
      <c r="B686" s="10">
        <f>LEFT(creditcard[[#This Row],[YYYYMM]],4)</f>
        <v/>
      </c>
      <c r="C686" s="10">
        <f>RIGHT(creditcard[[#This Row],[YYYYMM]],2)</f>
        <v/>
      </c>
      <c r="D686" s="10">
        <f>IF(RIGHT(creditcard[[#This Row],[YYYYMM]],2)="--","--","Q"&amp;ROUNDUP(VALUE(RIGHT(creditcard[[#This Row],[YYYYMM]],2))/3,0))</f>
        <v/>
      </c>
      <c r="E686" s="10" t="n">
        <v>3</v>
      </c>
      <c r="F686" s="151" t="inlineStr">
        <is>
          <t>國泰</t>
        </is>
      </c>
      <c r="G686" s="152" t="inlineStr">
        <is>
          <t>03 國泰</t>
        </is>
      </c>
      <c r="H686" s="153" t="n">
        <v>7340148</v>
      </c>
      <c r="I686" s="153" t="n">
        <v>4772811</v>
      </c>
      <c r="J686" s="153" t="n">
        <v>59478</v>
      </c>
      <c r="K686" s="153" t="n">
        <v>23769</v>
      </c>
      <c r="L686" s="153" t="n">
        <v>19999</v>
      </c>
      <c r="M686" s="11" t="n"/>
      <c r="N686" s="153" t="n">
        <v>91763</v>
      </c>
      <c r="O686" s="11" t="n"/>
      <c r="P686" s="11" t="n"/>
      <c r="Q686" s="12" t="n"/>
      <c r="R686" s="11" t="n"/>
      <c r="S686" s="11" t="n"/>
      <c r="T686" s="11" t="n"/>
      <c r="U686" s="11" t="n"/>
      <c r="V686" s="154" t="n"/>
      <c r="W686" s="11" t="n"/>
      <c r="X686" s="13" t="n"/>
      <c r="Y686" s="13" t="n"/>
      <c r="Z686" s="13" t="n"/>
      <c r="AA686" s="13" t="n"/>
      <c r="AB686" s="13" t="n"/>
      <c r="AC686" s="13" t="n"/>
      <c r="AD686" s="13" t="n"/>
      <c r="AE686" s="13" t="n"/>
      <c r="AF686" s="13" t="n"/>
      <c r="AG686" s="13" t="n"/>
      <c r="AH686" s="13" t="n"/>
      <c r="AI686" s="13" t="n"/>
    </row>
    <row r="687">
      <c r="A687" s="14" t="n">
        <v>202406</v>
      </c>
      <c r="B687" s="15">
        <f>LEFT(creditcard[[#This Row],[YYYYMM]],4)</f>
        <v/>
      </c>
      <c r="C687" s="15">
        <f>RIGHT(creditcard[[#This Row],[YYYYMM]],2)</f>
        <v/>
      </c>
      <c r="D687" s="15">
        <f>IF(RIGHT(creditcard[[#This Row],[YYYYMM]],2)="--","--","Q"&amp;ROUNDUP(VALUE(RIGHT(creditcard[[#This Row],[YYYYMM]],2))/3,0))</f>
        <v/>
      </c>
      <c r="E687" s="15" t="n">
        <v>4</v>
      </c>
      <c r="F687" s="155" t="inlineStr">
        <is>
          <t>玉山</t>
        </is>
      </c>
      <c r="G687" s="156" t="inlineStr">
        <is>
          <t>04 玉山</t>
        </is>
      </c>
      <c r="H687" s="157" t="n">
        <v>7263022</v>
      </c>
      <c r="I687" s="157" t="n">
        <v>4817103</v>
      </c>
      <c r="J687" s="157" t="n">
        <v>59641</v>
      </c>
      <c r="K687" s="157" t="n">
        <v>56336</v>
      </c>
      <c r="L687" s="157" t="n">
        <v>17020</v>
      </c>
      <c r="M687" s="16" t="n"/>
      <c r="N687" s="157" t="n">
        <v>102532</v>
      </c>
      <c r="O687" s="16" t="n"/>
      <c r="P687" s="16" t="n"/>
      <c r="Q687" s="17" t="n"/>
      <c r="R687" s="16" t="n"/>
      <c r="S687" s="16" t="n"/>
      <c r="T687" s="16" t="n"/>
      <c r="U687" s="16" t="n"/>
      <c r="V687" s="158" t="n"/>
      <c r="W687" s="16" t="n"/>
      <c r="X687" s="18" t="n"/>
      <c r="Y687" s="18" t="n"/>
      <c r="Z687" s="18" t="n"/>
      <c r="AA687" s="18" t="n"/>
      <c r="AB687" s="18" t="n"/>
      <c r="AC687" s="18" t="n"/>
      <c r="AD687" s="18" t="n"/>
      <c r="AE687" s="18" t="n"/>
      <c r="AF687" s="18" t="n"/>
      <c r="AG687" s="18" t="n"/>
      <c r="AH687" s="18" t="n"/>
      <c r="AI687" s="18" t="n"/>
    </row>
    <row r="688">
      <c r="A688" s="9" t="n">
        <v>202406</v>
      </c>
      <c r="B688" s="10">
        <f>LEFT(creditcard[[#This Row],[YYYYMM]],4)</f>
        <v/>
      </c>
      <c r="C688" s="10">
        <f>RIGHT(creditcard[[#This Row],[YYYYMM]],2)</f>
        <v/>
      </c>
      <c r="D688" s="10">
        <f>IF(RIGHT(creditcard[[#This Row],[YYYYMM]],2)="--","--","Q"&amp;ROUNDUP(VALUE(RIGHT(creditcard[[#This Row],[YYYYMM]],2))/3,0))</f>
        <v/>
      </c>
      <c r="E688" s="10" t="n">
        <v>5</v>
      </c>
      <c r="F688" s="151" t="inlineStr">
        <is>
          <t>台新</t>
        </is>
      </c>
      <c r="G688" s="152" t="inlineStr">
        <is>
          <t>05 台新</t>
        </is>
      </c>
      <c r="H688" s="153" t="n">
        <v>6512921</v>
      </c>
      <c r="I688" s="153" t="n">
        <v>4653317</v>
      </c>
      <c r="J688" s="153" t="n">
        <v>48163</v>
      </c>
      <c r="K688" s="153" t="n">
        <v>45901</v>
      </c>
      <c r="L688" s="153" t="n">
        <v>10316</v>
      </c>
      <c r="M688" s="11" t="n"/>
      <c r="N688" s="153" t="n">
        <v>56710</v>
      </c>
      <c r="O688" s="11" t="n"/>
      <c r="P688" s="11" t="n"/>
      <c r="Q688" s="12" t="n"/>
      <c r="R688" s="11" t="n"/>
      <c r="S688" s="11" t="n"/>
      <c r="T688" s="11" t="n"/>
      <c r="U688" s="11" t="n"/>
      <c r="V688" s="154" t="n"/>
      <c r="W688" s="11" t="n"/>
      <c r="X688" s="13" t="n"/>
      <c r="Y688" s="13" t="n"/>
      <c r="Z688" s="13" t="n"/>
      <c r="AA688" s="13" t="n"/>
      <c r="AB688" s="13" t="n"/>
      <c r="AC688" s="13" t="n"/>
      <c r="AD688" s="13" t="n"/>
      <c r="AE688" s="13" t="n"/>
      <c r="AF688" s="13" t="n"/>
      <c r="AG688" s="13" t="n"/>
      <c r="AH688" s="13" t="n"/>
      <c r="AI688" s="13" t="n"/>
    </row>
    <row r="689">
      <c r="A689" s="14" t="n">
        <v>202406</v>
      </c>
      <c r="B689" s="15">
        <f>LEFT(creditcard[[#This Row],[YYYYMM]],4)</f>
        <v/>
      </c>
      <c r="C689" s="15">
        <f>RIGHT(creditcard[[#This Row],[YYYYMM]],2)</f>
        <v/>
      </c>
      <c r="D689" s="15">
        <f>IF(RIGHT(creditcard[[#This Row],[YYYYMM]],2)="--","--","Q"&amp;ROUNDUP(VALUE(RIGHT(creditcard[[#This Row],[YYYYMM]],2))/3,0))</f>
        <v/>
      </c>
      <c r="E689" s="15" t="n">
        <v>6</v>
      </c>
      <c r="F689" s="155" t="inlineStr">
        <is>
          <t>星展</t>
        </is>
      </c>
      <c r="G689" s="156" t="inlineStr">
        <is>
          <t>06 星展</t>
        </is>
      </c>
      <c r="H689" s="157" t="n">
        <v>3516949</v>
      </c>
      <c r="I689" s="157" t="n">
        <v>2042306</v>
      </c>
      <c r="J689" s="157" t="n">
        <v>42121</v>
      </c>
      <c r="K689" s="157" t="n">
        <v>158038</v>
      </c>
      <c r="L689" s="157" t="n">
        <v>8423</v>
      </c>
      <c r="M689" s="16" t="n"/>
      <c r="N689" s="157" t="n">
        <v>25885</v>
      </c>
      <c r="O689" s="16" t="n"/>
      <c r="P689" s="16" t="n"/>
      <c r="Q689" s="17" t="n"/>
      <c r="R689" s="16" t="n"/>
      <c r="S689" s="16" t="n"/>
      <c r="T689" s="16" t="n"/>
      <c r="U689" s="16" t="n"/>
      <c r="V689" s="158" t="n"/>
      <c r="W689" s="16" t="n"/>
      <c r="X689" s="18" t="n"/>
      <c r="Y689" s="18" t="n"/>
      <c r="Z689" s="18" t="n"/>
      <c r="AA689" s="18" t="n"/>
      <c r="AB689" s="18" t="n"/>
      <c r="AC689" s="18" t="n"/>
      <c r="AD689" s="18" t="n"/>
      <c r="AE689" s="18" t="n"/>
      <c r="AF689" s="18" t="n"/>
      <c r="AG689" s="18" t="n"/>
      <c r="AH689" s="18" t="n"/>
      <c r="AI689" s="18" t="n"/>
    </row>
    <row r="690">
      <c r="A690" s="9" t="n">
        <v>202406</v>
      </c>
      <c r="B690" s="10">
        <f>LEFT(creditcard[[#This Row],[YYYYMM]],4)</f>
        <v/>
      </c>
      <c r="C690" s="10">
        <f>RIGHT(creditcard[[#This Row],[YYYYMM]],2)</f>
        <v/>
      </c>
      <c r="D690" s="10">
        <f>IF(RIGHT(creditcard[[#This Row],[YYYYMM]],2)="--","--","Q"&amp;ROUNDUP(VALUE(RIGHT(creditcard[[#This Row],[YYYYMM]],2))/3,0))</f>
        <v/>
      </c>
      <c r="E690" s="10" t="n">
        <v>7</v>
      </c>
      <c r="F690" s="151" t="inlineStr">
        <is>
          <t>聯邦</t>
        </is>
      </c>
      <c r="G690" s="152" t="inlineStr">
        <is>
          <t>07 聯邦</t>
        </is>
      </c>
      <c r="H690" s="153" t="n">
        <v>2876100</v>
      </c>
      <c r="I690" s="153" t="n">
        <v>1891236</v>
      </c>
      <c r="J690" s="153" t="n">
        <v>27562</v>
      </c>
      <c r="K690" s="153" t="n">
        <v>63851</v>
      </c>
      <c r="L690" s="153" t="n">
        <v>6438</v>
      </c>
      <c r="M690" s="11" t="n"/>
      <c r="N690" s="153" t="n">
        <v>19047</v>
      </c>
      <c r="O690" s="11" t="n"/>
      <c r="P690" s="11" t="n"/>
      <c r="Q690" s="12" t="n"/>
      <c r="R690" s="11" t="n"/>
      <c r="S690" s="11" t="n"/>
      <c r="T690" s="11" t="n"/>
      <c r="U690" s="11" t="n"/>
      <c r="V690" s="154" t="n"/>
      <c r="W690" s="11" t="n"/>
      <c r="X690" s="13" t="n"/>
      <c r="Y690" s="13" t="n"/>
      <c r="Z690" s="13" t="n"/>
      <c r="AA690" s="13" t="n"/>
      <c r="AB690" s="13" t="n"/>
      <c r="AC690" s="13" t="n"/>
      <c r="AD690" s="13" t="n"/>
      <c r="AE690" s="13" t="n"/>
      <c r="AF690" s="13" t="n"/>
      <c r="AG690" s="13" t="n"/>
      <c r="AH690" s="13" t="n"/>
      <c r="AI690" s="13" t="n"/>
    </row>
    <row r="691">
      <c r="A691" s="14" t="n">
        <v>202406</v>
      </c>
      <c r="B691" s="15">
        <f>LEFT(creditcard[[#This Row],[YYYYMM]],4)</f>
        <v/>
      </c>
      <c r="C691" s="15">
        <f>RIGHT(creditcard[[#This Row],[YYYYMM]],2)</f>
        <v/>
      </c>
      <c r="D691" s="15">
        <f>IF(RIGHT(creditcard[[#This Row],[YYYYMM]],2)="--","--","Q"&amp;ROUNDUP(VALUE(RIGHT(creditcard[[#This Row],[YYYYMM]],2))/3,0))</f>
        <v/>
      </c>
      <c r="E691" s="15" t="n">
        <v>8</v>
      </c>
      <c r="F691" s="155" t="inlineStr">
        <is>
          <t>永豐</t>
        </is>
      </c>
      <c r="G691" s="156" t="inlineStr">
        <is>
          <t>08 永豐</t>
        </is>
      </c>
      <c r="H691" s="157" t="n">
        <v>2258591</v>
      </c>
      <c r="I691" s="157" t="n">
        <v>1254241</v>
      </c>
      <c r="J691" s="157" t="n">
        <v>14630</v>
      </c>
      <c r="K691" s="157" t="n">
        <v>6598</v>
      </c>
      <c r="L691" s="157" t="n">
        <v>3718</v>
      </c>
      <c r="M691" s="16" t="n"/>
      <c r="N691" s="157" t="n">
        <v>15608</v>
      </c>
      <c r="O691" s="16" t="n"/>
      <c r="P691" s="16" t="n"/>
      <c r="Q691" s="17" t="n"/>
      <c r="R691" s="16" t="n"/>
      <c r="S691" s="16" t="n"/>
      <c r="T691" s="16" t="n"/>
      <c r="U691" s="16" t="n"/>
      <c r="V691" s="158" t="n"/>
      <c r="W691" s="16" t="n"/>
      <c r="X691" s="18" t="n"/>
      <c r="Y691" s="18" t="n"/>
      <c r="Z691" s="18" t="n"/>
      <c r="AA691" s="18" t="n"/>
      <c r="AB691" s="18" t="n"/>
      <c r="AC691" s="18" t="n"/>
      <c r="AD691" s="18" t="n"/>
      <c r="AE691" s="18" t="n"/>
      <c r="AF691" s="18" t="n"/>
      <c r="AG691" s="18" t="n"/>
      <c r="AH691" s="18" t="n"/>
      <c r="AI691" s="18" t="n"/>
    </row>
    <row r="692">
      <c r="A692" s="9" t="n">
        <v>202406</v>
      </c>
      <c r="B692" s="10">
        <f>LEFT(creditcard[[#This Row],[YYYYMM]],4)</f>
        <v/>
      </c>
      <c r="C692" s="10">
        <f>RIGHT(creditcard[[#This Row],[YYYYMM]],2)</f>
        <v/>
      </c>
      <c r="D692" s="10">
        <f>IF(RIGHT(creditcard[[#This Row],[YYYYMM]],2)="--","--","Q"&amp;ROUNDUP(VALUE(RIGHT(creditcard[[#This Row],[YYYYMM]],2))/3,0))</f>
        <v/>
      </c>
      <c r="E692" s="10" t="n">
        <v>9</v>
      </c>
      <c r="F692" s="151" t="inlineStr">
        <is>
          <t>第一</t>
        </is>
      </c>
      <c r="G692" s="152" t="inlineStr">
        <is>
          <t>09 第一</t>
        </is>
      </c>
      <c r="H692" s="153" t="n">
        <v>1528844</v>
      </c>
      <c r="I692" s="153" t="n">
        <v>964480</v>
      </c>
      <c r="J692" s="153" t="n">
        <v>12391</v>
      </c>
      <c r="K692" s="153" t="n">
        <v>9292</v>
      </c>
      <c r="L692" s="153" t="n">
        <v>1236</v>
      </c>
      <c r="M692" s="11" t="n"/>
      <c r="N692" s="153" t="n">
        <v>9909</v>
      </c>
      <c r="O692" s="11" t="n"/>
      <c r="P692" s="11" t="n"/>
      <c r="Q692" s="12" t="n"/>
      <c r="R692" s="11" t="n"/>
      <c r="S692" s="11" t="n"/>
      <c r="T692" s="11" t="n"/>
      <c r="U692" s="11" t="n"/>
      <c r="V692" s="154" t="n"/>
      <c r="W692" s="11" t="n"/>
      <c r="X692" s="13" t="n"/>
      <c r="Y692" s="13" t="n"/>
      <c r="Z692" s="13" t="n"/>
      <c r="AA692" s="13" t="n"/>
      <c r="AB692" s="13" t="n"/>
      <c r="AC692" s="13" t="n"/>
      <c r="AD692" s="13" t="n"/>
      <c r="AE692" s="13" t="n"/>
      <c r="AF692" s="13" t="n"/>
      <c r="AG692" s="13" t="n"/>
      <c r="AH692" s="13" t="n"/>
      <c r="AI692" s="13" t="n"/>
    </row>
    <row r="693">
      <c r="A693" s="14" t="n">
        <v>202406</v>
      </c>
      <c r="B693" s="15">
        <f>LEFT(creditcard[[#This Row],[YYYYMM]],4)</f>
        <v/>
      </c>
      <c r="C693" s="15">
        <f>RIGHT(creditcard[[#This Row],[YYYYMM]],2)</f>
        <v/>
      </c>
      <c r="D693" s="15">
        <f>IF(RIGHT(creditcard[[#This Row],[YYYYMM]],2)="--","--","Q"&amp;ROUNDUP(VALUE(RIGHT(creditcard[[#This Row],[YYYYMM]],2))/3,0))</f>
        <v/>
      </c>
      <c r="E693" s="15" t="n">
        <v>10</v>
      </c>
      <c r="F693" s="155" t="inlineStr">
        <is>
          <t>遠東</t>
        </is>
      </c>
      <c r="G693" s="156" t="inlineStr">
        <is>
          <t>10 遠東</t>
        </is>
      </c>
      <c r="H693" s="157" t="n">
        <v>1351008</v>
      </c>
      <c r="I693" s="157" t="n">
        <v>949495</v>
      </c>
      <c r="J693" s="157" t="n">
        <v>5505</v>
      </c>
      <c r="K693" s="157" t="n">
        <v>6218</v>
      </c>
      <c r="L693" s="157" t="n">
        <v>3712</v>
      </c>
      <c r="M693" s="16" t="n"/>
      <c r="N693" s="157" t="n">
        <v>4984</v>
      </c>
      <c r="O693" s="16" t="n"/>
      <c r="P693" s="16" t="n"/>
      <c r="Q693" s="17" t="n"/>
      <c r="R693" s="16" t="n"/>
      <c r="S693" s="16" t="n"/>
      <c r="T693" s="16" t="n"/>
      <c r="U693" s="16" t="n"/>
      <c r="V693" s="158" t="n"/>
      <c r="W693" s="16" t="n"/>
      <c r="X693" s="18" t="n"/>
      <c r="Y693" s="18" t="n"/>
      <c r="Z693" s="18" t="n"/>
      <c r="AA693" s="18" t="n"/>
      <c r="AB693" s="18" t="n"/>
      <c r="AC693" s="18" t="n"/>
      <c r="AD693" s="18" t="n"/>
      <c r="AE693" s="18" t="n"/>
      <c r="AF693" s="18" t="n"/>
      <c r="AG693" s="18" t="n"/>
      <c r="AH693" s="18" t="n"/>
      <c r="AI693" s="18" t="n"/>
    </row>
    <row r="694">
      <c r="A694" s="9" t="n">
        <v>202406</v>
      </c>
      <c r="B694" s="10">
        <f>LEFT(creditcard[[#This Row],[YYYYMM]],4)</f>
        <v/>
      </c>
      <c r="C694" s="10">
        <f>RIGHT(creditcard[[#This Row],[YYYYMM]],2)</f>
        <v/>
      </c>
      <c r="D694" s="10">
        <f>IF(RIGHT(creditcard[[#This Row],[YYYYMM]],2)="--","--","Q"&amp;ROUNDUP(VALUE(RIGHT(creditcard[[#This Row],[YYYYMM]],2))/3,0))</f>
        <v/>
      </c>
      <c r="E694" s="10" t="n">
        <v>11</v>
      </c>
      <c r="F694" s="151" t="inlineStr">
        <is>
          <t>市場總計</t>
        </is>
      </c>
      <c r="G694" s="152" t="inlineStr">
        <is>
          <t>11 市場總計</t>
        </is>
      </c>
      <c r="H694" s="153" t="n">
        <v>58874035</v>
      </c>
      <c r="I694" s="153" t="n">
        <v>38239444</v>
      </c>
      <c r="J694" s="153" t="n">
        <v>459808</v>
      </c>
      <c r="K694" s="153" t="n">
        <v>625449</v>
      </c>
      <c r="L694" s="153" t="n">
        <v>110782</v>
      </c>
      <c r="M694" s="11" t="n"/>
      <c r="N694" s="153" t="n">
        <v>564298</v>
      </c>
      <c r="O694" s="11" t="n"/>
      <c r="P694" s="11" t="n"/>
      <c r="Q694" s="12" t="n"/>
      <c r="R694" s="11" t="n"/>
      <c r="S694" s="11" t="n"/>
      <c r="T694" s="11" t="n"/>
      <c r="U694" s="11" t="n"/>
      <c r="V694" s="154" t="n">
        <v>4.63</v>
      </c>
      <c r="W694" s="11">
        <f>SUMIFS(H:H,A:A,creditcard[[#This Row],[YYYYMM]],G:G,creditcard[[#This Row],[Item]])</f>
        <v/>
      </c>
      <c r="X694" s="4">
        <f>IFERROR(SUMIFS(H:H,A:A,creditcard[[#This Row],[YYYYMM]],E:E,"&lt;=5")/creditcard[[#This Row],[市場總計]],"")</f>
        <v/>
      </c>
      <c r="Y694" s="4">
        <f>IFERROR(SUMIFS(H:H,A:A,creditcard[[#This Row],[YYYYMM]],E:E,"&lt;=10")/creditcard[[#This Row],[市場總計]],"")</f>
        <v/>
      </c>
      <c r="Z694" s="4">
        <f>IFERROR(SUMIFS(I:I,A:A,creditcard[[#This Row],[YYYYMM]],E:E,"&lt;=5")/creditcard[[#This Row],[有效卡數]],"")</f>
        <v/>
      </c>
      <c r="AA694" s="4">
        <f>IFERROR(SUMIFS(I:I,A:A,creditcard[[#This Row],[YYYYMM]],E:E,"&lt;=10")/creditcard[[#This Row],[有效卡數]],"")</f>
        <v/>
      </c>
      <c r="AB694" s="4">
        <f>IFERROR(SUMIFS(J:J,A:A,creditcard[[#This Row],[YYYYMM]],E:E,"&lt;=5")/creditcard[[#This Row],[當月發卡數]],"")</f>
        <v/>
      </c>
      <c r="AC694" s="4">
        <f>IFERROR(SUMIFS(J:J,A:A,creditcard[[#This Row],[YYYYMM]],E:E,"&lt;=10")/creditcard[[#This Row],[當月發卡數]],"")</f>
        <v/>
      </c>
      <c r="AD694" s="4">
        <f>IFERROR(SUMIFS(K:K,A:A,creditcard[[#This Row],[YYYYMM]],E:E,"&lt;=5")/creditcard[[#This Row],[當月停卡數]],"")</f>
        <v/>
      </c>
      <c r="AE694" s="4">
        <f>IFERROR(SUMIFS(K:K,A:A,creditcard[[#This Row],[YYYYMM]],E:E,"&lt;=10")/creditcard[[#This Row],[當月停卡數]],"")</f>
        <v/>
      </c>
      <c r="AF694" s="4">
        <f>IFERROR(SUMIFS(L:L,A:A,creditcard[[#This Row],[YYYYMM]],E:E,"&lt;=5")/creditcard[[#This Row],[循環信用餘額]],"")</f>
        <v/>
      </c>
      <c r="AG694" s="4">
        <f>IFERROR(SUMIFS(L:L,A:A,creditcard[[#This Row],[YYYYMM]],E:E,"&lt;=10")/creditcard[[#This Row],[循環信用餘額]],"")</f>
        <v/>
      </c>
      <c r="AH694" s="4">
        <f>IFERROR(SUMIFS(N:N,A:A,creditcard[[#This Row],[YYYYMM]],E:E,"&lt;=5")/creditcard[[#This Row],[當月簽帳金額]],"")</f>
        <v/>
      </c>
      <c r="AI694" s="4">
        <f>IFERROR(SUMIFS(N:N,A:A,creditcard[[#This Row],[YYYYMM]],E:E,"&lt;=10")/creditcard[[#This Row],[當月簽帳金額]],"")</f>
        <v/>
      </c>
    </row>
    <row r="695">
      <c r="A695" s="14" t="n">
        <v>202407</v>
      </c>
      <c r="B695" s="15">
        <f>LEFT(creditcard[[#This Row],[YYYYMM]],4)</f>
        <v/>
      </c>
      <c r="C695" s="15">
        <f>RIGHT(creditcard[[#This Row],[YYYYMM]],2)</f>
        <v/>
      </c>
      <c r="D695" s="15">
        <f>IF(RIGHT(creditcard[[#This Row],[YYYYMM]],2)="--","--","Q"&amp;ROUNDUP(VALUE(RIGHT(creditcard[[#This Row],[YYYYMM]],2))/3,0))</f>
        <v/>
      </c>
      <c r="E695" s="15" t="n">
        <v>1</v>
      </c>
      <c r="F695" s="155" t="inlineStr">
        <is>
          <t>中信</t>
        </is>
      </c>
      <c r="G695" s="156" t="inlineStr">
        <is>
          <t>01 中信</t>
        </is>
      </c>
      <c r="H695" s="157" t="n">
        <v>9320897</v>
      </c>
      <c r="I695" s="157" t="n">
        <v>5897468</v>
      </c>
      <c r="J695" s="157" t="n">
        <v>72801</v>
      </c>
      <c r="K695" s="157" t="n">
        <v>64437</v>
      </c>
      <c r="L695" s="157" t="n">
        <v>16518.419</v>
      </c>
      <c r="M695" s="16" t="n"/>
      <c r="N695" s="157" t="n">
        <v>68761.98699999999</v>
      </c>
      <c r="O695" s="16" t="n"/>
      <c r="P695" s="16" t="n"/>
      <c r="Q695" s="17" t="n"/>
      <c r="R695" s="16" t="n"/>
      <c r="S695" s="16" t="n"/>
      <c r="T695" s="16" t="n"/>
      <c r="U695" s="16" t="n"/>
      <c r="V695" s="158" t="n"/>
      <c r="W695" s="16" t="n"/>
      <c r="X695" s="18" t="n"/>
      <c r="Y695" s="18" t="n"/>
      <c r="Z695" s="18" t="n"/>
      <c r="AA695" s="18" t="n"/>
      <c r="AB695" s="18" t="n"/>
      <c r="AC695" s="18" t="n"/>
      <c r="AD695" s="18" t="n"/>
      <c r="AE695" s="18" t="n"/>
      <c r="AF695" s="18" t="n"/>
      <c r="AG695" s="18" t="n"/>
      <c r="AH695" s="18" t="n"/>
      <c r="AI695" s="18" t="n"/>
    </row>
    <row r="696">
      <c r="A696" s="9" t="n">
        <v>202407</v>
      </c>
      <c r="B696" s="10">
        <f>LEFT(creditcard[[#This Row],[YYYYMM]],4)</f>
        <v/>
      </c>
      <c r="C696" s="10">
        <f>RIGHT(creditcard[[#This Row],[YYYYMM]],2)</f>
        <v/>
      </c>
      <c r="D696" s="10">
        <f>IF(RIGHT(creditcard[[#This Row],[YYYYMM]],2)="--","--","Q"&amp;ROUNDUP(VALUE(RIGHT(creditcard[[#This Row],[YYYYMM]],2))/3,0))</f>
        <v/>
      </c>
      <c r="E696" s="10" t="n">
        <v>2</v>
      </c>
      <c r="F696" s="151" t="inlineStr">
        <is>
          <t>富邦</t>
        </is>
      </c>
      <c r="G696" s="152" t="inlineStr">
        <is>
          <t>02 富邦</t>
        </is>
      </c>
      <c r="H696" s="153" t="n">
        <v>7283353</v>
      </c>
      <c r="I696" s="153" t="n">
        <v>5671916</v>
      </c>
      <c r="J696" s="153" t="n">
        <v>62072</v>
      </c>
      <c r="K696" s="153" t="n">
        <v>219268</v>
      </c>
      <c r="L696" s="153" t="n">
        <v>9862.453</v>
      </c>
      <c r="M696" s="11" t="n"/>
      <c r="N696" s="153" t="n">
        <v>52308.678</v>
      </c>
      <c r="O696" s="11" t="n"/>
      <c r="P696" s="11" t="n"/>
      <c r="Q696" s="12" t="n"/>
      <c r="R696" s="11" t="n"/>
      <c r="S696" s="11" t="n"/>
      <c r="T696" s="11" t="n"/>
      <c r="U696" s="11" t="n"/>
      <c r="V696" s="154" t="n"/>
      <c r="W696" s="11" t="n"/>
      <c r="X696" s="13" t="n"/>
      <c r="Y696" s="13" t="n"/>
      <c r="Z696" s="13" t="n"/>
      <c r="AA696" s="13" t="n"/>
      <c r="AB696" s="13" t="n"/>
      <c r="AC696" s="13" t="n"/>
      <c r="AD696" s="13" t="n"/>
      <c r="AE696" s="13" t="n"/>
      <c r="AF696" s="13" t="n"/>
      <c r="AG696" s="13" t="n"/>
      <c r="AH696" s="13" t="n"/>
      <c r="AI696" s="13" t="n"/>
    </row>
    <row r="697">
      <c r="A697" s="14" t="n">
        <v>202407</v>
      </c>
      <c r="B697" s="15">
        <f>LEFT(creditcard[[#This Row],[YYYYMM]],4)</f>
        <v/>
      </c>
      <c r="C697" s="15">
        <f>RIGHT(creditcard[[#This Row],[YYYYMM]],2)</f>
        <v/>
      </c>
      <c r="D697" s="15">
        <f>IF(RIGHT(creditcard[[#This Row],[YYYYMM]],2)="--","--","Q"&amp;ROUNDUP(VALUE(RIGHT(creditcard[[#This Row],[YYYYMM]],2))/3,0))</f>
        <v/>
      </c>
      <c r="E697" s="15" t="n">
        <v>3</v>
      </c>
      <c r="F697" s="155" t="inlineStr">
        <is>
          <t>國泰</t>
        </is>
      </c>
      <c r="G697" s="156" t="inlineStr">
        <is>
          <t>03 國泰</t>
        </is>
      </c>
      <c r="H697" s="157" t="n">
        <v>7367508</v>
      </c>
      <c r="I697" s="157" t="n">
        <v>4801477</v>
      </c>
      <c r="J697" s="157" t="n">
        <v>53532</v>
      </c>
      <c r="K697" s="157" t="n">
        <v>26172</v>
      </c>
      <c r="L697" s="157" t="n">
        <v>19747.702</v>
      </c>
      <c r="M697" s="16" t="n"/>
      <c r="N697" s="157" t="n">
        <v>65284.62</v>
      </c>
      <c r="O697" s="16" t="n"/>
      <c r="P697" s="16" t="n"/>
      <c r="Q697" s="17" t="n"/>
      <c r="R697" s="16" t="n"/>
      <c r="S697" s="16" t="n"/>
      <c r="T697" s="16" t="n"/>
      <c r="U697" s="16" t="n"/>
      <c r="V697" s="158" t="n"/>
      <c r="W697" s="16" t="n"/>
      <c r="X697" s="18" t="n"/>
      <c r="Y697" s="18" t="n"/>
      <c r="Z697" s="18" t="n"/>
      <c r="AA697" s="18" t="n"/>
      <c r="AB697" s="18" t="n"/>
      <c r="AC697" s="18" t="n"/>
      <c r="AD697" s="18" t="n"/>
      <c r="AE697" s="18" t="n"/>
      <c r="AF697" s="18" t="n"/>
      <c r="AG697" s="18" t="n"/>
      <c r="AH697" s="18" t="n"/>
      <c r="AI697" s="18" t="n"/>
    </row>
    <row r="698">
      <c r="A698" s="9" t="n">
        <v>202407</v>
      </c>
      <c r="B698" s="10">
        <f>LEFT(creditcard[[#This Row],[YYYYMM]],4)</f>
        <v/>
      </c>
      <c r="C698" s="10">
        <f>RIGHT(creditcard[[#This Row],[YYYYMM]],2)</f>
        <v/>
      </c>
      <c r="D698" s="10">
        <f>IF(RIGHT(creditcard[[#This Row],[YYYYMM]],2)="--","--","Q"&amp;ROUNDUP(VALUE(RIGHT(creditcard[[#This Row],[YYYYMM]],2))/3,0))</f>
        <v/>
      </c>
      <c r="E698" s="10" t="n">
        <v>4</v>
      </c>
      <c r="F698" s="151" t="inlineStr">
        <is>
          <t>玉山</t>
        </is>
      </c>
      <c r="G698" s="152" t="inlineStr">
        <is>
          <t>04 玉山</t>
        </is>
      </c>
      <c r="H698" s="153" t="n">
        <v>7311205</v>
      </c>
      <c r="I698" s="153" t="n">
        <v>4828965</v>
      </c>
      <c r="J698" s="153" t="n">
        <v>112876</v>
      </c>
      <c r="K698" s="153" t="n">
        <v>64693</v>
      </c>
      <c r="L698" s="153" t="n">
        <v>16438.127</v>
      </c>
      <c r="M698" s="11" t="n"/>
      <c r="N698" s="153" t="n">
        <v>48429.593</v>
      </c>
      <c r="O698" s="11" t="n"/>
      <c r="P698" s="11" t="n"/>
      <c r="Q698" s="12" t="n"/>
      <c r="R698" s="11" t="n"/>
      <c r="S698" s="11" t="n"/>
      <c r="T698" s="11" t="n"/>
      <c r="U698" s="11" t="n"/>
      <c r="V698" s="154" t="n"/>
      <c r="W698" s="11" t="n"/>
      <c r="X698" s="13" t="n"/>
      <c r="Y698" s="13" t="n"/>
      <c r="Z698" s="13" t="n"/>
      <c r="AA698" s="13" t="n"/>
      <c r="AB698" s="13" t="n"/>
      <c r="AC698" s="13" t="n"/>
      <c r="AD698" s="13" t="n"/>
      <c r="AE698" s="13" t="n"/>
      <c r="AF698" s="13" t="n"/>
      <c r="AG698" s="13" t="n"/>
      <c r="AH698" s="13" t="n"/>
      <c r="AI698" s="13" t="n"/>
    </row>
    <row r="699">
      <c r="A699" s="14" t="n">
        <v>202407</v>
      </c>
      <c r="B699" s="15">
        <f>LEFT(creditcard[[#This Row],[YYYYMM]],4)</f>
        <v/>
      </c>
      <c r="C699" s="15">
        <f>RIGHT(creditcard[[#This Row],[YYYYMM]],2)</f>
        <v/>
      </c>
      <c r="D699" s="15">
        <f>IF(RIGHT(creditcard[[#This Row],[YYYYMM]],2)="--","--","Q"&amp;ROUNDUP(VALUE(RIGHT(creditcard[[#This Row],[YYYYMM]],2))/3,0))</f>
        <v/>
      </c>
      <c r="E699" s="15" t="n">
        <v>5</v>
      </c>
      <c r="F699" s="155" t="inlineStr">
        <is>
          <t>台新</t>
        </is>
      </c>
      <c r="G699" s="156" t="inlineStr">
        <is>
          <t>05 台新</t>
        </is>
      </c>
      <c r="H699" s="157" t="n">
        <v>6559094</v>
      </c>
      <c r="I699" s="157" t="n">
        <v>4718346</v>
      </c>
      <c r="J699" s="157" t="n">
        <v>135593</v>
      </c>
      <c r="K699" s="157" t="n">
        <v>89420</v>
      </c>
      <c r="L699" s="157" t="n">
        <v>10483.916</v>
      </c>
      <c r="M699" s="16" t="n"/>
      <c r="N699" s="157" t="n">
        <v>44354.956</v>
      </c>
      <c r="O699" s="16" t="n"/>
      <c r="P699" s="16" t="n"/>
      <c r="Q699" s="17" t="n"/>
      <c r="R699" s="16" t="n"/>
      <c r="S699" s="16" t="n"/>
      <c r="T699" s="16" t="n"/>
      <c r="U699" s="16" t="n"/>
      <c r="V699" s="158" t="n"/>
      <c r="W699" s="16" t="n"/>
      <c r="X699" s="18" t="n"/>
      <c r="Y699" s="18" t="n"/>
      <c r="Z699" s="18" t="n"/>
      <c r="AA699" s="18" t="n"/>
      <c r="AB699" s="18" t="n"/>
      <c r="AC699" s="18" t="n"/>
      <c r="AD699" s="18" t="n"/>
      <c r="AE699" s="18" t="n"/>
      <c r="AF699" s="18" t="n"/>
      <c r="AG699" s="18" t="n"/>
      <c r="AH699" s="18" t="n"/>
      <c r="AI699" s="18" t="n"/>
    </row>
    <row r="700">
      <c r="A700" s="9" t="n">
        <v>202407</v>
      </c>
      <c r="B700" s="10">
        <f>LEFT(creditcard[[#This Row],[YYYYMM]],4)</f>
        <v/>
      </c>
      <c r="C700" s="10">
        <f>RIGHT(creditcard[[#This Row],[YYYYMM]],2)</f>
        <v/>
      </c>
      <c r="D700" s="10">
        <f>IF(RIGHT(creditcard[[#This Row],[YYYYMM]],2)="--","--","Q"&amp;ROUNDUP(VALUE(RIGHT(creditcard[[#This Row],[YYYYMM]],2))/3,0))</f>
        <v/>
      </c>
      <c r="E700" s="10" t="n">
        <v>6</v>
      </c>
      <c r="F700" s="151" t="inlineStr">
        <is>
          <t>星展</t>
        </is>
      </c>
      <c r="G700" s="152" t="inlineStr">
        <is>
          <t>06 星展</t>
        </is>
      </c>
      <c r="H700" s="153" t="n">
        <v>3268661</v>
      </c>
      <c r="I700" s="153" t="n">
        <v>2026874</v>
      </c>
      <c r="J700" s="153" t="n">
        <v>19367</v>
      </c>
      <c r="K700" s="153" t="n">
        <v>345607</v>
      </c>
      <c r="L700" s="153" t="n">
        <v>8398.307000000001</v>
      </c>
      <c r="M700" s="11" t="n"/>
      <c r="N700" s="153" t="n">
        <v>24060.444</v>
      </c>
      <c r="O700" s="11" t="n"/>
      <c r="P700" s="11" t="n"/>
      <c r="Q700" s="12" t="n"/>
      <c r="R700" s="11" t="n"/>
      <c r="S700" s="11" t="n"/>
      <c r="T700" s="11" t="n"/>
      <c r="U700" s="11" t="n"/>
      <c r="V700" s="154" t="n"/>
      <c r="W700" s="11" t="n"/>
      <c r="X700" s="13" t="n"/>
      <c r="Y700" s="13" t="n"/>
      <c r="Z700" s="13" t="n"/>
      <c r="AA700" s="13" t="n"/>
      <c r="AB700" s="13" t="n"/>
      <c r="AC700" s="13" t="n"/>
      <c r="AD700" s="13" t="n"/>
      <c r="AE700" s="13" t="n"/>
      <c r="AF700" s="13" t="n"/>
      <c r="AG700" s="13" t="n"/>
      <c r="AH700" s="13" t="n"/>
      <c r="AI700" s="13" t="n"/>
    </row>
    <row r="701">
      <c r="A701" s="14" t="n">
        <v>202407</v>
      </c>
      <c r="B701" s="15">
        <f>LEFT(creditcard[[#This Row],[YYYYMM]],4)</f>
        <v/>
      </c>
      <c r="C701" s="15">
        <f>RIGHT(creditcard[[#This Row],[YYYYMM]],2)</f>
        <v/>
      </c>
      <c r="D701" s="15">
        <f>IF(RIGHT(creditcard[[#This Row],[YYYYMM]],2)="--","--","Q"&amp;ROUNDUP(VALUE(RIGHT(creditcard[[#This Row],[YYYYMM]],2))/3,0))</f>
        <v/>
      </c>
      <c r="E701" s="15" t="n">
        <v>7</v>
      </c>
      <c r="F701" s="155" t="inlineStr">
        <is>
          <t>聯邦</t>
        </is>
      </c>
      <c r="G701" s="156" t="inlineStr">
        <is>
          <t>07 聯邦</t>
        </is>
      </c>
      <c r="H701" s="157" t="n">
        <v>2862474</v>
      </c>
      <c r="I701" s="157" t="n">
        <v>1894851</v>
      </c>
      <c r="J701" s="157" t="n">
        <v>25108</v>
      </c>
      <c r="K701" s="157" t="n">
        <v>38734</v>
      </c>
      <c r="L701" s="157" t="n">
        <v>6768.768</v>
      </c>
      <c r="M701" s="16" t="n"/>
      <c r="N701" s="157" t="n">
        <v>16742.326</v>
      </c>
      <c r="O701" s="16" t="n"/>
      <c r="P701" s="16" t="n"/>
      <c r="Q701" s="17" t="n"/>
      <c r="R701" s="16" t="n"/>
      <c r="S701" s="16" t="n"/>
      <c r="T701" s="16" t="n"/>
      <c r="U701" s="16" t="n"/>
      <c r="V701" s="158" t="n"/>
      <c r="W701" s="16" t="n"/>
      <c r="X701" s="18" t="n"/>
      <c r="Y701" s="18" t="n"/>
      <c r="Z701" s="18" t="n"/>
      <c r="AA701" s="18" t="n"/>
      <c r="AB701" s="18" t="n"/>
      <c r="AC701" s="18" t="n"/>
      <c r="AD701" s="18" t="n"/>
      <c r="AE701" s="18" t="n"/>
      <c r="AF701" s="18" t="n"/>
      <c r="AG701" s="18" t="n"/>
      <c r="AH701" s="18" t="n"/>
      <c r="AI701" s="18" t="n"/>
    </row>
    <row r="702">
      <c r="A702" s="9" t="n">
        <v>202407</v>
      </c>
      <c r="B702" s="10">
        <f>LEFT(creditcard[[#This Row],[YYYYMM]],4)</f>
        <v/>
      </c>
      <c r="C702" s="10">
        <f>RIGHT(creditcard[[#This Row],[YYYYMM]],2)</f>
        <v/>
      </c>
      <c r="D702" s="10">
        <f>IF(RIGHT(creditcard[[#This Row],[YYYYMM]],2)="--","--","Q"&amp;ROUNDUP(VALUE(RIGHT(creditcard[[#This Row],[YYYYMM]],2))/3,0))</f>
        <v/>
      </c>
      <c r="E702" s="10" t="n">
        <v>8</v>
      </c>
      <c r="F702" s="151" t="inlineStr">
        <is>
          <t>永豐</t>
        </is>
      </c>
      <c r="G702" s="152" t="inlineStr">
        <is>
          <t>08 永豐</t>
        </is>
      </c>
      <c r="H702" s="153" t="n">
        <v>2246884</v>
      </c>
      <c r="I702" s="153" t="n">
        <v>1263294</v>
      </c>
      <c r="J702" s="153" t="n">
        <v>18324</v>
      </c>
      <c r="K702" s="153" t="n">
        <v>29737</v>
      </c>
      <c r="L702" s="153" t="n">
        <v>3769.708</v>
      </c>
      <c r="M702" s="11" t="n"/>
      <c r="N702" s="153" t="n">
        <v>12750.548</v>
      </c>
      <c r="O702" s="11" t="n"/>
      <c r="P702" s="11" t="n"/>
      <c r="Q702" s="12" t="n"/>
      <c r="R702" s="11" t="n"/>
      <c r="S702" s="11" t="n"/>
      <c r="T702" s="11" t="n"/>
      <c r="U702" s="11" t="n"/>
      <c r="V702" s="154" t="n"/>
      <c r="W702" s="11" t="n"/>
      <c r="X702" s="13" t="n"/>
      <c r="Y702" s="13" t="n"/>
      <c r="Z702" s="13" t="n"/>
      <c r="AA702" s="13" t="n"/>
      <c r="AB702" s="13" t="n"/>
      <c r="AC702" s="13" t="n"/>
      <c r="AD702" s="13" t="n"/>
      <c r="AE702" s="13" t="n"/>
      <c r="AF702" s="13" t="n"/>
      <c r="AG702" s="13" t="n"/>
      <c r="AH702" s="13" t="n"/>
      <c r="AI702" s="13" t="n"/>
    </row>
    <row r="703">
      <c r="A703" s="14" t="n">
        <v>202407</v>
      </c>
      <c r="B703" s="15">
        <f>LEFT(creditcard[[#This Row],[YYYYMM]],4)</f>
        <v/>
      </c>
      <c r="C703" s="15">
        <f>RIGHT(creditcard[[#This Row],[YYYYMM]],2)</f>
        <v/>
      </c>
      <c r="D703" s="15">
        <f>IF(RIGHT(creditcard[[#This Row],[YYYYMM]],2)="--","--","Q"&amp;ROUNDUP(VALUE(RIGHT(creditcard[[#This Row],[YYYYMM]],2))/3,0))</f>
        <v/>
      </c>
      <c r="E703" s="15" t="n">
        <v>9</v>
      </c>
      <c r="F703" s="155" t="inlineStr">
        <is>
          <t>第一</t>
        </is>
      </c>
      <c r="G703" s="156" t="inlineStr">
        <is>
          <t>09 第一</t>
        </is>
      </c>
      <c r="H703" s="157" t="n">
        <v>1532797</v>
      </c>
      <c r="I703" s="157" t="n">
        <v>958431</v>
      </c>
      <c r="J703" s="157" t="n">
        <v>12881</v>
      </c>
      <c r="K703" s="157" t="n">
        <v>9434</v>
      </c>
      <c r="L703" s="157" t="n">
        <v>1240.565</v>
      </c>
      <c r="M703" s="16" t="n"/>
      <c r="N703" s="157" t="n">
        <v>7007.372</v>
      </c>
      <c r="O703" s="16" t="n"/>
      <c r="P703" s="16" t="n"/>
      <c r="Q703" s="17" t="n"/>
      <c r="R703" s="16" t="n"/>
      <c r="S703" s="16" t="n"/>
      <c r="T703" s="16" t="n"/>
      <c r="U703" s="16" t="n"/>
      <c r="V703" s="158" t="n"/>
      <c r="W703" s="16" t="n"/>
      <c r="X703" s="18" t="n"/>
      <c r="Y703" s="18" t="n"/>
      <c r="Z703" s="18" t="n"/>
      <c r="AA703" s="18" t="n"/>
      <c r="AB703" s="18" t="n"/>
      <c r="AC703" s="18" t="n"/>
      <c r="AD703" s="18" t="n"/>
      <c r="AE703" s="18" t="n"/>
      <c r="AF703" s="18" t="n"/>
      <c r="AG703" s="18" t="n"/>
      <c r="AH703" s="18" t="n"/>
      <c r="AI703" s="18" t="n"/>
    </row>
    <row r="704">
      <c r="A704" s="9" t="n">
        <v>202407</v>
      </c>
      <c r="B704" s="10">
        <f>LEFT(creditcard[[#This Row],[YYYYMM]],4)</f>
        <v/>
      </c>
      <c r="C704" s="10">
        <f>RIGHT(creditcard[[#This Row],[YYYYMM]],2)</f>
        <v/>
      </c>
      <c r="D704" s="10">
        <f>IF(RIGHT(creditcard[[#This Row],[YYYYMM]],2)="--","--","Q"&amp;ROUNDUP(VALUE(RIGHT(creditcard[[#This Row],[YYYYMM]],2))/3,0))</f>
        <v/>
      </c>
      <c r="E704" s="10" t="n">
        <v>10</v>
      </c>
      <c r="F704" s="151" t="inlineStr">
        <is>
          <t>遠東</t>
        </is>
      </c>
      <c r="G704" s="152" t="inlineStr">
        <is>
          <t>10 遠東</t>
        </is>
      </c>
      <c r="H704" s="153" t="n">
        <v>1351813</v>
      </c>
      <c r="I704" s="153" t="n">
        <v>946707</v>
      </c>
      <c r="J704" s="153" t="n">
        <v>6860</v>
      </c>
      <c r="K704" s="153" t="n">
        <v>6098</v>
      </c>
      <c r="L704" s="153" t="n">
        <v>3331.135</v>
      </c>
      <c r="M704" s="11" t="n"/>
      <c r="N704" s="153" t="n">
        <v>4582.518</v>
      </c>
      <c r="O704" s="11" t="n"/>
      <c r="P704" s="11" t="n"/>
      <c r="Q704" s="12" t="n"/>
      <c r="R704" s="11" t="n"/>
      <c r="S704" s="11" t="n"/>
      <c r="T704" s="11" t="n"/>
      <c r="U704" s="11" t="n"/>
      <c r="V704" s="154" t="n"/>
      <c r="W704" s="11" t="n"/>
      <c r="X704" s="13" t="n"/>
      <c r="Y704" s="13" t="n"/>
      <c r="Z704" s="13" t="n"/>
      <c r="AA704" s="13" t="n"/>
      <c r="AB704" s="13" t="n"/>
      <c r="AC704" s="13" t="n"/>
      <c r="AD704" s="13" t="n"/>
      <c r="AE704" s="13" t="n"/>
      <c r="AF704" s="13" t="n"/>
      <c r="AG704" s="13" t="n"/>
      <c r="AH704" s="13" t="n"/>
      <c r="AI704" s="13" t="n"/>
    </row>
    <row r="705">
      <c r="A705" s="14" t="n">
        <v>202407</v>
      </c>
      <c r="B705" s="15">
        <f>LEFT(creditcard[[#This Row],[YYYYMM]],4)</f>
        <v/>
      </c>
      <c r="C705" s="15">
        <f>RIGHT(creditcard[[#This Row],[YYYYMM]],2)</f>
        <v/>
      </c>
      <c r="D705" s="15">
        <f>IF(RIGHT(creditcard[[#This Row],[YYYYMM]],2)="--","--","Q"&amp;ROUNDUP(VALUE(RIGHT(creditcard[[#This Row],[YYYYMM]],2))/3,0))</f>
        <v/>
      </c>
      <c r="E705" s="15" t="n">
        <v>11</v>
      </c>
      <c r="F705" s="155" t="inlineStr">
        <is>
          <t>市場總計</t>
        </is>
      </c>
      <c r="G705" s="156" t="inlineStr">
        <is>
          <t>11 市場總計</t>
        </is>
      </c>
      <c r="H705" s="157" t="n">
        <v>58581705</v>
      </c>
      <c r="I705" s="157" t="n">
        <v>38358923</v>
      </c>
      <c r="J705" s="157" t="n">
        <v>587441</v>
      </c>
      <c r="K705" s="157" t="n">
        <v>958565</v>
      </c>
      <c r="L705" s="157" t="n">
        <v>110400.682</v>
      </c>
      <c r="M705" s="160" t="n">
        <v>232764.433</v>
      </c>
      <c r="N705" s="157" t="n">
        <v>396750.829</v>
      </c>
      <c r="O705" s="160" t="n">
        <v>1848.393</v>
      </c>
      <c r="P705" s="17" t="n">
        <v>0.002586902847018875</v>
      </c>
      <c r="Q705" s="17" t="n">
        <v>0.0003</v>
      </c>
      <c r="R705" s="19" t="n">
        <v>4.465964880134203</v>
      </c>
      <c r="S705" s="160" t="n">
        <v>636.838</v>
      </c>
      <c r="T705" s="160" t="n">
        <v>4083.444</v>
      </c>
      <c r="U705" s="16" t="n"/>
      <c r="V705" s="158" t="n">
        <v>4.61</v>
      </c>
      <c r="W705" s="16">
        <f>SUMIFS(H:H,A:A,creditcard[[#This Row],[YYYYMM]],G:G,creditcard[[#This Row],[Item]])</f>
        <v/>
      </c>
      <c r="X705" s="4">
        <f>IFERROR(SUMIFS(H:H,A:A,creditcard[[#This Row],[YYYYMM]],E:E,"&lt;=5")/creditcard[[#This Row],[市場總計]],"")</f>
        <v/>
      </c>
      <c r="Y705" s="4">
        <f>IFERROR(SUMIFS(H:H,A:A,creditcard[[#This Row],[YYYYMM]],E:E,"&lt;=10")/creditcard[[#This Row],[市場總計]],"")</f>
        <v/>
      </c>
      <c r="Z705" s="4">
        <f>IFERROR(SUMIFS(I:I,A:A,creditcard[[#This Row],[YYYYMM]],E:E,"&lt;=5")/creditcard[[#This Row],[有效卡數]],"")</f>
        <v/>
      </c>
      <c r="AA705" s="4">
        <f>IFERROR(SUMIFS(I:I,A:A,creditcard[[#This Row],[YYYYMM]],E:E,"&lt;=10")/creditcard[[#This Row],[有效卡數]],"")</f>
        <v/>
      </c>
      <c r="AB705" s="4">
        <f>IFERROR(SUMIFS(J:J,A:A,creditcard[[#This Row],[YYYYMM]],E:E,"&lt;=5")/creditcard[[#This Row],[當月發卡數]],"")</f>
        <v/>
      </c>
      <c r="AC705" s="4">
        <f>IFERROR(SUMIFS(J:J,A:A,creditcard[[#This Row],[YYYYMM]],E:E,"&lt;=10")/creditcard[[#This Row],[當月發卡數]],"")</f>
        <v/>
      </c>
      <c r="AD705" s="4">
        <f>IFERROR(SUMIFS(K:K,A:A,creditcard[[#This Row],[YYYYMM]],E:E,"&lt;=5")/creditcard[[#This Row],[當月停卡數]],"")</f>
        <v/>
      </c>
      <c r="AE705" s="4">
        <f>IFERROR(SUMIFS(K:K,A:A,creditcard[[#This Row],[YYYYMM]],E:E,"&lt;=10")/creditcard[[#This Row],[當月停卡數]],"")</f>
        <v/>
      </c>
      <c r="AF705" s="4">
        <f>IFERROR(SUMIFS(L:L,A:A,creditcard[[#This Row],[YYYYMM]],E:E,"&lt;=5")/creditcard[[#This Row],[循環信用餘額]],"")</f>
        <v/>
      </c>
      <c r="AG705" s="4">
        <f>IFERROR(SUMIFS(L:L,A:A,creditcard[[#This Row],[YYYYMM]],E:E,"&lt;=10")/creditcard[[#This Row],[循環信用餘額]],"")</f>
        <v/>
      </c>
      <c r="AH705" s="4">
        <f>IFERROR(SUMIFS(N:N,A:A,creditcard[[#This Row],[YYYYMM]],E:E,"&lt;=5")/creditcard[[#This Row],[當月簽帳金額]],"")</f>
        <v/>
      </c>
      <c r="AI705" s="4">
        <f>IFERROR(SUMIFS(N:N,A:A,creditcard[[#This Row],[YYYYMM]],E:E,"&lt;=10")/creditcard[[#This Row],[當月簽帳金額]],"")</f>
        <v/>
      </c>
    </row>
    <row r="706">
      <c r="A706" s="9" t="n">
        <v>202408</v>
      </c>
      <c r="B706" s="10">
        <f>LEFT(creditcard[[#This Row],[YYYYMM]],4)</f>
        <v/>
      </c>
      <c r="C706" s="10">
        <f>RIGHT(creditcard[[#This Row],[YYYYMM]],2)</f>
        <v/>
      </c>
      <c r="D706" s="10">
        <f>IF(RIGHT(creditcard[[#This Row],[YYYYMM]],2)="--","--","Q"&amp;ROUNDUP(VALUE(RIGHT(creditcard[[#This Row],[YYYYMM]],2))/3,0))</f>
        <v/>
      </c>
      <c r="E706" s="10" t="n">
        <v>1</v>
      </c>
      <c r="F706" s="151" t="inlineStr">
        <is>
          <t>中信</t>
        </is>
      </c>
      <c r="G706" s="152" t="inlineStr">
        <is>
          <t>01 中信</t>
        </is>
      </c>
      <c r="H706" s="153" t="n">
        <v>9361130</v>
      </c>
      <c r="I706" s="153" t="n">
        <v>5926606</v>
      </c>
      <c r="J706" s="153" t="n">
        <v>75385</v>
      </c>
      <c r="K706" s="153" t="n">
        <v>35152</v>
      </c>
      <c r="L706" s="153" t="n">
        <v>16601.456</v>
      </c>
      <c r="M706" s="11" t="n"/>
      <c r="N706" s="153" t="n">
        <v>60730.43</v>
      </c>
      <c r="O706" s="11" t="n"/>
      <c r="P706" s="11" t="n"/>
      <c r="Q706" s="12" t="n"/>
      <c r="R706" s="11" t="n"/>
      <c r="S706" s="11" t="n"/>
      <c r="T706" s="11" t="n"/>
      <c r="U706" s="11" t="n"/>
      <c r="V706" s="154" t="n"/>
      <c r="W706" s="11" t="n"/>
      <c r="X706" s="13" t="n"/>
      <c r="Y706" s="13" t="n"/>
      <c r="Z706" s="13" t="n"/>
      <c r="AA706" s="13" t="n"/>
      <c r="AB706" s="13" t="n"/>
      <c r="AC706" s="13" t="n"/>
      <c r="AD706" s="13" t="n"/>
      <c r="AE706" s="13" t="n"/>
      <c r="AF706" s="13" t="n"/>
      <c r="AG706" s="13" t="n"/>
      <c r="AH706" s="13" t="n"/>
      <c r="AI706" s="13" t="n"/>
    </row>
    <row r="707">
      <c r="A707" s="14" t="n">
        <v>202408</v>
      </c>
      <c r="B707" s="15">
        <f>LEFT(creditcard[[#This Row],[YYYYMM]],4)</f>
        <v/>
      </c>
      <c r="C707" s="15">
        <f>RIGHT(creditcard[[#This Row],[YYYYMM]],2)</f>
        <v/>
      </c>
      <c r="D707" s="15">
        <f>IF(RIGHT(creditcard[[#This Row],[YYYYMM]],2)="--","--","Q"&amp;ROUNDUP(VALUE(RIGHT(creditcard[[#This Row],[YYYYMM]],2))/3,0))</f>
        <v/>
      </c>
      <c r="E707" s="15" t="n">
        <v>2</v>
      </c>
      <c r="F707" s="155" t="inlineStr">
        <is>
          <t>富邦</t>
        </is>
      </c>
      <c r="G707" s="156" t="inlineStr">
        <is>
          <t>02 富邦</t>
        </is>
      </c>
      <c r="H707" s="157" t="n">
        <v>7302974</v>
      </c>
      <c r="I707" s="157" t="n">
        <v>5690076</v>
      </c>
      <c r="J707" s="157" t="n">
        <v>52283</v>
      </c>
      <c r="K707" s="157" t="n">
        <v>32662</v>
      </c>
      <c r="L707" s="157" t="n">
        <v>10047.287</v>
      </c>
      <c r="M707" s="16" t="n"/>
      <c r="N707" s="157" t="n">
        <v>47804.193</v>
      </c>
      <c r="O707" s="16" t="n"/>
      <c r="P707" s="16" t="n"/>
      <c r="Q707" s="17" t="n"/>
      <c r="R707" s="16" t="n"/>
      <c r="S707" s="16" t="n"/>
      <c r="T707" s="16" t="n"/>
      <c r="U707" s="16" t="n"/>
      <c r="V707" s="158" t="n"/>
      <c r="W707" s="16" t="n"/>
      <c r="X707" s="18" t="n"/>
      <c r="Y707" s="18" t="n"/>
      <c r="Z707" s="18" t="n"/>
      <c r="AA707" s="18" t="n"/>
      <c r="AB707" s="18" t="n"/>
      <c r="AC707" s="18" t="n"/>
      <c r="AD707" s="18" t="n"/>
      <c r="AE707" s="18" t="n"/>
      <c r="AF707" s="18" t="n"/>
      <c r="AG707" s="18" t="n"/>
      <c r="AH707" s="18" t="n"/>
      <c r="AI707" s="18" t="n"/>
    </row>
    <row r="708">
      <c r="A708" s="9" t="n">
        <v>202408</v>
      </c>
      <c r="B708" s="10">
        <f>LEFT(creditcard[[#This Row],[YYYYMM]],4)</f>
        <v/>
      </c>
      <c r="C708" s="10">
        <f>RIGHT(creditcard[[#This Row],[YYYYMM]],2)</f>
        <v/>
      </c>
      <c r="D708" s="10">
        <f>IF(RIGHT(creditcard[[#This Row],[YYYYMM]],2)="--","--","Q"&amp;ROUNDUP(VALUE(RIGHT(creditcard[[#This Row],[YYYYMM]],2))/3,0))</f>
        <v/>
      </c>
      <c r="E708" s="10" t="n">
        <v>3</v>
      </c>
      <c r="F708" s="151" t="inlineStr">
        <is>
          <t>國泰</t>
        </is>
      </c>
      <c r="G708" s="152" t="inlineStr">
        <is>
          <t>03 國泰</t>
        </is>
      </c>
      <c r="H708" s="153" t="n">
        <v>7388455</v>
      </c>
      <c r="I708" s="153" t="n">
        <v>4832845</v>
      </c>
      <c r="J708" s="153" t="n">
        <v>46709</v>
      </c>
      <c r="K708" s="153" t="n">
        <v>25762</v>
      </c>
      <c r="L708" s="153" t="n">
        <v>19520.173</v>
      </c>
      <c r="M708" s="11" t="n"/>
      <c r="N708" s="153" t="n">
        <v>60048.847</v>
      </c>
      <c r="O708" s="11" t="n"/>
      <c r="P708" s="11" t="n"/>
      <c r="Q708" s="12" t="n"/>
      <c r="R708" s="11" t="n"/>
      <c r="S708" s="11" t="n"/>
      <c r="T708" s="11" t="n"/>
      <c r="U708" s="11" t="n"/>
      <c r="V708" s="154" t="n"/>
      <c r="W708" s="11" t="n"/>
      <c r="X708" s="13" t="n"/>
      <c r="Y708" s="13" t="n"/>
      <c r="Z708" s="13" t="n"/>
      <c r="AA708" s="13" t="n"/>
      <c r="AB708" s="13" t="n"/>
      <c r="AC708" s="13" t="n"/>
      <c r="AD708" s="13" t="n"/>
      <c r="AE708" s="13" t="n"/>
      <c r="AF708" s="13" t="n"/>
      <c r="AG708" s="13" t="n"/>
      <c r="AH708" s="13" t="n"/>
      <c r="AI708" s="13" t="n"/>
    </row>
    <row r="709">
      <c r="A709" s="14" t="n">
        <v>202408</v>
      </c>
      <c r="B709" s="15">
        <f>LEFT(creditcard[[#This Row],[YYYYMM]],4)</f>
        <v/>
      </c>
      <c r="C709" s="15">
        <f>RIGHT(creditcard[[#This Row],[YYYYMM]],2)</f>
        <v/>
      </c>
      <c r="D709" s="15">
        <f>IF(RIGHT(creditcard[[#This Row],[YYYYMM]],2)="--","--","Q"&amp;ROUNDUP(VALUE(RIGHT(creditcard[[#This Row],[YYYYMM]],2))/3,0))</f>
        <v/>
      </c>
      <c r="E709" s="15" t="n">
        <v>4</v>
      </c>
      <c r="F709" s="155" t="inlineStr">
        <is>
          <t>玉山</t>
        </is>
      </c>
      <c r="G709" s="156" t="inlineStr">
        <is>
          <t>04 玉山</t>
        </is>
      </c>
      <c r="H709" s="157" t="n">
        <v>7367915</v>
      </c>
      <c r="I709" s="157" t="n">
        <v>4844694</v>
      </c>
      <c r="J709" s="157" t="n">
        <v>119908</v>
      </c>
      <c r="K709" s="157" t="n">
        <v>63198</v>
      </c>
      <c r="L709" s="157" t="n">
        <v>17953.447</v>
      </c>
      <c r="M709" s="16" t="n"/>
      <c r="N709" s="157" t="n">
        <v>45687.595</v>
      </c>
      <c r="O709" s="16" t="n"/>
      <c r="P709" s="16" t="n"/>
      <c r="Q709" s="17" t="n"/>
      <c r="R709" s="16" t="n"/>
      <c r="S709" s="16" t="n"/>
      <c r="T709" s="16" t="n"/>
      <c r="U709" s="16" t="n"/>
      <c r="V709" s="158" t="n"/>
      <c r="W709" s="16" t="n"/>
      <c r="X709" s="18" t="n"/>
      <c r="Y709" s="18" t="n"/>
      <c r="Z709" s="18" t="n"/>
      <c r="AA709" s="18" t="n"/>
      <c r="AB709" s="18" t="n"/>
      <c r="AC709" s="18" t="n"/>
      <c r="AD709" s="18" t="n"/>
      <c r="AE709" s="18" t="n"/>
      <c r="AF709" s="18" t="n"/>
      <c r="AG709" s="18" t="n"/>
      <c r="AH709" s="18" t="n"/>
      <c r="AI709" s="18" t="n"/>
    </row>
    <row r="710">
      <c r="A710" s="9" t="n">
        <v>202408</v>
      </c>
      <c r="B710" s="10">
        <f>LEFT(creditcard[[#This Row],[YYYYMM]],4)</f>
        <v/>
      </c>
      <c r="C710" s="10">
        <f>RIGHT(creditcard[[#This Row],[YYYYMM]],2)</f>
        <v/>
      </c>
      <c r="D710" s="10">
        <f>IF(RIGHT(creditcard[[#This Row],[YYYYMM]],2)="--","--","Q"&amp;ROUNDUP(VALUE(RIGHT(creditcard[[#This Row],[YYYYMM]],2))/3,0))</f>
        <v/>
      </c>
      <c r="E710" s="10" t="n">
        <v>5</v>
      </c>
      <c r="F710" s="151" t="inlineStr">
        <is>
          <t>台新</t>
        </is>
      </c>
      <c r="G710" s="152" t="inlineStr">
        <is>
          <t>05 台新</t>
        </is>
      </c>
      <c r="H710" s="153" t="n">
        <v>6587940</v>
      </c>
      <c r="I710" s="153" t="n">
        <v>4758050</v>
      </c>
      <c r="J710" s="153" t="n">
        <v>88451</v>
      </c>
      <c r="K710" s="153" t="n">
        <v>59605</v>
      </c>
      <c r="L710" s="153" t="n">
        <v>10440.658</v>
      </c>
      <c r="M710" s="11" t="n"/>
      <c r="N710" s="153" t="n">
        <v>41255.457</v>
      </c>
      <c r="O710" s="11" t="n"/>
      <c r="P710" s="11" t="n"/>
      <c r="Q710" s="12" t="n"/>
      <c r="R710" s="11" t="n"/>
      <c r="S710" s="11" t="n"/>
      <c r="T710" s="11" t="n"/>
      <c r="U710" s="11" t="n"/>
      <c r="V710" s="154" t="n"/>
      <c r="W710" s="11" t="n"/>
      <c r="X710" s="13" t="n"/>
      <c r="Y710" s="13" t="n"/>
      <c r="Z710" s="13" t="n"/>
      <c r="AA710" s="13" t="n"/>
      <c r="AB710" s="13" t="n"/>
      <c r="AC710" s="13" t="n"/>
      <c r="AD710" s="13" t="n"/>
      <c r="AE710" s="13" t="n"/>
      <c r="AF710" s="13" t="n"/>
      <c r="AG710" s="13" t="n"/>
      <c r="AH710" s="13" t="n"/>
      <c r="AI710" s="13" t="n"/>
    </row>
    <row r="711">
      <c r="A711" s="14" t="n">
        <v>202408</v>
      </c>
      <c r="B711" s="15">
        <f>LEFT(creditcard[[#This Row],[YYYYMM]],4)</f>
        <v/>
      </c>
      <c r="C711" s="15">
        <f>RIGHT(creditcard[[#This Row],[YYYYMM]],2)</f>
        <v/>
      </c>
      <c r="D711" s="15">
        <f>IF(RIGHT(creditcard[[#This Row],[YYYYMM]],2)="--","--","Q"&amp;ROUNDUP(VALUE(RIGHT(creditcard[[#This Row],[YYYYMM]],2))/3,0))</f>
        <v/>
      </c>
      <c r="E711" s="15" t="n">
        <v>6</v>
      </c>
      <c r="F711" s="155" t="inlineStr">
        <is>
          <t>星展</t>
        </is>
      </c>
      <c r="G711" s="156" t="inlineStr">
        <is>
          <t>06 星展</t>
        </is>
      </c>
      <c r="H711" s="157" t="n">
        <v>3272018</v>
      </c>
      <c r="I711" s="157" t="n">
        <v>2086368</v>
      </c>
      <c r="J711" s="157" t="n">
        <v>16096</v>
      </c>
      <c r="K711" s="157" t="n">
        <v>27839</v>
      </c>
      <c r="L711" s="157" t="n">
        <v>8395.610000000001</v>
      </c>
      <c r="M711" s="16" t="n"/>
      <c r="N711" s="157" t="n">
        <v>21914.3</v>
      </c>
      <c r="O711" s="16" t="n"/>
      <c r="P711" s="16" t="n"/>
      <c r="Q711" s="17" t="n"/>
      <c r="R711" s="16" t="n"/>
      <c r="S711" s="16" t="n"/>
      <c r="T711" s="16" t="n"/>
      <c r="U711" s="16" t="n"/>
      <c r="V711" s="158" t="n"/>
      <c r="W711" s="16" t="n"/>
      <c r="X711" s="18" t="n"/>
      <c r="Y711" s="18" t="n"/>
      <c r="Z711" s="18" t="n"/>
      <c r="AA711" s="18" t="n"/>
      <c r="AB711" s="18" t="n"/>
      <c r="AC711" s="18" t="n"/>
      <c r="AD711" s="18" t="n"/>
      <c r="AE711" s="18" t="n"/>
      <c r="AF711" s="18" t="n"/>
      <c r="AG711" s="18" t="n"/>
      <c r="AH711" s="18" t="n"/>
      <c r="AI711" s="18" t="n"/>
    </row>
    <row r="712">
      <c r="A712" s="9" t="n">
        <v>202408</v>
      </c>
      <c r="B712" s="10">
        <f>LEFT(creditcard[[#This Row],[YYYYMM]],4)</f>
        <v/>
      </c>
      <c r="C712" s="10">
        <f>RIGHT(creditcard[[#This Row],[YYYYMM]],2)</f>
        <v/>
      </c>
      <c r="D712" s="10">
        <f>IF(RIGHT(creditcard[[#This Row],[YYYYMM]],2)="--","--","Q"&amp;ROUNDUP(VALUE(RIGHT(creditcard[[#This Row],[YYYYMM]],2))/3,0))</f>
        <v/>
      </c>
      <c r="E712" s="10" t="n">
        <v>7</v>
      </c>
      <c r="F712" s="151" t="inlineStr">
        <is>
          <t>聯邦</t>
        </is>
      </c>
      <c r="G712" s="152" t="inlineStr">
        <is>
          <t>07 聯邦</t>
        </is>
      </c>
      <c r="H712" s="153" t="n">
        <v>2844795</v>
      </c>
      <c r="I712" s="153" t="n">
        <v>1890247</v>
      </c>
      <c r="J712" s="153" t="n">
        <v>24202</v>
      </c>
      <c r="K712" s="153" t="n">
        <v>41881</v>
      </c>
      <c r="L712" s="153" t="n">
        <v>6717.7</v>
      </c>
      <c r="M712" s="11" t="n"/>
      <c r="N712" s="153" t="n">
        <v>15378.409</v>
      </c>
      <c r="O712" s="11" t="n"/>
      <c r="P712" s="11" t="n"/>
      <c r="Q712" s="12" t="n"/>
      <c r="R712" s="11" t="n"/>
      <c r="S712" s="11" t="n"/>
      <c r="T712" s="11" t="n"/>
      <c r="U712" s="11" t="n"/>
      <c r="V712" s="154" t="n"/>
      <c r="W712" s="11" t="n"/>
      <c r="X712" s="13" t="n"/>
      <c r="Y712" s="13" t="n"/>
      <c r="Z712" s="13" t="n"/>
      <c r="AA712" s="13" t="n"/>
      <c r="AB712" s="13" t="n"/>
      <c r="AC712" s="13" t="n"/>
      <c r="AD712" s="13" t="n"/>
      <c r="AE712" s="13" t="n"/>
      <c r="AF712" s="13" t="n"/>
      <c r="AG712" s="13" t="n"/>
      <c r="AH712" s="13" t="n"/>
      <c r="AI712" s="13" t="n"/>
    </row>
    <row r="713">
      <c r="A713" s="14" t="n">
        <v>202408</v>
      </c>
      <c r="B713" s="15">
        <f>LEFT(creditcard[[#This Row],[YYYYMM]],4)</f>
        <v/>
      </c>
      <c r="C713" s="15">
        <f>RIGHT(creditcard[[#This Row],[YYYYMM]],2)</f>
        <v/>
      </c>
      <c r="D713" s="15">
        <f>IF(RIGHT(creditcard[[#This Row],[YYYYMM]],2)="--","--","Q"&amp;ROUNDUP(VALUE(RIGHT(creditcard[[#This Row],[YYYYMM]],2))/3,0))</f>
        <v/>
      </c>
      <c r="E713" s="15" t="n">
        <v>8</v>
      </c>
      <c r="F713" s="155" t="inlineStr">
        <is>
          <t>永豐</t>
        </is>
      </c>
      <c r="G713" s="156" t="inlineStr">
        <is>
          <t>08 永豐</t>
        </is>
      </c>
      <c r="H713" s="157" t="n">
        <v>2197531</v>
      </c>
      <c r="I713" s="157" t="n">
        <v>1266309</v>
      </c>
      <c r="J713" s="157" t="n">
        <v>18676</v>
      </c>
      <c r="K713" s="157" t="n">
        <v>67783</v>
      </c>
      <c r="L713" s="157" t="n">
        <v>3748.279</v>
      </c>
      <c r="M713" s="16" t="n"/>
      <c r="N713" s="157" t="n">
        <v>11907.741</v>
      </c>
      <c r="O713" s="16" t="n"/>
      <c r="P713" s="16" t="n"/>
      <c r="Q713" s="17" t="n"/>
      <c r="R713" s="16" t="n"/>
      <c r="S713" s="16" t="n"/>
      <c r="T713" s="16" t="n"/>
      <c r="U713" s="16" t="n"/>
      <c r="V713" s="158" t="n"/>
      <c r="W713" s="16" t="n"/>
      <c r="X713" s="18" t="n"/>
      <c r="Y713" s="18" t="n"/>
      <c r="Z713" s="18" t="n"/>
      <c r="AA713" s="18" t="n"/>
      <c r="AB713" s="18" t="n"/>
      <c r="AC713" s="18" t="n"/>
      <c r="AD713" s="18" t="n"/>
      <c r="AE713" s="18" t="n"/>
      <c r="AF713" s="18" t="n"/>
      <c r="AG713" s="18" t="n"/>
      <c r="AH713" s="18" t="n"/>
      <c r="AI713" s="18" t="n"/>
    </row>
    <row r="714">
      <c r="A714" s="9" t="n">
        <v>202408</v>
      </c>
      <c r="B714" s="10">
        <f>LEFT(creditcard[[#This Row],[YYYYMM]],4)</f>
        <v/>
      </c>
      <c r="C714" s="10">
        <f>RIGHT(creditcard[[#This Row],[YYYYMM]],2)</f>
        <v/>
      </c>
      <c r="D714" s="10">
        <f>IF(RIGHT(creditcard[[#This Row],[YYYYMM]],2)="--","--","Q"&amp;ROUNDUP(VALUE(RIGHT(creditcard[[#This Row],[YYYYMM]],2))/3,0))</f>
        <v/>
      </c>
      <c r="E714" s="10" t="n">
        <v>9</v>
      </c>
      <c r="F714" s="151" t="inlineStr">
        <is>
          <t>第一</t>
        </is>
      </c>
      <c r="G714" s="152" t="inlineStr">
        <is>
          <t>09 第一</t>
        </is>
      </c>
      <c r="H714" s="153" t="n">
        <v>1536134</v>
      </c>
      <c r="I714" s="153" t="n">
        <v>948483</v>
      </c>
      <c r="J714" s="153" t="n">
        <v>12825</v>
      </c>
      <c r="K714" s="153" t="n">
        <v>9991</v>
      </c>
      <c r="L714" s="153" t="n">
        <v>1241.644</v>
      </c>
      <c r="M714" s="11" t="n"/>
      <c r="N714" s="153" t="n">
        <v>6667.574</v>
      </c>
      <c r="O714" s="11" t="n"/>
      <c r="P714" s="11" t="n"/>
      <c r="Q714" s="12" t="n"/>
      <c r="R714" s="11" t="n"/>
      <c r="S714" s="11" t="n"/>
      <c r="T714" s="11" t="n"/>
      <c r="U714" s="11" t="n"/>
      <c r="V714" s="154" t="n"/>
      <c r="W714" s="11" t="n"/>
      <c r="X714" s="13" t="n"/>
      <c r="Y714" s="13" t="n"/>
      <c r="Z714" s="13" t="n"/>
      <c r="AA714" s="13" t="n"/>
      <c r="AB714" s="13" t="n"/>
      <c r="AC714" s="13" t="n"/>
      <c r="AD714" s="13" t="n"/>
      <c r="AE714" s="13" t="n"/>
      <c r="AF714" s="13" t="n"/>
      <c r="AG714" s="13" t="n"/>
      <c r="AH714" s="13" t="n"/>
      <c r="AI714" s="13" t="n"/>
    </row>
    <row r="715">
      <c r="A715" s="14" t="n">
        <v>202408</v>
      </c>
      <c r="B715" s="15">
        <f>LEFT(creditcard[[#This Row],[YYYYMM]],4)</f>
        <v/>
      </c>
      <c r="C715" s="15">
        <f>RIGHT(creditcard[[#This Row],[YYYYMM]],2)</f>
        <v/>
      </c>
      <c r="D715" s="15">
        <f>IF(RIGHT(creditcard[[#This Row],[YYYYMM]],2)="--","--","Q"&amp;ROUNDUP(VALUE(RIGHT(creditcard[[#This Row],[YYYYMM]],2))/3,0))</f>
        <v/>
      </c>
      <c r="E715" s="15" t="n">
        <v>10</v>
      </c>
      <c r="F715" s="155" t="inlineStr">
        <is>
          <t>遠東</t>
        </is>
      </c>
      <c r="G715" s="156" t="inlineStr">
        <is>
          <t>10 遠東</t>
        </is>
      </c>
      <c r="H715" s="157" t="n">
        <v>1352996</v>
      </c>
      <c r="I715" s="157" t="n">
        <v>942869</v>
      </c>
      <c r="J715" s="157" t="n">
        <v>7416</v>
      </c>
      <c r="K715" s="157" t="n">
        <v>6281</v>
      </c>
      <c r="L715" s="157" t="n">
        <v>3314.524</v>
      </c>
      <c r="M715" s="16" t="n"/>
      <c r="N715" s="157" t="n">
        <v>4306.568</v>
      </c>
      <c r="O715" s="16" t="n"/>
      <c r="P715" s="16" t="n"/>
      <c r="Q715" s="17" t="n"/>
      <c r="R715" s="16" t="n"/>
      <c r="S715" s="16" t="n"/>
      <c r="T715" s="16" t="n"/>
      <c r="U715" s="16" t="n"/>
      <c r="V715" s="158" t="n"/>
      <c r="W715" s="16" t="n"/>
      <c r="X715" s="18" t="n"/>
      <c r="Y715" s="18" t="n"/>
      <c r="Z715" s="18" t="n"/>
      <c r="AA715" s="18" t="n"/>
      <c r="AB715" s="18" t="n"/>
      <c r="AC715" s="18" t="n"/>
      <c r="AD715" s="18" t="n"/>
      <c r="AE715" s="18" t="n"/>
      <c r="AF715" s="18" t="n"/>
      <c r="AG715" s="18" t="n"/>
      <c r="AH715" s="18" t="n"/>
      <c r="AI715" s="18" t="n"/>
    </row>
    <row r="716">
      <c r="A716" s="9" t="n">
        <v>202408</v>
      </c>
      <c r="B716" s="10">
        <f>LEFT(creditcard[[#This Row],[YYYYMM]],4)</f>
        <v/>
      </c>
      <c r="C716" s="10">
        <f>RIGHT(creditcard[[#This Row],[YYYYMM]],2)</f>
        <v/>
      </c>
      <c r="D716" s="10">
        <f>IF(RIGHT(creditcard[[#This Row],[YYYYMM]],2)="--","--","Q"&amp;ROUNDUP(VALUE(RIGHT(creditcard[[#This Row],[YYYYMM]],2))/3,0))</f>
        <v/>
      </c>
      <c r="E716" s="10" t="n">
        <v>11</v>
      </c>
      <c r="F716" s="151" t="inlineStr">
        <is>
          <t>市場總計</t>
        </is>
      </c>
      <c r="G716" s="152" t="inlineStr">
        <is>
          <t>11 市場總計</t>
        </is>
      </c>
      <c r="H716" s="153" t="n">
        <v>58690696</v>
      </c>
      <c r="I716" s="153" t="n">
        <v>38538761</v>
      </c>
      <c r="J716" s="153" t="n">
        <v>534902</v>
      </c>
      <c r="K716" s="153" t="n">
        <v>441591</v>
      </c>
      <c r="L716" s="153" t="n">
        <v>111924.405</v>
      </c>
      <c r="M716" s="161" t="n">
        <v>218434.983</v>
      </c>
      <c r="N716" s="153" t="n">
        <v>365188.821</v>
      </c>
      <c r="O716" s="161" t="n">
        <v>1802.049</v>
      </c>
      <c r="P716" s="12" t="n">
        <v>0.002753770712362673</v>
      </c>
      <c r="Q716" s="12" t="n">
        <v>0.0003</v>
      </c>
      <c r="R716" s="20" t="n">
        <v>4.439954306163743</v>
      </c>
      <c r="S716" s="161" t="n">
        <v>621.323</v>
      </c>
      <c r="T716" s="161" t="n">
        <v>4704.767</v>
      </c>
      <c r="U716" s="11" t="n"/>
      <c r="V716" s="154" t="n">
        <v>4.6</v>
      </c>
      <c r="W716" s="11">
        <f>SUMIFS(H:H,A:A,creditcard[[#This Row],[YYYYMM]],G:G,creditcard[[#This Row],[Item]])</f>
        <v/>
      </c>
      <c r="X716" s="4">
        <f>IFERROR(SUMIFS(H:H,A:A,creditcard[[#This Row],[YYYYMM]],E:E,"&lt;=5")/creditcard[[#This Row],[市場總計]],"")</f>
        <v/>
      </c>
      <c r="Y716" s="4">
        <f>IFERROR(SUMIFS(H:H,A:A,creditcard[[#This Row],[YYYYMM]],E:E,"&lt;=10")/creditcard[[#This Row],[市場總計]],"")</f>
        <v/>
      </c>
      <c r="Z716" s="4">
        <f>IFERROR(SUMIFS(I:I,A:A,creditcard[[#This Row],[YYYYMM]],E:E,"&lt;=5")/creditcard[[#This Row],[有效卡數]],"")</f>
        <v/>
      </c>
      <c r="AA716" s="4">
        <f>IFERROR(SUMIFS(I:I,A:A,creditcard[[#This Row],[YYYYMM]],E:E,"&lt;=10")/creditcard[[#This Row],[有效卡數]],"")</f>
        <v/>
      </c>
      <c r="AB716" s="4">
        <f>IFERROR(SUMIFS(J:J,A:A,creditcard[[#This Row],[YYYYMM]],E:E,"&lt;=5")/creditcard[[#This Row],[當月發卡數]],"")</f>
        <v/>
      </c>
      <c r="AC716" s="4">
        <f>IFERROR(SUMIFS(J:J,A:A,creditcard[[#This Row],[YYYYMM]],E:E,"&lt;=10")/creditcard[[#This Row],[當月發卡數]],"")</f>
        <v/>
      </c>
      <c r="AD716" s="4">
        <f>IFERROR(SUMIFS(K:K,A:A,creditcard[[#This Row],[YYYYMM]],E:E,"&lt;=5")/creditcard[[#This Row],[當月停卡數]],"")</f>
        <v/>
      </c>
      <c r="AE716" s="4">
        <f>IFERROR(SUMIFS(K:K,A:A,creditcard[[#This Row],[YYYYMM]],E:E,"&lt;=10")/creditcard[[#This Row],[當月停卡數]],"")</f>
        <v/>
      </c>
      <c r="AF716" s="4">
        <f>IFERROR(SUMIFS(L:L,A:A,creditcard[[#This Row],[YYYYMM]],E:E,"&lt;=5")/creditcard[[#This Row],[循環信用餘額]],"")</f>
        <v/>
      </c>
      <c r="AG716" s="4">
        <f>IFERROR(SUMIFS(L:L,A:A,creditcard[[#This Row],[YYYYMM]],E:E,"&lt;=10")/creditcard[[#This Row],[循環信用餘額]],"")</f>
        <v/>
      </c>
      <c r="AH716" s="4">
        <f>IFERROR(SUMIFS(N:N,A:A,creditcard[[#This Row],[YYYYMM]],E:E,"&lt;=5")/creditcard[[#This Row],[當月簽帳金額]],"")</f>
        <v/>
      </c>
      <c r="AI716" s="4">
        <f>IFERROR(SUMIFS(N:N,A:A,creditcard[[#This Row],[YYYYMM]],E:E,"&lt;=10")/creditcard[[#This Row],[當月簽帳金額]],"")</f>
        <v/>
      </c>
    </row>
    <row r="717">
      <c r="A717" s="14" t="n">
        <v>202409</v>
      </c>
      <c r="B717" s="15">
        <f>LEFT(creditcard[[#This Row],[YYYYMM]],4)</f>
        <v/>
      </c>
      <c r="C717" s="15">
        <f>RIGHT(creditcard[[#This Row],[YYYYMM]],2)</f>
        <v/>
      </c>
      <c r="D717" s="15">
        <f>IF(RIGHT(creditcard[[#This Row],[YYYYMM]],2)="--","--","Q"&amp;ROUNDUP(VALUE(RIGHT(creditcard[[#This Row],[YYYYMM]],2))/3,0))</f>
        <v/>
      </c>
      <c r="E717" s="15" t="n">
        <v>1</v>
      </c>
      <c r="F717" s="155" t="inlineStr">
        <is>
          <t>中信</t>
        </is>
      </c>
      <c r="G717" s="156" t="inlineStr">
        <is>
          <t>01 中信</t>
        </is>
      </c>
      <c r="H717" s="157" t="n">
        <v>9286107</v>
      </c>
      <c r="I717" s="157" t="n">
        <v>5940711</v>
      </c>
      <c r="J717" s="157" t="n">
        <v>73605</v>
      </c>
      <c r="K717" s="157" t="n">
        <v>148628</v>
      </c>
      <c r="L717" s="157" t="n">
        <v>16689.913</v>
      </c>
      <c r="M717" s="16" t="n"/>
      <c r="N717" s="157" t="n">
        <v>62705.082</v>
      </c>
      <c r="O717" s="16" t="n"/>
      <c r="P717" s="16" t="n"/>
      <c r="Q717" s="17" t="n"/>
      <c r="R717" s="16" t="n"/>
      <c r="S717" s="16" t="n"/>
      <c r="T717" s="16" t="n"/>
      <c r="U717" s="16" t="n"/>
      <c r="V717" s="158" t="n"/>
      <c r="W717" s="16" t="n"/>
      <c r="X717" s="18" t="n"/>
      <c r="Y717" s="18" t="n"/>
      <c r="Z717" s="18" t="n"/>
      <c r="AA717" s="18" t="n"/>
      <c r="AB717" s="18" t="n"/>
      <c r="AC717" s="18" t="n"/>
      <c r="AD717" s="18" t="n"/>
      <c r="AE717" s="18" t="n"/>
      <c r="AF717" s="18" t="n"/>
      <c r="AG717" s="18" t="n"/>
      <c r="AH717" s="18" t="n"/>
      <c r="AI717" s="18" t="n"/>
    </row>
    <row r="718">
      <c r="A718" s="9" t="n">
        <v>202409</v>
      </c>
      <c r="B718" s="10">
        <f>LEFT(creditcard[[#This Row],[YYYYMM]],4)</f>
        <v/>
      </c>
      <c r="C718" s="10">
        <f>RIGHT(creditcard[[#This Row],[YYYYMM]],2)</f>
        <v/>
      </c>
      <c r="D718" s="10">
        <f>IF(RIGHT(creditcard[[#This Row],[YYYYMM]],2)="--","--","Q"&amp;ROUNDUP(VALUE(RIGHT(creditcard[[#This Row],[YYYYMM]],2))/3,0))</f>
        <v/>
      </c>
      <c r="E718" s="10" t="n">
        <v>2</v>
      </c>
      <c r="F718" s="151" t="inlineStr">
        <is>
          <t>富邦</t>
        </is>
      </c>
      <c r="G718" s="152" t="inlineStr">
        <is>
          <t>02 富邦</t>
        </is>
      </c>
      <c r="H718" s="153" t="n">
        <v>7261967</v>
      </c>
      <c r="I718" s="153" t="n">
        <v>5698950</v>
      </c>
      <c r="J718" s="153" t="n">
        <v>52934</v>
      </c>
      <c r="K718" s="153" t="n">
        <v>93941</v>
      </c>
      <c r="L718" s="153" t="n">
        <v>10286.009</v>
      </c>
      <c r="M718" s="11" t="n"/>
      <c r="N718" s="153" t="n">
        <v>47514.689</v>
      </c>
      <c r="O718" s="11" t="n"/>
      <c r="P718" s="11" t="n"/>
      <c r="Q718" s="12" t="n"/>
      <c r="R718" s="11" t="n"/>
      <c r="S718" s="11" t="n"/>
      <c r="T718" s="11" t="n"/>
      <c r="U718" s="11" t="n"/>
      <c r="V718" s="154" t="n"/>
      <c r="W718" s="11" t="n"/>
      <c r="X718" s="13" t="n"/>
      <c r="Y718" s="13" t="n"/>
      <c r="Z718" s="13" t="n"/>
      <c r="AA718" s="13" t="n"/>
      <c r="AB718" s="13" t="n"/>
      <c r="AC718" s="13" t="n"/>
      <c r="AD718" s="13" t="n"/>
      <c r="AE718" s="13" t="n"/>
      <c r="AF718" s="13" t="n"/>
      <c r="AG718" s="13" t="n"/>
      <c r="AH718" s="13" t="n"/>
      <c r="AI718" s="13" t="n"/>
    </row>
    <row r="719">
      <c r="A719" s="14" t="n">
        <v>202409</v>
      </c>
      <c r="B719" s="15">
        <f>LEFT(creditcard[[#This Row],[YYYYMM]],4)</f>
        <v/>
      </c>
      <c r="C719" s="15">
        <f>RIGHT(creditcard[[#This Row],[YYYYMM]],2)</f>
        <v/>
      </c>
      <c r="D719" s="15">
        <f>IF(RIGHT(creditcard[[#This Row],[YYYYMM]],2)="--","--","Q"&amp;ROUNDUP(VALUE(RIGHT(creditcard[[#This Row],[YYYYMM]],2))/3,0))</f>
        <v/>
      </c>
      <c r="E719" s="15" t="n">
        <v>3</v>
      </c>
      <c r="F719" s="155" t="inlineStr">
        <is>
          <t>國泰</t>
        </is>
      </c>
      <c r="G719" s="156" t="inlineStr">
        <is>
          <t>03 國泰</t>
        </is>
      </c>
      <c r="H719" s="157" t="n">
        <v>7410095</v>
      </c>
      <c r="I719" s="157" t="n">
        <v>4859031</v>
      </c>
      <c r="J719" s="157" t="n">
        <v>51222</v>
      </c>
      <c r="K719" s="157" t="n">
        <v>29582</v>
      </c>
      <c r="L719" s="157" t="n">
        <v>19444.906</v>
      </c>
      <c r="M719" s="16" t="n"/>
      <c r="N719" s="157" t="n">
        <v>59101.086</v>
      </c>
      <c r="O719" s="16" t="n"/>
      <c r="P719" s="16" t="n"/>
      <c r="Q719" s="17" t="n"/>
      <c r="R719" s="16" t="n"/>
      <c r="S719" s="16" t="n"/>
      <c r="T719" s="16" t="n"/>
      <c r="U719" s="16" t="n"/>
      <c r="V719" s="158" t="n"/>
      <c r="W719" s="16" t="n"/>
      <c r="X719" s="18" t="n"/>
      <c r="Y719" s="18" t="n"/>
      <c r="Z719" s="18" t="n"/>
      <c r="AA719" s="18" t="n"/>
      <c r="AB719" s="18" t="n"/>
      <c r="AC719" s="18" t="n"/>
      <c r="AD719" s="18" t="n"/>
      <c r="AE719" s="18" t="n"/>
      <c r="AF719" s="18" t="n"/>
      <c r="AG719" s="18" t="n"/>
      <c r="AH719" s="18" t="n"/>
      <c r="AI719" s="18" t="n"/>
    </row>
    <row r="720">
      <c r="A720" s="9" t="n">
        <v>202409</v>
      </c>
      <c r="B720" s="10">
        <f>LEFT(creditcard[[#This Row],[YYYYMM]],4)</f>
        <v/>
      </c>
      <c r="C720" s="10">
        <f>RIGHT(creditcard[[#This Row],[YYYYMM]],2)</f>
        <v/>
      </c>
      <c r="D720" s="10">
        <f>IF(RIGHT(creditcard[[#This Row],[YYYYMM]],2)="--","--","Q"&amp;ROUNDUP(VALUE(RIGHT(creditcard[[#This Row],[YYYYMM]],2))/3,0))</f>
        <v/>
      </c>
      <c r="E720" s="10" t="n">
        <v>4</v>
      </c>
      <c r="F720" s="151" t="inlineStr">
        <is>
          <t>玉山</t>
        </is>
      </c>
      <c r="G720" s="152" t="inlineStr">
        <is>
          <t>04 玉山</t>
        </is>
      </c>
      <c r="H720" s="153" t="n">
        <v>7409972</v>
      </c>
      <c r="I720" s="153" t="n">
        <v>4890091</v>
      </c>
      <c r="J720" s="153" t="n">
        <v>107944</v>
      </c>
      <c r="K720" s="153" t="n">
        <v>65887</v>
      </c>
      <c r="L720" s="153" t="n">
        <v>18132.415</v>
      </c>
      <c r="M720" s="11" t="n"/>
      <c r="N720" s="153" t="n">
        <v>46140.112</v>
      </c>
      <c r="O720" s="11" t="n"/>
      <c r="P720" s="11" t="n"/>
      <c r="Q720" s="12" t="n"/>
      <c r="R720" s="11" t="n"/>
      <c r="S720" s="11" t="n"/>
      <c r="T720" s="11" t="n"/>
      <c r="U720" s="11" t="n"/>
      <c r="V720" s="154" t="n"/>
      <c r="W720" s="11" t="n"/>
      <c r="X720" s="13" t="n"/>
      <c r="Y720" s="13" t="n"/>
      <c r="Z720" s="13" t="n"/>
      <c r="AA720" s="13" t="n"/>
      <c r="AB720" s="13" t="n"/>
      <c r="AC720" s="13" t="n"/>
      <c r="AD720" s="13" t="n"/>
      <c r="AE720" s="13" t="n"/>
      <c r="AF720" s="13" t="n"/>
      <c r="AG720" s="13" t="n"/>
      <c r="AH720" s="13" t="n"/>
      <c r="AI720" s="13" t="n"/>
    </row>
    <row r="721">
      <c r="A721" s="14" t="n">
        <v>202409</v>
      </c>
      <c r="B721" s="15">
        <f>LEFT(creditcard[[#This Row],[YYYYMM]],4)</f>
        <v/>
      </c>
      <c r="C721" s="15">
        <f>RIGHT(creditcard[[#This Row],[YYYYMM]],2)</f>
        <v/>
      </c>
      <c r="D721" s="15">
        <f>IF(RIGHT(creditcard[[#This Row],[YYYYMM]],2)="--","--","Q"&amp;ROUNDUP(VALUE(RIGHT(creditcard[[#This Row],[YYYYMM]],2))/3,0))</f>
        <v/>
      </c>
      <c r="E721" s="15" t="n">
        <v>5</v>
      </c>
      <c r="F721" s="155" t="inlineStr">
        <is>
          <t>台新</t>
        </is>
      </c>
      <c r="G721" s="156" t="inlineStr">
        <is>
          <t>05 台新</t>
        </is>
      </c>
      <c r="H721" s="157" t="n">
        <v>6589066</v>
      </c>
      <c r="I721" s="157" t="n">
        <v>4801572</v>
      </c>
      <c r="J721" s="157" t="n">
        <v>68752</v>
      </c>
      <c r="K721" s="157" t="n">
        <v>67626</v>
      </c>
      <c r="L721" s="157" t="n">
        <v>10490.867</v>
      </c>
      <c r="M721" s="16" t="n"/>
      <c r="N721" s="157" t="n">
        <v>42608.008</v>
      </c>
      <c r="O721" s="16" t="n"/>
      <c r="P721" s="16" t="n"/>
      <c r="Q721" s="17" t="n"/>
      <c r="R721" s="16" t="n"/>
      <c r="S721" s="16" t="n"/>
      <c r="T721" s="16" t="n"/>
      <c r="U721" s="16" t="n"/>
      <c r="V721" s="158" t="n"/>
      <c r="W721" s="16" t="n"/>
      <c r="X721" s="18" t="n"/>
      <c r="Y721" s="18" t="n"/>
      <c r="Z721" s="18" t="n"/>
      <c r="AA721" s="18" t="n"/>
      <c r="AB721" s="18" t="n"/>
      <c r="AC721" s="18" t="n"/>
      <c r="AD721" s="18" t="n"/>
      <c r="AE721" s="18" t="n"/>
      <c r="AF721" s="18" t="n"/>
      <c r="AG721" s="18" t="n"/>
      <c r="AH721" s="18" t="n"/>
      <c r="AI721" s="18" t="n"/>
    </row>
    <row r="722">
      <c r="A722" s="9" t="n">
        <v>202409</v>
      </c>
      <c r="B722" s="10">
        <f>LEFT(creditcard[[#This Row],[YYYYMM]],4)</f>
        <v/>
      </c>
      <c r="C722" s="10">
        <f>RIGHT(creditcard[[#This Row],[YYYYMM]],2)</f>
        <v/>
      </c>
      <c r="D722" s="10">
        <f>IF(RIGHT(creditcard[[#This Row],[YYYYMM]],2)="--","--","Q"&amp;ROUNDUP(VALUE(RIGHT(creditcard[[#This Row],[YYYYMM]],2))/3,0))</f>
        <v/>
      </c>
      <c r="E722" s="10" t="n">
        <v>6</v>
      </c>
      <c r="F722" s="151" t="inlineStr">
        <is>
          <t>星展</t>
        </is>
      </c>
      <c r="G722" s="152" t="inlineStr">
        <is>
          <t>06 星展</t>
        </is>
      </c>
      <c r="H722" s="153" t="n">
        <v>3275459</v>
      </c>
      <c r="I722" s="153" t="n">
        <v>2088123</v>
      </c>
      <c r="J722" s="153" t="n">
        <v>14207</v>
      </c>
      <c r="K722" s="153" t="n">
        <v>24473</v>
      </c>
      <c r="L722" s="153" t="n">
        <v>8436.893</v>
      </c>
      <c r="M722" s="11" t="n"/>
      <c r="N722" s="153" t="n">
        <v>22092.059</v>
      </c>
      <c r="O722" s="11" t="n"/>
      <c r="P722" s="11" t="n"/>
      <c r="Q722" s="12" t="n"/>
      <c r="R722" s="11" t="n"/>
      <c r="S722" s="11" t="n"/>
      <c r="T722" s="11" t="n"/>
      <c r="U722" s="11" t="n"/>
      <c r="V722" s="154" t="n"/>
      <c r="W722" s="11" t="n"/>
      <c r="X722" s="13" t="n"/>
      <c r="Y722" s="13" t="n"/>
      <c r="Z722" s="13" t="n"/>
      <c r="AA722" s="13" t="n"/>
      <c r="AB722" s="13" t="n"/>
      <c r="AC722" s="13" t="n"/>
      <c r="AD722" s="13" t="n"/>
      <c r="AE722" s="13" t="n"/>
      <c r="AF722" s="13" t="n"/>
      <c r="AG722" s="13" t="n"/>
      <c r="AH722" s="13" t="n"/>
      <c r="AI722" s="13" t="n"/>
    </row>
    <row r="723">
      <c r="A723" s="14" t="n">
        <v>202409</v>
      </c>
      <c r="B723" s="15">
        <f>LEFT(creditcard[[#This Row],[YYYYMM]],4)</f>
        <v/>
      </c>
      <c r="C723" s="15">
        <f>RIGHT(creditcard[[#This Row],[YYYYMM]],2)</f>
        <v/>
      </c>
      <c r="D723" s="15">
        <f>IF(RIGHT(creditcard[[#This Row],[YYYYMM]],2)="--","--","Q"&amp;ROUNDUP(VALUE(RIGHT(creditcard[[#This Row],[YYYYMM]],2))/3,0))</f>
        <v/>
      </c>
      <c r="E723" s="15" t="n">
        <v>7</v>
      </c>
      <c r="F723" s="155" t="inlineStr">
        <is>
          <t>聯邦</t>
        </is>
      </c>
      <c r="G723" s="156" t="inlineStr">
        <is>
          <t>07 聯邦</t>
        </is>
      </c>
      <c r="H723" s="157" t="n">
        <v>2843748</v>
      </c>
      <c r="I723" s="157" t="n">
        <v>1884640</v>
      </c>
      <c r="J723" s="157" t="n">
        <v>22065</v>
      </c>
      <c r="K723" s="157" t="n">
        <v>23112</v>
      </c>
      <c r="L723" s="157" t="n">
        <v>6715.448</v>
      </c>
      <c r="M723" s="16" t="n"/>
      <c r="N723" s="157" t="n">
        <v>14967.409</v>
      </c>
      <c r="O723" s="16" t="n"/>
      <c r="P723" s="16" t="n"/>
      <c r="Q723" s="17" t="n"/>
      <c r="R723" s="16" t="n"/>
      <c r="S723" s="16" t="n"/>
      <c r="T723" s="16" t="n"/>
      <c r="U723" s="16" t="n"/>
      <c r="V723" s="158" t="n"/>
      <c r="W723" s="16" t="n"/>
      <c r="X723" s="18" t="n"/>
      <c r="Y723" s="18" t="n"/>
      <c r="Z723" s="18" t="n"/>
      <c r="AA723" s="18" t="n"/>
      <c r="AB723" s="18" t="n"/>
      <c r="AC723" s="18" t="n"/>
      <c r="AD723" s="18" t="n"/>
      <c r="AE723" s="18" t="n"/>
      <c r="AF723" s="18" t="n"/>
      <c r="AG723" s="18" t="n"/>
      <c r="AH723" s="18" t="n"/>
      <c r="AI723" s="18" t="n"/>
    </row>
    <row r="724">
      <c r="A724" s="9" t="n">
        <v>202409</v>
      </c>
      <c r="B724" s="10">
        <f>LEFT(creditcard[[#This Row],[YYYYMM]],4)</f>
        <v/>
      </c>
      <c r="C724" s="10">
        <f>RIGHT(creditcard[[#This Row],[YYYYMM]],2)</f>
        <v/>
      </c>
      <c r="D724" s="10">
        <f>IF(RIGHT(creditcard[[#This Row],[YYYYMM]],2)="--","--","Q"&amp;ROUNDUP(VALUE(RIGHT(creditcard[[#This Row],[YYYYMM]],2))/3,0))</f>
        <v/>
      </c>
      <c r="E724" s="10" t="n">
        <v>8</v>
      </c>
      <c r="F724" s="151" t="inlineStr">
        <is>
          <t>永豐</t>
        </is>
      </c>
      <c r="G724" s="152" t="inlineStr">
        <is>
          <t>08 永豐</t>
        </is>
      </c>
      <c r="H724" s="153" t="n">
        <v>2152568</v>
      </c>
      <c r="I724" s="153" t="n">
        <v>1266554</v>
      </c>
      <c r="J724" s="153" t="n">
        <v>15074</v>
      </c>
      <c r="K724" s="153" t="n">
        <v>59904</v>
      </c>
      <c r="L724" s="153" t="n">
        <v>3835.479</v>
      </c>
      <c r="M724" s="11" t="n"/>
      <c r="N724" s="153" t="n">
        <v>11827.95</v>
      </c>
      <c r="O724" s="11" t="n"/>
      <c r="P724" s="11" t="n"/>
      <c r="Q724" s="12" t="n"/>
      <c r="R724" s="11" t="n"/>
      <c r="S724" s="11" t="n"/>
      <c r="T724" s="11" t="n"/>
      <c r="U724" s="11" t="n"/>
      <c r="V724" s="154" t="n"/>
      <c r="W724" s="11" t="n"/>
      <c r="X724" s="13" t="n"/>
      <c r="Y724" s="13" t="n"/>
      <c r="Z724" s="13" t="n"/>
      <c r="AA724" s="13" t="n"/>
      <c r="AB724" s="13" t="n"/>
      <c r="AC724" s="13" t="n"/>
      <c r="AD724" s="13" t="n"/>
      <c r="AE724" s="13" t="n"/>
      <c r="AF724" s="13" t="n"/>
      <c r="AG724" s="13" t="n"/>
      <c r="AH724" s="13" t="n"/>
      <c r="AI724" s="13" t="n"/>
    </row>
    <row r="725">
      <c r="A725" s="14" t="n">
        <v>202409</v>
      </c>
      <c r="B725" s="15">
        <f>LEFT(creditcard[[#This Row],[YYYYMM]],4)</f>
        <v/>
      </c>
      <c r="C725" s="15">
        <f>RIGHT(creditcard[[#This Row],[YYYYMM]],2)</f>
        <v/>
      </c>
      <c r="D725" s="15">
        <f>IF(RIGHT(creditcard[[#This Row],[YYYYMM]],2)="--","--","Q"&amp;ROUNDUP(VALUE(RIGHT(creditcard[[#This Row],[YYYYMM]],2))/3,0))</f>
        <v/>
      </c>
      <c r="E725" s="15" t="n">
        <v>9</v>
      </c>
      <c r="F725" s="155" t="inlineStr">
        <is>
          <t>第一</t>
        </is>
      </c>
      <c r="G725" s="156" t="inlineStr">
        <is>
          <t>09 第一</t>
        </is>
      </c>
      <c r="H725" s="157" t="n">
        <v>1532848</v>
      </c>
      <c r="I725" s="157" t="n">
        <v>945921</v>
      </c>
      <c r="J725" s="157" t="n">
        <v>11756</v>
      </c>
      <c r="K725" s="157" t="n">
        <v>15542</v>
      </c>
      <c r="L725" s="157" t="n">
        <v>1262.601</v>
      </c>
      <c r="M725" s="16" t="n"/>
      <c r="N725" s="157" t="n">
        <v>6455.516</v>
      </c>
      <c r="O725" s="16" t="n"/>
      <c r="P725" s="16" t="n"/>
      <c r="Q725" s="17" t="n"/>
      <c r="R725" s="16" t="n"/>
      <c r="S725" s="16" t="n"/>
      <c r="T725" s="16" t="n"/>
      <c r="U725" s="16" t="n"/>
      <c r="V725" s="158" t="n"/>
      <c r="W725" s="16" t="n"/>
      <c r="X725" s="18" t="n"/>
      <c r="Y725" s="18" t="n"/>
      <c r="Z725" s="18" t="n"/>
      <c r="AA725" s="18" t="n"/>
      <c r="AB725" s="18" t="n"/>
      <c r="AC725" s="18" t="n"/>
      <c r="AD725" s="18" t="n"/>
      <c r="AE725" s="18" t="n"/>
      <c r="AF725" s="18" t="n"/>
      <c r="AG725" s="18" t="n"/>
      <c r="AH725" s="18" t="n"/>
      <c r="AI725" s="18" t="n"/>
    </row>
    <row r="726">
      <c r="A726" s="9" t="n">
        <v>202409</v>
      </c>
      <c r="B726" s="10">
        <f>LEFT(creditcard[[#This Row],[YYYYMM]],4)</f>
        <v/>
      </c>
      <c r="C726" s="10">
        <f>RIGHT(creditcard[[#This Row],[YYYYMM]],2)</f>
        <v/>
      </c>
      <c r="D726" s="10">
        <f>IF(RIGHT(creditcard[[#This Row],[YYYYMM]],2)="--","--","Q"&amp;ROUNDUP(VALUE(RIGHT(creditcard[[#This Row],[YYYYMM]],2))/3,0))</f>
        <v/>
      </c>
      <c r="E726" s="10" t="n">
        <v>10</v>
      </c>
      <c r="F726" s="151" t="inlineStr">
        <is>
          <t>遠東</t>
        </is>
      </c>
      <c r="G726" s="152" t="inlineStr">
        <is>
          <t>10 遠東</t>
        </is>
      </c>
      <c r="H726" s="153" t="n">
        <v>1354836</v>
      </c>
      <c r="I726" s="153" t="n">
        <v>941044</v>
      </c>
      <c r="J726" s="153" t="n">
        <v>8224</v>
      </c>
      <c r="K726" s="153" t="n">
        <v>6433</v>
      </c>
      <c r="L726" s="153" t="n">
        <v>3370.606</v>
      </c>
      <c r="M726" s="11" t="n"/>
      <c r="N726" s="153" t="n">
        <v>4449.328</v>
      </c>
      <c r="O726" s="11" t="n"/>
      <c r="P726" s="11" t="n"/>
      <c r="Q726" s="12" t="n"/>
      <c r="R726" s="11" t="n"/>
      <c r="S726" s="11" t="n"/>
      <c r="T726" s="11" t="n"/>
      <c r="U726" s="11" t="n"/>
      <c r="V726" s="154" t="n"/>
      <c r="W726" s="11" t="n"/>
      <c r="X726" s="13" t="n"/>
      <c r="Y726" s="13" t="n"/>
      <c r="Z726" s="13" t="n"/>
      <c r="AA726" s="13" t="n"/>
      <c r="AB726" s="13" t="n"/>
      <c r="AC726" s="13" t="n"/>
      <c r="AD726" s="13" t="n"/>
      <c r="AE726" s="13" t="n"/>
      <c r="AF726" s="13" t="n"/>
      <c r="AG726" s="13" t="n"/>
      <c r="AH726" s="13" t="n"/>
      <c r="AI726" s="13" t="n"/>
    </row>
    <row r="727">
      <c r="A727" s="14" t="n">
        <v>202409</v>
      </c>
      <c r="B727" s="15">
        <f>LEFT(creditcard[[#This Row],[YYYYMM]],4)</f>
        <v/>
      </c>
      <c r="C727" s="15">
        <f>RIGHT(creditcard[[#This Row],[YYYYMM]],2)</f>
        <v/>
      </c>
      <c r="D727" s="15">
        <f>IF(RIGHT(creditcard[[#This Row],[YYYYMM]],2)="--","--","Q"&amp;ROUNDUP(VALUE(RIGHT(creditcard[[#This Row],[YYYYMM]],2))/3,0))</f>
        <v/>
      </c>
      <c r="E727" s="15" t="n">
        <v>11</v>
      </c>
      <c r="F727" s="155" t="inlineStr">
        <is>
          <t>市場總計</t>
        </is>
      </c>
      <c r="G727" s="156" t="inlineStr">
        <is>
          <t>11 市場總計</t>
        </is>
      </c>
      <c r="H727" s="157" t="n">
        <v>58596279</v>
      </c>
      <c r="I727" s="157" t="n">
        <v>38629748</v>
      </c>
      <c r="J727" s="157" t="n">
        <v>488460</v>
      </c>
      <c r="K727" s="157" t="n">
        <v>595198</v>
      </c>
      <c r="L727" s="157" t="n">
        <v>112625.201</v>
      </c>
      <c r="M727" s="160" t="n">
        <v>209150.803</v>
      </c>
      <c r="N727" s="157" t="n">
        <v>367656.411</v>
      </c>
      <c r="O727" s="160" t="n">
        <v>1646.542</v>
      </c>
      <c r="P727" s="17" t="n">
        <v>0.002874318192258066</v>
      </c>
      <c r="Q727" s="17" t="n">
        <v>0.0003</v>
      </c>
      <c r="R727" s="19" t="n">
        <v>4.497164777427197</v>
      </c>
      <c r="S727" s="160" t="n">
        <v>660.092</v>
      </c>
      <c r="T727" s="160" t="n">
        <v>5364.859</v>
      </c>
      <c r="U727" s="16" t="n"/>
      <c r="V727" s="158" t="n">
        <v>4.59</v>
      </c>
      <c r="W727" s="16">
        <f>SUMIFS(H:H,A:A,creditcard[[#This Row],[YYYYMM]],G:G,creditcard[[#This Row],[Item]])</f>
        <v/>
      </c>
      <c r="X727" s="4">
        <f>IFERROR(SUMIFS(H:H,A:A,creditcard[[#This Row],[YYYYMM]],E:E,"&lt;=5")/creditcard[[#This Row],[市場總計]],"")</f>
        <v/>
      </c>
      <c r="Y727" s="4">
        <f>IFERROR(SUMIFS(H:H,A:A,creditcard[[#This Row],[YYYYMM]],E:E,"&lt;=10")/creditcard[[#This Row],[市場總計]],"")</f>
        <v/>
      </c>
      <c r="Z727" s="4">
        <f>IFERROR(SUMIFS(I:I,A:A,creditcard[[#This Row],[YYYYMM]],E:E,"&lt;=5")/creditcard[[#This Row],[有效卡數]],"")</f>
        <v/>
      </c>
      <c r="AA727" s="4">
        <f>IFERROR(SUMIFS(I:I,A:A,creditcard[[#This Row],[YYYYMM]],E:E,"&lt;=10")/creditcard[[#This Row],[有效卡數]],"")</f>
        <v/>
      </c>
      <c r="AB727" s="4">
        <f>IFERROR(SUMIFS(J:J,A:A,creditcard[[#This Row],[YYYYMM]],E:E,"&lt;=5")/creditcard[[#This Row],[當月發卡數]],"")</f>
        <v/>
      </c>
      <c r="AC727" s="4">
        <f>IFERROR(SUMIFS(J:J,A:A,creditcard[[#This Row],[YYYYMM]],E:E,"&lt;=10")/creditcard[[#This Row],[當月發卡數]],"")</f>
        <v/>
      </c>
      <c r="AD727" s="4">
        <f>IFERROR(SUMIFS(K:K,A:A,creditcard[[#This Row],[YYYYMM]],E:E,"&lt;=5")/creditcard[[#This Row],[當月停卡數]],"")</f>
        <v/>
      </c>
      <c r="AE727" s="4">
        <f>IFERROR(SUMIFS(K:K,A:A,creditcard[[#This Row],[YYYYMM]],E:E,"&lt;=10")/creditcard[[#This Row],[當月停卡數]],"")</f>
        <v/>
      </c>
      <c r="AF727" s="4">
        <f>IFERROR(SUMIFS(L:L,A:A,creditcard[[#This Row],[YYYYMM]],E:E,"&lt;=5")/creditcard[[#This Row],[循環信用餘額]],"")</f>
        <v/>
      </c>
      <c r="AG727" s="4">
        <f>IFERROR(SUMIFS(L:L,A:A,creditcard[[#This Row],[YYYYMM]],E:E,"&lt;=10")/creditcard[[#This Row],[循環信用餘額]],"")</f>
        <v/>
      </c>
      <c r="AH727" s="4">
        <f>IFERROR(SUMIFS(N:N,A:A,creditcard[[#This Row],[YYYYMM]],E:E,"&lt;=5")/creditcard[[#This Row],[當月簽帳金額]],"")</f>
        <v/>
      </c>
      <c r="AI727" s="4">
        <f>IFERROR(SUMIFS(N:N,A:A,creditcard[[#This Row],[YYYYMM]],E:E,"&lt;=10")/creditcard[[#This Row],[當月簽帳金額]],"")</f>
        <v/>
      </c>
    </row>
    <row r="728">
      <c r="A728" s="9" t="n">
        <v>202410</v>
      </c>
      <c r="B728" s="10">
        <f>LEFT(creditcard[[#This Row],[YYYYMM]],4)</f>
        <v/>
      </c>
      <c r="C728" s="10">
        <f>RIGHT(creditcard[[#This Row],[YYYYMM]],2)</f>
        <v/>
      </c>
      <c r="D728" s="10">
        <f>IF(RIGHT(creditcard[[#This Row],[YYYYMM]],2)="--","--","Q"&amp;ROUNDUP(VALUE(RIGHT(creditcard[[#This Row],[YYYYMM]],2))/3,0))</f>
        <v/>
      </c>
      <c r="E728" s="10" t="n">
        <v>1</v>
      </c>
      <c r="F728" s="151" t="inlineStr">
        <is>
          <t>中信</t>
        </is>
      </c>
      <c r="G728" s="152" t="inlineStr">
        <is>
          <t>01 中信</t>
        </is>
      </c>
      <c r="H728" s="153" t="n">
        <v>9252139</v>
      </c>
      <c r="I728" s="153" t="n">
        <v>5955216</v>
      </c>
      <c r="J728" s="153" t="n">
        <v>90072</v>
      </c>
      <c r="K728" s="153" t="n">
        <v>124040</v>
      </c>
      <c r="L728" s="153" t="n">
        <v>17036.339</v>
      </c>
      <c r="M728" s="11" t="n"/>
      <c r="N728" s="153" t="n">
        <v>68019.488</v>
      </c>
      <c r="O728" s="11" t="n"/>
      <c r="P728" s="11" t="n"/>
      <c r="Q728" s="12" t="n"/>
      <c r="R728" s="11" t="n"/>
      <c r="S728" s="11" t="n"/>
      <c r="T728" s="11" t="n"/>
      <c r="U728" s="11" t="n"/>
      <c r="V728" s="154" t="n"/>
      <c r="W728" s="11" t="n"/>
      <c r="X728" s="13" t="n"/>
      <c r="Y728" s="13" t="n"/>
      <c r="Z728" s="13" t="n"/>
      <c r="AA728" s="13" t="n"/>
      <c r="AB728" s="13" t="n"/>
      <c r="AC728" s="13" t="n"/>
      <c r="AD728" s="13" t="n"/>
      <c r="AE728" s="13" t="n"/>
      <c r="AF728" s="13" t="n"/>
      <c r="AG728" s="13" t="n"/>
      <c r="AH728" s="13" t="n"/>
      <c r="AI728" s="13" t="n"/>
    </row>
    <row r="729">
      <c r="A729" s="14" t="n">
        <v>202410</v>
      </c>
      <c r="B729" s="15">
        <f>LEFT(creditcard[[#This Row],[YYYYMM]],4)</f>
        <v/>
      </c>
      <c r="C729" s="15">
        <f>RIGHT(creditcard[[#This Row],[YYYYMM]],2)</f>
        <v/>
      </c>
      <c r="D729" s="15">
        <f>IF(RIGHT(creditcard[[#This Row],[YYYYMM]],2)="--","--","Q"&amp;ROUNDUP(VALUE(RIGHT(creditcard[[#This Row],[YYYYMM]],2))/3,0))</f>
        <v/>
      </c>
      <c r="E729" s="15" t="n">
        <v>2</v>
      </c>
      <c r="F729" s="155" t="inlineStr">
        <is>
          <t>富邦</t>
        </is>
      </c>
      <c r="G729" s="156" t="inlineStr">
        <is>
          <t>02 富邦</t>
        </is>
      </c>
      <c r="H729" s="157" t="n">
        <v>7281679</v>
      </c>
      <c r="I729" s="157" t="n">
        <v>5715395</v>
      </c>
      <c r="J729" s="157" t="n">
        <v>47508</v>
      </c>
      <c r="K729" s="157" t="n">
        <v>27796</v>
      </c>
      <c r="L729" s="157" t="n">
        <v>10345.518</v>
      </c>
      <c r="M729" s="16" t="n"/>
      <c r="N729" s="157" t="n">
        <v>51737.603</v>
      </c>
      <c r="O729" s="16" t="n"/>
      <c r="P729" s="16" t="n"/>
      <c r="Q729" s="17" t="n"/>
      <c r="R729" s="16" t="n"/>
      <c r="S729" s="16" t="n"/>
      <c r="T729" s="16" t="n"/>
      <c r="U729" s="16" t="n"/>
      <c r="V729" s="158" t="n"/>
      <c r="W729" s="16" t="n"/>
      <c r="X729" s="18" t="n"/>
      <c r="Y729" s="18" t="n"/>
      <c r="Z729" s="18" t="n"/>
      <c r="AA729" s="18" t="n"/>
      <c r="AB729" s="18" t="n"/>
      <c r="AC729" s="18" t="n"/>
      <c r="AD729" s="18" t="n"/>
      <c r="AE729" s="18" t="n"/>
      <c r="AF729" s="18" t="n"/>
      <c r="AG729" s="18" t="n"/>
      <c r="AH729" s="18" t="n"/>
      <c r="AI729" s="18" t="n"/>
    </row>
    <row r="730">
      <c r="A730" s="9" t="n">
        <v>202410</v>
      </c>
      <c r="B730" s="10">
        <f>LEFT(creditcard[[#This Row],[YYYYMM]],4)</f>
        <v/>
      </c>
      <c r="C730" s="10">
        <f>RIGHT(creditcard[[#This Row],[YYYYMM]],2)</f>
        <v/>
      </c>
      <c r="D730" s="10">
        <f>IF(RIGHT(creditcard[[#This Row],[YYYYMM]],2)="--","--","Q"&amp;ROUNDUP(VALUE(RIGHT(creditcard[[#This Row],[YYYYMM]],2))/3,0))</f>
        <v/>
      </c>
      <c r="E730" s="10" t="n">
        <v>3</v>
      </c>
      <c r="F730" s="151" t="inlineStr">
        <is>
          <t>國泰</t>
        </is>
      </c>
      <c r="G730" s="152" t="inlineStr">
        <is>
          <t>03 國泰</t>
        </is>
      </c>
      <c r="H730" s="153" t="n">
        <v>7432655</v>
      </c>
      <c r="I730" s="153" t="n">
        <v>4889407</v>
      </c>
      <c r="J730" s="153" t="n">
        <v>51628</v>
      </c>
      <c r="K730" s="153" t="n">
        <v>29068</v>
      </c>
      <c r="L730" s="153" t="n">
        <v>20324.019</v>
      </c>
      <c r="M730" s="11" t="n"/>
      <c r="N730" s="153" t="n">
        <v>67436.22199999999</v>
      </c>
      <c r="O730" s="11" t="n"/>
      <c r="P730" s="11" t="n"/>
      <c r="Q730" s="12" t="n"/>
      <c r="R730" s="11" t="n"/>
      <c r="S730" s="11" t="n"/>
      <c r="T730" s="11" t="n"/>
      <c r="U730" s="11" t="n"/>
      <c r="V730" s="154" t="n"/>
      <c r="W730" s="11" t="n"/>
      <c r="X730" s="13" t="n"/>
      <c r="Y730" s="13" t="n"/>
      <c r="Z730" s="13" t="n"/>
      <c r="AA730" s="13" t="n"/>
      <c r="AB730" s="13" t="n"/>
      <c r="AC730" s="13" t="n"/>
      <c r="AD730" s="13" t="n"/>
      <c r="AE730" s="13" t="n"/>
      <c r="AF730" s="13" t="n"/>
      <c r="AG730" s="13" t="n"/>
      <c r="AH730" s="13" t="n"/>
      <c r="AI730" s="13" t="n"/>
    </row>
    <row r="731">
      <c r="A731" s="14" t="n">
        <v>202410</v>
      </c>
      <c r="B731" s="15">
        <f>LEFT(creditcard[[#This Row],[YYYYMM]],4)</f>
        <v/>
      </c>
      <c r="C731" s="15">
        <f>RIGHT(creditcard[[#This Row],[YYYYMM]],2)</f>
        <v/>
      </c>
      <c r="D731" s="15">
        <f>IF(RIGHT(creditcard[[#This Row],[YYYYMM]],2)="--","--","Q"&amp;ROUNDUP(VALUE(RIGHT(creditcard[[#This Row],[YYYYMM]],2))/3,0))</f>
        <v/>
      </c>
      <c r="E731" s="15" t="n">
        <v>4</v>
      </c>
      <c r="F731" s="155" t="inlineStr">
        <is>
          <t>玉山</t>
        </is>
      </c>
      <c r="G731" s="156" t="inlineStr">
        <is>
          <t>04 玉山</t>
        </is>
      </c>
      <c r="H731" s="157" t="n">
        <v>7461915</v>
      </c>
      <c r="I731" s="157" t="n">
        <v>4920104</v>
      </c>
      <c r="J731" s="157" t="n">
        <v>118028</v>
      </c>
      <c r="K731" s="157" t="n">
        <v>66085</v>
      </c>
      <c r="L731" s="157" t="n">
        <v>17307.599</v>
      </c>
      <c r="M731" s="16" t="n"/>
      <c r="N731" s="157" t="n">
        <v>53364.686</v>
      </c>
      <c r="O731" s="16" t="n"/>
      <c r="P731" s="16" t="n"/>
      <c r="Q731" s="17" t="n"/>
      <c r="R731" s="16" t="n"/>
      <c r="S731" s="16" t="n"/>
      <c r="T731" s="16" t="n"/>
      <c r="U731" s="16" t="n"/>
      <c r="V731" s="158" t="n"/>
      <c r="W731" s="16" t="n"/>
      <c r="X731" s="18" t="n"/>
      <c r="Y731" s="18" t="n"/>
      <c r="Z731" s="18" t="n"/>
      <c r="AA731" s="18" t="n"/>
      <c r="AB731" s="18" t="n"/>
      <c r="AC731" s="18" t="n"/>
      <c r="AD731" s="18" t="n"/>
      <c r="AE731" s="18" t="n"/>
      <c r="AF731" s="18" t="n"/>
      <c r="AG731" s="18" t="n"/>
      <c r="AH731" s="18" t="n"/>
      <c r="AI731" s="18" t="n"/>
    </row>
    <row r="732">
      <c r="A732" s="9" t="n">
        <v>202410</v>
      </c>
      <c r="B732" s="10">
        <f>LEFT(creditcard[[#This Row],[YYYYMM]],4)</f>
        <v/>
      </c>
      <c r="C732" s="10">
        <f>RIGHT(creditcard[[#This Row],[YYYYMM]],2)</f>
        <v/>
      </c>
      <c r="D732" s="10">
        <f>IF(RIGHT(creditcard[[#This Row],[YYYYMM]],2)="--","--","Q"&amp;ROUNDUP(VALUE(RIGHT(creditcard[[#This Row],[YYYYMM]],2))/3,0))</f>
        <v/>
      </c>
      <c r="E732" s="10" t="n">
        <v>5</v>
      </c>
      <c r="F732" s="151" t="inlineStr">
        <is>
          <t>台新</t>
        </is>
      </c>
      <c r="G732" s="152" t="inlineStr">
        <is>
          <t>05 台新</t>
        </is>
      </c>
      <c r="H732" s="153" t="n">
        <v>6587924</v>
      </c>
      <c r="I732" s="153" t="n">
        <v>4821765</v>
      </c>
      <c r="J732" s="153" t="n">
        <v>77287</v>
      </c>
      <c r="K732" s="153" t="n">
        <v>78429</v>
      </c>
      <c r="L732" s="153" t="n">
        <v>10612.445</v>
      </c>
      <c r="M732" s="11" t="n"/>
      <c r="N732" s="153" t="n">
        <v>47003.705</v>
      </c>
      <c r="O732" s="11" t="n"/>
      <c r="P732" s="11" t="n"/>
      <c r="Q732" s="12" t="n"/>
      <c r="R732" s="11" t="n"/>
      <c r="S732" s="11" t="n"/>
      <c r="T732" s="11" t="n"/>
      <c r="U732" s="11" t="n"/>
      <c r="V732" s="154" t="n"/>
      <c r="W732" s="11" t="n"/>
      <c r="X732" s="13" t="n"/>
      <c r="Y732" s="13" t="n"/>
      <c r="Z732" s="13" t="n"/>
      <c r="AA732" s="13" t="n"/>
      <c r="AB732" s="13" t="n"/>
      <c r="AC732" s="13" t="n"/>
      <c r="AD732" s="13" t="n"/>
      <c r="AE732" s="13" t="n"/>
      <c r="AF732" s="13" t="n"/>
      <c r="AG732" s="13" t="n"/>
      <c r="AH732" s="13" t="n"/>
      <c r="AI732" s="13" t="n"/>
    </row>
    <row r="733">
      <c r="A733" s="14" t="n">
        <v>202410</v>
      </c>
      <c r="B733" s="15">
        <f>LEFT(creditcard[[#This Row],[YYYYMM]],4)</f>
        <v/>
      </c>
      <c r="C733" s="15">
        <f>RIGHT(creditcard[[#This Row],[YYYYMM]],2)</f>
        <v/>
      </c>
      <c r="D733" s="15">
        <f>IF(RIGHT(creditcard[[#This Row],[YYYYMM]],2)="--","--","Q"&amp;ROUNDUP(VALUE(RIGHT(creditcard[[#This Row],[YYYYMM]],2))/3,0))</f>
        <v/>
      </c>
      <c r="E733" s="15" t="n">
        <v>6</v>
      </c>
      <c r="F733" s="155" t="inlineStr">
        <is>
          <t>星展</t>
        </is>
      </c>
      <c r="G733" s="156" t="inlineStr">
        <is>
          <t>06 星展</t>
        </is>
      </c>
      <c r="H733" s="157" t="n">
        <v>3277680</v>
      </c>
      <c r="I733" s="157" t="n">
        <v>2083698</v>
      </c>
      <c r="J733" s="157" t="n">
        <v>13601</v>
      </c>
      <c r="K733" s="157" t="n">
        <v>24072</v>
      </c>
      <c r="L733" s="157" t="n">
        <v>8439.361000000001</v>
      </c>
      <c r="M733" s="16" t="n"/>
      <c r="N733" s="157" t="n">
        <v>25494.293</v>
      </c>
      <c r="O733" s="16" t="n"/>
      <c r="P733" s="16" t="n"/>
      <c r="Q733" s="17" t="n"/>
      <c r="R733" s="16" t="n"/>
      <c r="S733" s="16" t="n"/>
      <c r="T733" s="16" t="n"/>
      <c r="U733" s="16" t="n"/>
      <c r="V733" s="158" t="n"/>
      <c r="W733" s="16" t="n"/>
      <c r="X733" s="18" t="n"/>
      <c r="Y733" s="18" t="n"/>
      <c r="Z733" s="18" t="n"/>
      <c r="AA733" s="18" t="n"/>
      <c r="AB733" s="18" t="n"/>
      <c r="AC733" s="18" t="n"/>
      <c r="AD733" s="18" t="n"/>
      <c r="AE733" s="18" t="n"/>
      <c r="AF733" s="18" t="n"/>
      <c r="AG733" s="18" t="n"/>
      <c r="AH733" s="18" t="n"/>
      <c r="AI733" s="18" t="n"/>
    </row>
    <row r="734">
      <c r="A734" s="9" t="n">
        <v>202410</v>
      </c>
      <c r="B734" s="10">
        <f>LEFT(creditcard[[#This Row],[YYYYMM]],4)</f>
        <v/>
      </c>
      <c r="C734" s="10">
        <f>RIGHT(creditcard[[#This Row],[YYYYMM]],2)</f>
        <v/>
      </c>
      <c r="D734" s="10">
        <f>IF(RIGHT(creditcard[[#This Row],[YYYYMM]],2)="--","--","Q"&amp;ROUNDUP(VALUE(RIGHT(creditcard[[#This Row],[YYYYMM]],2))/3,0))</f>
        <v/>
      </c>
      <c r="E734" s="10" t="n">
        <v>7</v>
      </c>
      <c r="F734" s="151" t="inlineStr">
        <is>
          <t>聯邦</t>
        </is>
      </c>
      <c r="G734" s="152" t="inlineStr">
        <is>
          <t>07 聯邦</t>
        </is>
      </c>
      <c r="H734" s="153" t="n">
        <v>2824040</v>
      </c>
      <c r="I734" s="153" t="n">
        <v>1875259</v>
      </c>
      <c r="J734" s="153" t="n">
        <v>21318</v>
      </c>
      <c r="K734" s="153" t="n">
        <v>41026</v>
      </c>
      <c r="L734" s="153" t="n">
        <v>6807.963</v>
      </c>
      <c r="M734" s="11" t="n"/>
      <c r="N734" s="153" t="n">
        <v>14568.391</v>
      </c>
      <c r="O734" s="11" t="n"/>
      <c r="P734" s="11" t="n"/>
      <c r="Q734" s="12" t="n"/>
      <c r="R734" s="11" t="n"/>
      <c r="S734" s="11" t="n"/>
      <c r="T734" s="11" t="n"/>
      <c r="U734" s="11" t="n"/>
      <c r="V734" s="154" t="n"/>
      <c r="W734" s="11" t="n"/>
      <c r="X734" s="13" t="n"/>
      <c r="Y734" s="13" t="n"/>
      <c r="Z734" s="13" t="n"/>
      <c r="AA734" s="13" t="n"/>
      <c r="AB734" s="13" t="n"/>
      <c r="AC734" s="13" t="n"/>
      <c r="AD734" s="13" t="n"/>
      <c r="AE734" s="13" t="n"/>
      <c r="AF734" s="13" t="n"/>
      <c r="AG734" s="13" t="n"/>
      <c r="AH734" s="13" t="n"/>
      <c r="AI734" s="13" t="n"/>
    </row>
    <row r="735">
      <c r="A735" s="14" t="n">
        <v>202410</v>
      </c>
      <c r="B735" s="15">
        <f>LEFT(creditcard[[#This Row],[YYYYMM]],4)</f>
        <v/>
      </c>
      <c r="C735" s="15">
        <f>RIGHT(creditcard[[#This Row],[YYYYMM]],2)</f>
        <v/>
      </c>
      <c r="D735" s="15">
        <f>IF(RIGHT(creditcard[[#This Row],[YYYYMM]],2)="--","--","Q"&amp;ROUNDUP(VALUE(RIGHT(creditcard[[#This Row],[YYYYMM]],2))/3,0))</f>
        <v/>
      </c>
      <c r="E735" s="15" t="n">
        <v>8</v>
      </c>
      <c r="F735" s="155" t="inlineStr">
        <is>
          <t>永豐</t>
        </is>
      </c>
      <c r="G735" s="156" t="inlineStr">
        <is>
          <t>08 永豐</t>
        </is>
      </c>
      <c r="H735" s="157" t="n">
        <v>2164599</v>
      </c>
      <c r="I735" s="157" t="n">
        <v>1273605</v>
      </c>
      <c r="J735" s="157" t="n">
        <v>14766</v>
      </c>
      <c r="K735" s="157" t="n">
        <v>5277</v>
      </c>
      <c r="L735" s="157" t="n">
        <v>3761.743</v>
      </c>
      <c r="M735" s="16" t="n"/>
      <c r="N735" s="157" t="n">
        <v>13113.297</v>
      </c>
      <c r="O735" s="16" t="n"/>
      <c r="P735" s="16" t="n"/>
      <c r="Q735" s="17" t="n"/>
      <c r="R735" s="16" t="n"/>
      <c r="S735" s="16" t="n"/>
      <c r="T735" s="16" t="n"/>
      <c r="U735" s="16" t="n"/>
      <c r="V735" s="158" t="n"/>
      <c r="W735" s="16" t="n"/>
      <c r="X735" s="18" t="n"/>
      <c r="Y735" s="18" t="n"/>
      <c r="Z735" s="18" t="n"/>
      <c r="AA735" s="18" t="n"/>
      <c r="AB735" s="18" t="n"/>
      <c r="AC735" s="18" t="n"/>
      <c r="AD735" s="18" t="n"/>
      <c r="AE735" s="18" t="n"/>
      <c r="AF735" s="18" t="n"/>
      <c r="AG735" s="18" t="n"/>
      <c r="AH735" s="18" t="n"/>
      <c r="AI735" s="18" t="n"/>
    </row>
    <row r="736">
      <c r="A736" s="9" t="n">
        <v>202410</v>
      </c>
      <c r="B736" s="10">
        <f>LEFT(creditcard[[#This Row],[YYYYMM]],4)</f>
        <v/>
      </c>
      <c r="C736" s="10">
        <f>RIGHT(creditcard[[#This Row],[YYYYMM]],2)</f>
        <v/>
      </c>
      <c r="D736" s="10">
        <f>IF(RIGHT(creditcard[[#This Row],[YYYYMM]],2)="--","--","Q"&amp;ROUNDUP(VALUE(RIGHT(creditcard[[#This Row],[YYYYMM]],2))/3,0))</f>
        <v/>
      </c>
      <c r="E736" s="10" t="n">
        <v>9</v>
      </c>
      <c r="F736" s="151" t="inlineStr">
        <is>
          <t>第一</t>
        </is>
      </c>
      <c r="G736" s="152" t="inlineStr">
        <is>
          <t>09 第一</t>
        </is>
      </c>
      <c r="H736" s="153" t="n">
        <v>1531068</v>
      </c>
      <c r="I736" s="153" t="n">
        <v>948818</v>
      </c>
      <c r="J736" s="153" t="n">
        <v>10860</v>
      </c>
      <c r="K736" s="153" t="n">
        <v>13164</v>
      </c>
      <c r="L736" s="153" t="n">
        <v>1275.638</v>
      </c>
      <c r="M736" s="11" t="n"/>
      <c r="N736" s="153" t="n">
        <v>7056.964</v>
      </c>
      <c r="O736" s="11" t="n"/>
      <c r="P736" s="11" t="n"/>
      <c r="Q736" s="12" t="n"/>
      <c r="R736" s="11" t="n"/>
      <c r="S736" s="11" t="n"/>
      <c r="T736" s="11" t="n"/>
      <c r="U736" s="11" t="n"/>
      <c r="V736" s="154" t="n"/>
      <c r="W736" s="11" t="n"/>
      <c r="X736" s="13" t="n"/>
      <c r="Y736" s="13" t="n"/>
      <c r="Z736" s="13" t="n"/>
      <c r="AA736" s="13" t="n"/>
      <c r="AB736" s="13" t="n"/>
      <c r="AC736" s="13" t="n"/>
      <c r="AD736" s="13" t="n"/>
      <c r="AE736" s="13" t="n"/>
      <c r="AF736" s="13" t="n"/>
      <c r="AG736" s="13" t="n"/>
      <c r="AH736" s="13" t="n"/>
      <c r="AI736" s="13" t="n"/>
    </row>
    <row r="737">
      <c r="A737" s="14" t="n">
        <v>202410</v>
      </c>
      <c r="B737" s="15">
        <f>LEFT(creditcard[[#This Row],[YYYYMM]],4)</f>
        <v/>
      </c>
      <c r="C737" s="15">
        <f>RIGHT(creditcard[[#This Row],[YYYYMM]],2)</f>
        <v/>
      </c>
      <c r="D737" s="15">
        <f>IF(RIGHT(creditcard[[#This Row],[YYYYMM]],2)="--","--","Q"&amp;ROUNDUP(VALUE(RIGHT(creditcard[[#This Row],[YYYYMM]],2))/3,0))</f>
        <v/>
      </c>
      <c r="E737" s="15" t="n">
        <v>10</v>
      </c>
      <c r="F737" s="155" t="inlineStr">
        <is>
          <t>遠東</t>
        </is>
      </c>
      <c r="G737" s="156" t="inlineStr">
        <is>
          <t>10 遠東</t>
        </is>
      </c>
      <c r="H737" s="157" t="n">
        <v>1357124</v>
      </c>
      <c r="I737" s="157" t="n">
        <v>940380</v>
      </c>
      <c r="J737" s="157" t="n">
        <v>9736</v>
      </c>
      <c r="K737" s="157" t="n">
        <v>7502</v>
      </c>
      <c r="L737" s="157" t="n">
        <v>3302.147</v>
      </c>
      <c r="M737" s="16" t="n"/>
      <c r="N737" s="157" t="n">
        <v>4716.974</v>
      </c>
      <c r="O737" s="16" t="n"/>
      <c r="P737" s="16" t="n"/>
      <c r="Q737" s="17" t="n"/>
      <c r="R737" s="16" t="n"/>
      <c r="S737" s="16" t="n"/>
      <c r="T737" s="16" t="n"/>
      <c r="U737" s="16" t="n"/>
      <c r="V737" s="158" t="n"/>
      <c r="W737" s="16" t="n"/>
      <c r="X737" s="18" t="n"/>
      <c r="Y737" s="18" t="n"/>
      <c r="Z737" s="18" t="n"/>
      <c r="AA737" s="18" t="n"/>
      <c r="AB737" s="18" t="n"/>
      <c r="AC737" s="18" t="n"/>
      <c r="AD737" s="18" t="n"/>
      <c r="AE737" s="18" t="n"/>
      <c r="AF737" s="18" t="n"/>
      <c r="AG737" s="18" t="n"/>
      <c r="AH737" s="18" t="n"/>
      <c r="AI737" s="18" t="n"/>
    </row>
    <row r="738">
      <c r="A738" s="9" t="n">
        <v>202410</v>
      </c>
      <c r="B738" s="10">
        <f>LEFT(creditcard[[#This Row],[YYYYMM]],4)</f>
        <v/>
      </c>
      <c r="C738" s="10">
        <f>RIGHT(creditcard[[#This Row],[YYYYMM]],2)</f>
        <v/>
      </c>
      <c r="D738" s="10">
        <f>IF(RIGHT(creditcard[[#This Row],[YYYYMM]],2)="--","--","Q"&amp;ROUNDUP(VALUE(RIGHT(creditcard[[#This Row],[YYYYMM]],2))/3,0))</f>
        <v/>
      </c>
      <c r="E738" s="10" t="n">
        <v>11</v>
      </c>
      <c r="F738" s="151" t="inlineStr">
        <is>
          <t>市場總計</t>
        </is>
      </c>
      <c r="G738" s="152" t="inlineStr">
        <is>
          <t>11 市場總計</t>
        </is>
      </c>
      <c r="H738" s="153" t="n">
        <v>58655885</v>
      </c>
      <c r="I738" s="153" t="n">
        <v>38717536</v>
      </c>
      <c r="J738" s="153" t="n">
        <v>518016</v>
      </c>
      <c r="K738" s="153" t="n">
        <v>481871</v>
      </c>
      <c r="L738" s="153" t="n">
        <v>113320.306</v>
      </c>
      <c r="M738" s="161" t="n">
        <v>202394.924</v>
      </c>
      <c r="N738" s="153" t="n">
        <v>404842.142</v>
      </c>
      <c r="O738" s="161" t="n">
        <v>1747.06</v>
      </c>
      <c r="P738" s="12" t="n">
        <v>0.002941950713188536</v>
      </c>
      <c r="Q738" s="12" t="n">
        <v>0.0002637352758495443</v>
      </c>
      <c r="R738" s="20" t="n">
        <v>4.516955849703248</v>
      </c>
      <c r="S738" s="161" t="n">
        <v>666.825</v>
      </c>
      <c r="T738" s="161" t="n">
        <v>6031.684</v>
      </c>
      <c r="U738" s="11" t="n"/>
      <c r="V738" s="154" t="n">
        <v>4.59</v>
      </c>
      <c r="W738" s="11">
        <f>SUMIFS(H:H,A:A,creditcard[[#This Row],[YYYYMM]],G:G,creditcard[[#This Row],[Item]])</f>
        <v/>
      </c>
      <c r="X738" s="4">
        <f>IFERROR(SUMIFS(H:H,A:A,creditcard[[#This Row],[YYYYMM]],E:E,"&lt;=5")/creditcard[[#This Row],[市場總計]],"")</f>
        <v/>
      </c>
      <c r="Y738" s="4">
        <f>IFERROR(SUMIFS(H:H,A:A,creditcard[[#This Row],[YYYYMM]],E:E,"&lt;=10")/creditcard[[#This Row],[市場總計]],"")</f>
        <v/>
      </c>
      <c r="Z738" s="4">
        <f>IFERROR(SUMIFS(I:I,A:A,creditcard[[#This Row],[YYYYMM]],E:E,"&lt;=5")/creditcard[[#This Row],[有效卡數]],"")</f>
        <v/>
      </c>
      <c r="AA738" s="4">
        <f>IFERROR(SUMIFS(I:I,A:A,creditcard[[#This Row],[YYYYMM]],E:E,"&lt;=10")/creditcard[[#This Row],[有效卡數]],"")</f>
        <v/>
      </c>
      <c r="AB738" s="4">
        <f>IFERROR(SUMIFS(J:J,A:A,creditcard[[#This Row],[YYYYMM]],E:E,"&lt;=5")/creditcard[[#This Row],[當月發卡數]],"")</f>
        <v/>
      </c>
      <c r="AC738" s="4">
        <f>IFERROR(SUMIFS(J:J,A:A,creditcard[[#This Row],[YYYYMM]],E:E,"&lt;=10")/creditcard[[#This Row],[當月發卡數]],"")</f>
        <v/>
      </c>
      <c r="AD738" s="4">
        <f>IFERROR(SUMIFS(K:K,A:A,creditcard[[#This Row],[YYYYMM]],E:E,"&lt;=5")/creditcard[[#This Row],[當月停卡數]],"")</f>
        <v/>
      </c>
      <c r="AE738" s="4">
        <f>IFERROR(SUMIFS(K:K,A:A,creditcard[[#This Row],[YYYYMM]],E:E,"&lt;=10")/creditcard[[#This Row],[當月停卡數]],"")</f>
        <v/>
      </c>
      <c r="AF738" s="4">
        <f>IFERROR(SUMIFS(L:L,A:A,creditcard[[#This Row],[YYYYMM]],E:E,"&lt;=5")/creditcard[[#This Row],[循環信用餘額]],"")</f>
        <v/>
      </c>
      <c r="AG738" s="4">
        <f>IFERROR(SUMIFS(L:L,A:A,creditcard[[#This Row],[YYYYMM]],E:E,"&lt;=10")/creditcard[[#This Row],[循環信用餘額]],"")</f>
        <v/>
      </c>
      <c r="AH738" s="4">
        <f>IFERROR(SUMIFS(N:N,A:A,creditcard[[#This Row],[YYYYMM]],E:E,"&lt;=5")/creditcard[[#This Row],[當月簽帳金額]],"")</f>
        <v/>
      </c>
      <c r="AI738" s="4">
        <f>IFERROR(SUMIFS(N:N,A:A,creditcard[[#This Row],[YYYYMM]],E:E,"&lt;=10")/creditcard[[#This Row],[當月簽帳金額]],"")</f>
        <v/>
      </c>
    </row>
    <row r="739">
      <c r="A739" s="14" t="n">
        <v>202411</v>
      </c>
      <c r="B739" s="15">
        <f>LEFT(creditcard[[#This Row],[YYYYMM]],4)</f>
        <v/>
      </c>
      <c r="C739" s="15">
        <f>RIGHT(creditcard[[#This Row],[YYYYMM]],2)</f>
        <v/>
      </c>
      <c r="D739" s="15">
        <f>IF(RIGHT(creditcard[[#This Row],[YYYYMM]],2)="--","--","Q"&amp;ROUNDUP(VALUE(RIGHT(creditcard[[#This Row],[YYYYMM]],2))/3,0))</f>
        <v/>
      </c>
      <c r="E739" s="15" t="n">
        <v>1</v>
      </c>
      <c r="F739" s="155" t="inlineStr">
        <is>
          <t>中信</t>
        </is>
      </c>
      <c r="G739" s="156" t="inlineStr">
        <is>
          <t>01 中信</t>
        </is>
      </c>
      <c r="H739" s="157" t="n">
        <v>9222934</v>
      </c>
      <c r="I739" s="157" t="n">
        <v>5996912</v>
      </c>
      <c r="J739" s="157" t="n">
        <v>74459</v>
      </c>
      <c r="K739" s="157" t="n">
        <v>103664</v>
      </c>
      <c r="L739" s="157" t="n">
        <v>17007.853</v>
      </c>
      <c r="M739" s="16" t="n"/>
      <c r="N739" s="157" t="n">
        <v>67632.399</v>
      </c>
      <c r="O739" s="16" t="n"/>
      <c r="P739" s="16" t="n"/>
      <c r="Q739" s="17" t="n"/>
      <c r="R739" s="16" t="n"/>
      <c r="S739" s="16" t="n"/>
      <c r="T739" s="16" t="n"/>
      <c r="U739" s="16" t="n"/>
      <c r="V739" s="158" t="n"/>
      <c r="W739" s="16" t="n"/>
      <c r="X739" s="18" t="n"/>
      <c r="Y739" s="18" t="n"/>
      <c r="Z739" s="18" t="n"/>
      <c r="AA739" s="18" t="n"/>
      <c r="AB739" s="18" t="n"/>
      <c r="AC739" s="18" t="n"/>
      <c r="AD739" s="18" t="n"/>
      <c r="AE739" s="18" t="n"/>
      <c r="AF739" s="18" t="n"/>
      <c r="AG739" s="18" t="n"/>
      <c r="AH739" s="18" t="n"/>
      <c r="AI739" s="18" t="n"/>
    </row>
    <row r="740">
      <c r="A740" s="9" t="n">
        <v>202411</v>
      </c>
      <c r="B740" s="10">
        <f>LEFT(creditcard[[#This Row],[YYYYMM]],4)</f>
        <v/>
      </c>
      <c r="C740" s="10">
        <f>RIGHT(creditcard[[#This Row],[YYYYMM]],2)</f>
        <v/>
      </c>
      <c r="D740" s="10">
        <f>IF(RIGHT(creditcard[[#This Row],[YYYYMM]],2)="--","--","Q"&amp;ROUNDUP(VALUE(RIGHT(creditcard[[#This Row],[YYYYMM]],2))/3,0))</f>
        <v/>
      </c>
      <c r="E740" s="10" t="n">
        <v>2</v>
      </c>
      <c r="F740" s="151" t="inlineStr">
        <is>
          <t>富邦</t>
        </is>
      </c>
      <c r="G740" s="152" t="inlineStr">
        <is>
          <t>02 富邦</t>
        </is>
      </c>
      <c r="H740" s="153" t="n">
        <v>7295643</v>
      </c>
      <c r="I740" s="153" t="n">
        <v>5737700</v>
      </c>
      <c r="J740" s="153" t="n">
        <v>46825</v>
      </c>
      <c r="K740" s="153" t="n">
        <v>32861</v>
      </c>
      <c r="L740" s="153" t="n">
        <v>10601.756</v>
      </c>
      <c r="M740" s="11" t="n"/>
      <c r="N740" s="153" t="n">
        <v>53061.111</v>
      </c>
      <c r="O740" s="11" t="n"/>
      <c r="P740" s="11" t="n"/>
      <c r="Q740" s="12" t="n"/>
      <c r="R740" s="11" t="n"/>
      <c r="S740" s="11" t="n"/>
      <c r="T740" s="11" t="n"/>
      <c r="U740" s="11" t="n"/>
      <c r="V740" s="154" t="n"/>
      <c r="W740" s="11" t="n"/>
      <c r="X740" s="13" t="n"/>
      <c r="Y740" s="13" t="n"/>
      <c r="Z740" s="13" t="n"/>
      <c r="AA740" s="13" t="n"/>
      <c r="AB740" s="13" t="n"/>
      <c r="AC740" s="13" t="n"/>
      <c r="AD740" s="13" t="n"/>
      <c r="AE740" s="13" t="n"/>
      <c r="AF740" s="13" t="n"/>
      <c r="AG740" s="13" t="n"/>
      <c r="AH740" s="13" t="n"/>
      <c r="AI740" s="13" t="n"/>
    </row>
    <row r="741">
      <c r="A741" s="14" t="n">
        <v>202411</v>
      </c>
      <c r="B741" s="15">
        <f>LEFT(creditcard[[#This Row],[YYYYMM]],4)</f>
        <v/>
      </c>
      <c r="C741" s="15">
        <f>RIGHT(creditcard[[#This Row],[YYYYMM]],2)</f>
        <v/>
      </c>
      <c r="D741" s="15">
        <f>IF(RIGHT(creditcard[[#This Row],[YYYYMM]],2)="--","--","Q"&amp;ROUNDUP(VALUE(RIGHT(creditcard[[#This Row],[YYYYMM]],2))/3,0))</f>
        <v/>
      </c>
      <c r="E741" s="15" t="n">
        <v>3</v>
      </c>
      <c r="F741" s="155" t="inlineStr">
        <is>
          <t>國泰</t>
        </is>
      </c>
      <c r="G741" s="156" t="inlineStr">
        <is>
          <t>03 國泰</t>
        </is>
      </c>
      <c r="H741" s="157" t="n">
        <v>7457454</v>
      </c>
      <c r="I741" s="157" t="n">
        <v>4928376</v>
      </c>
      <c r="J741" s="157" t="n">
        <v>50994</v>
      </c>
      <c r="K741" s="157" t="n">
        <v>26195</v>
      </c>
      <c r="L741" s="157" t="n">
        <v>20669.232</v>
      </c>
      <c r="M741" s="16" t="n"/>
      <c r="N741" s="157" t="n">
        <v>64165.939</v>
      </c>
      <c r="O741" s="16" t="n"/>
      <c r="P741" s="16" t="n"/>
      <c r="Q741" s="17" t="n"/>
      <c r="R741" s="16" t="n"/>
      <c r="S741" s="16" t="n"/>
      <c r="T741" s="16" t="n"/>
      <c r="U741" s="16" t="n"/>
      <c r="V741" s="158" t="n"/>
      <c r="W741" s="16" t="n"/>
      <c r="X741" s="18" t="n"/>
      <c r="Y741" s="18" t="n"/>
      <c r="Z741" s="18" t="n"/>
      <c r="AA741" s="18" t="n"/>
      <c r="AB741" s="18" t="n"/>
      <c r="AC741" s="18" t="n"/>
      <c r="AD741" s="18" t="n"/>
      <c r="AE741" s="18" t="n"/>
      <c r="AF741" s="18" t="n"/>
      <c r="AG741" s="18" t="n"/>
      <c r="AH741" s="18" t="n"/>
      <c r="AI741" s="18" t="n"/>
    </row>
    <row r="742">
      <c r="A742" s="9" t="n">
        <v>202411</v>
      </c>
      <c r="B742" s="10">
        <f>LEFT(creditcard[[#This Row],[YYYYMM]],4)</f>
        <v/>
      </c>
      <c r="C742" s="10">
        <f>RIGHT(creditcard[[#This Row],[YYYYMM]],2)</f>
        <v/>
      </c>
      <c r="D742" s="10">
        <f>IF(RIGHT(creditcard[[#This Row],[YYYYMM]],2)="--","--","Q"&amp;ROUNDUP(VALUE(RIGHT(creditcard[[#This Row],[YYYYMM]],2))/3,0))</f>
        <v/>
      </c>
      <c r="E742" s="10" t="n">
        <v>4</v>
      </c>
      <c r="F742" s="151" t="inlineStr">
        <is>
          <t>玉山</t>
        </is>
      </c>
      <c r="G742" s="152" t="inlineStr">
        <is>
          <t>04 玉山</t>
        </is>
      </c>
      <c r="H742" s="153" t="n">
        <v>7485063</v>
      </c>
      <c r="I742" s="153" t="n">
        <v>4953725</v>
      </c>
      <c r="J742" s="153" t="n">
        <v>101734</v>
      </c>
      <c r="K742" s="153" t="n">
        <v>78586</v>
      </c>
      <c r="L742" s="153" t="n">
        <v>17157.481</v>
      </c>
      <c r="M742" s="11" t="n"/>
      <c r="N742" s="153" t="n">
        <v>46418.11</v>
      </c>
      <c r="O742" s="11" t="n"/>
      <c r="P742" s="11" t="n"/>
      <c r="Q742" s="12" t="n"/>
      <c r="R742" s="11" t="n"/>
      <c r="S742" s="11" t="n"/>
      <c r="T742" s="11" t="n"/>
      <c r="U742" s="11" t="n"/>
      <c r="V742" s="154" t="n"/>
      <c r="W742" s="11" t="n"/>
      <c r="X742" s="13" t="n"/>
      <c r="Y742" s="13" t="n"/>
      <c r="Z742" s="13" t="n"/>
      <c r="AA742" s="13" t="n"/>
      <c r="AB742" s="13" t="n"/>
      <c r="AC742" s="13" t="n"/>
      <c r="AD742" s="13" t="n"/>
      <c r="AE742" s="13" t="n"/>
      <c r="AF742" s="13" t="n"/>
      <c r="AG742" s="13" t="n"/>
      <c r="AH742" s="13" t="n"/>
      <c r="AI742" s="13" t="n"/>
    </row>
    <row r="743">
      <c r="A743" s="14" t="n">
        <v>202411</v>
      </c>
      <c r="B743" s="15">
        <f>LEFT(creditcard[[#This Row],[YYYYMM]],4)</f>
        <v/>
      </c>
      <c r="C743" s="15">
        <f>RIGHT(creditcard[[#This Row],[YYYYMM]],2)</f>
        <v/>
      </c>
      <c r="D743" s="15">
        <f>IF(RIGHT(creditcard[[#This Row],[YYYYMM]],2)="--","--","Q"&amp;ROUNDUP(VALUE(RIGHT(creditcard[[#This Row],[YYYYMM]],2))/3,0))</f>
        <v/>
      </c>
      <c r="E743" s="15" t="n">
        <v>5</v>
      </c>
      <c r="F743" s="155" t="inlineStr">
        <is>
          <t>台新</t>
        </is>
      </c>
      <c r="G743" s="156" t="inlineStr">
        <is>
          <t>05 台新</t>
        </is>
      </c>
      <c r="H743" s="157" t="n">
        <v>6589465</v>
      </c>
      <c r="I743" s="157" t="n">
        <v>4844613</v>
      </c>
      <c r="J743" s="157" t="n">
        <v>56274</v>
      </c>
      <c r="K743" s="157" t="n">
        <v>54733</v>
      </c>
      <c r="L743" s="157" t="n">
        <v>10750.031</v>
      </c>
      <c r="M743" s="16" t="n"/>
      <c r="N743" s="157" t="n">
        <v>42809.078</v>
      </c>
      <c r="O743" s="16" t="n"/>
      <c r="P743" s="16" t="n"/>
      <c r="Q743" s="17" t="n"/>
      <c r="R743" s="16" t="n"/>
      <c r="S743" s="16" t="n"/>
      <c r="T743" s="16" t="n"/>
      <c r="U743" s="16" t="n"/>
      <c r="V743" s="158" t="n"/>
      <c r="W743" s="16" t="n"/>
      <c r="X743" s="18" t="n"/>
      <c r="Y743" s="18" t="n"/>
      <c r="Z743" s="18" t="n"/>
      <c r="AA743" s="18" t="n"/>
      <c r="AB743" s="18" t="n"/>
      <c r="AC743" s="18" t="n"/>
      <c r="AD743" s="18" t="n"/>
      <c r="AE743" s="18" t="n"/>
      <c r="AF743" s="18" t="n"/>
      <c r="AG743" s="18" t="n"/>
      <c r="AH743" s="18" t="n"/>
      <c r="AI743" s="18" t="n"/>
    </row>
    <row r="744">
      <c r="A744" s="9" t="n">
        <v>202411</v>
      </c>
      <c r="B744" s="10">
        <f>LEFT(creditcard[[#This Row],[YYYYMM]],4)</f>
        <v/>
      </c>
      <c r="C744" s="10">
        <f>RIGHT(creditcard[[#This Row],[YYYYMM]],2)</f>
        <v/>
      </c>
      <c r="D744" s="10">
        <f>IF(RIGHT(creditcard[[#This Row],[YYYYMM]],2)="--","--","Q"&amp;ROUNDUP(VALUE(RIGHT(creditcard[[#This Row],[YYYYMM]],2))/3,0))</f>
        <v/>
      </c>
      <c r="E744" s="10" t="n">
        <v>6</v>
      </c>
      <c r="F744" s="151" t="inlineStr">
        <is>
          <t>星展</t>
        </is>
      </c>
      <c r="G744" s="152" t="inlineStr">
        <is>
          <t>06 星展</t>
        </is>
      </c>
      <c r="H744" s="153" t="n">
        <v>3279595</v>
      </c>
      <c r="I744" s="153" t="n">
        <v>2084422</v>
      </c>
      <c r="J744" s="153" t="n">
        <v>13175</v>
      </c>
      <c r="K744" s="153" t="n">
        <v>22659</v>
      </c>
      <c r="L744" s="153" t="n">
        <v>8513.352999999999</v>
      </c>
      <c r="M744" s="11" t="n"/>
      <c r="N744" s="153" t="n">
        <v>22852.873</v>
      </c>
      <c r="O744" s="11" t="n"/>
      <c r="P744" s="11" t="n"/>
      <c r="Q744" s="12" t="n"/>
      <c r="R744" s="11" t="n"/>
      <c r="S744" s="11" t="n"/>
      <c r="T744" s="11" t="n"/>
      <c r="U744" s="11" t="n"/>
      <c r="V744" s="154" t="n"/>
      <c r="W744" s="11" t="n"/>
      <c r="X744" s="13" t="n"/>
      <c r="Y744" s="13" t="n"/>
      <c r="Z744" s="13" t="n"/>
      <c r="AA744" s="13" t="n"/>
      <c r="AB744" s="13" t="n"/>
      <c r="AC744" s="13" t="n"/>
      <c r="AD744" s="13" t="n"/>
      <c r="AE744" s="13" t="n"/>
      <c r="AF744" s="13" t="n"/>
      <c r="AG744" s="13" t="n"/>
      <c r="AH744" s="13" t="n"/>
      <c r="AI744" s="13" t="n"/>
    </row>
    <row r="745">
      <c r="A745" s="14" t="n">
        <v>202411</v>
      </c>
      <c r="B745" s="15">
        <f>LEFT(creditcard[[#This Row],[YYYYMM]],4)</f>
        <v/>
      </c>
      <c r="C745" s="15">
        <f>RIGHT(creditcard[[#This Row],[YYYYMM]],2)</f>
        <v/>
      </c>
      <c r="D745" s="15">
        <f>IF(RIGHT(creditcard[[#This Row],[YYYYMM]],2)="--","--","Q"&amp;ROUNDUP(VALUE(RIGHT(creditcard[[#This Row],[YYYYMM]],2))/3,0))</f>
        <v/>
      </c>
      <c r="E745" s="15" t="n">
        <v>7</v>
      </c>
      <c r="F745" s="155" t="inlineStr">
        <is>
          <t>聯邦</t>
        </is>
      </c>
      <c r="G745" s="156" t="inlineStr">
        <is>
          <t>07 聯邦</t>
        </is>
      </c>
      <c r="H745" s="157" t="n">
        <v>2804559</v>
      </c>
      <c r="I745" s="157" t="n">
        <v>1873468</v>
      </c>
      <c r="J745" s="157" t="n">
        <v>21191</v>
      </c>
      <c r="K745" s="157" t="n">
        <v>40672</v>
      </c>
      <c r="L745" s="157" t="n">
        <v>6744.711</v>
      </c>
      <c r="M745" s="16" t="n"/>
      <c r="N745" s="157" t="n">
        <v>14565.652</v>
      </c>
      <c r="O745" s="16" t="n"/>
      <c r="P745" s="16" t="n"/>
      <c r="Q745" s="17" t="n"/>
      <c r="R745" s="16" t="n"/>
      <c r="S745" s="16" t="n"/>
      <c r="T745" s="16" t="n"/>
      <c r="U745" s="16" t="n"/>
      <c r="V745" s="158" t="n"/>
      <c r="W745" s="16" t="n"/>
      <c r="X745" s="18" t="n"/>
      <c r="Y745" s="18" t="n"/>
      <c r="Z745" s="18" t="n"/>
      <c r="AA745" s="18" t="n"/>
      <c r="AB745" s="18" t="n"/>
      <c r="AC745" s="18" t="n"/>
      <c r="AD745" s="18" t="n"/>
      <c r="AE745" s="18" t="n"/>
      <c r="AF745" s="18" t="n"/>
      <c r="AG745" s="18" t="n"/>
      <c r="AH745" s="18" t="n"/>
      <c r="AI745" s="18" t="n"/>
    </row>
    <row r="746">
      <c r="A746" s="9" t="n">
        <v>202411</v>
      </c>
      <c r="B746" s="10">
        <f>LEFT(creditcard[[#This Row],[YYYYMM]],4)</f>
        <v/>
      </c>
      <c r="C746" s="10">
        <f>RIGHT(creditcard[[#This Row],[YYYYMM]],2)</f>
        <v/>
      </c>
      <c r="D746" s="10">
        <f>IF(RIGHT(creditcard[[#This Row],[YYYYMM]],2)="--","--","Q"&amp;ROUNDUP(VALUE(RIGHT(creditcard[[#This Row],[YYYYMM]],2))/3,0))</f>
        <v/>
      </c>
      <c r="E746" s="10" t="n">
        <v>8</v>
      </c>
      <c r="F746" s="151" t="inlineStr">
        <is>
          <t>永豐</t>
        </is>
      </c>
      <c r="G746" s="152" t="inlineStr">
        <is>
          <t>08 永豐</t>
        </is>
      </c>
      <c r="H746" s="153" t="n">
        <v>2165796</v>
      </c>
      <c r="I746" s="153" t="n">
        <v>1296046</v>
      </c>
      <c r="J746" s="153" t="n">
        <v>67262</v>
      </c>
      <c r="K746" s="153" t="n">
        <v>63567</v>
      </c>
      <c r="L746" s="153" t="n">
        <v>3900.165</v>
      </c>
      <c r="M746" s="11" t="n"/>
      <c r="N746" s="153" t="n">
        <v>12168.843</v>
      </c>
      <c r="O746" s="11" t="n"/>
      <c r="P746" s="11" t="n"/>
      <c r="Q746" s="12" t="n"/>
      <c r="R746" s="11" t="n"/>
      <c r="S746" s="11" t="n"/>
      <c r="T746" s="11" t="n"/>
      <c r="U746" s="11" t="n"/>
      <c r="V746" s="154" t="n"/>
      <c r="W746" s="11" t="n"/>
      <c r="X746" s="13" t="n"/>
      <c r="Y746" s="13" t="n"/>
      <c r="Z746" s="13" t="n"/>
      <c r="AA746" s="13" t="n"/>
      <c r="AB746" s="13" t="n"/>
      <c r="AC746" s="13" t="n"/>
      <c r="AD746" s="13" t="n"/>
      <c r="AE746" s="13" t="n"/>
      <c r="AF746" s="13" t="n"/>
      <c r="AG746" s="13" t="n"/>
      <c r="AH746" s="13" t="n"/>
      <c r="AI746" s="13" t="n"/>
    </row>
    <row r="747">
      <c r="A747" s="14" t="n">
        <v>202411</v>
      </c>
      <c r="B747" s="15">
        <f>LEFT(creditcard[[#This Row],[YYYYMM]],4)</f>
        <v/>
      </c>
      <c r="C747" s="15">
        <f>RIGHT(creditcard[[#This Row],[YYYYMM]],2)</f>
        <v/>
      </c>
      <c r="D747" s="15">
        <f>IF(RIGHT(creditcard[[#This Row],[YYYYMM]],2)="--","--","Q"&amp;ROUNDUP(VALUE(RIGHT(creditcard[[#This Row],[YYYYMM]],2))/3,0))</f>
        <v/>
      </c>
      <c r="E747" s="15" t="n">
        <v>9</v>
      </c>
      <c r="F747" s="155" t="inlineStr">
        <is>
          <t>第一</t>
        </is>
      </c>
      <c r="G747" s="156" t="inlineStr">
        <is>
          <t>09 第一</t>
        </is>
      </c>
      <c r="H747" s="157" t="n">
        <v>1478103</v>
      </c>
      <c r="I747" s="157" t="n">
        <v>944936</v>
      </c>
      <c r="J747" s="157" t="n">
        <v>10265</v>
      </c>
      <c r="K747" s="157" t="n">
        <v>63749</v>
      </c>
      <c r="L747" s="157" t="n">
        <v>1279.767</v>
      </c>
      <c r="M747" s="16" t="n"/>
      <c r="N747" s="157" t="n">
        <v>6463.55</v>
      </c>
      <c r="O747" s="16" t="n"/>
      <c r="P747" s="16" t="n"/>
      <c r="Q747" s="17" t="n"/>
      <c r="R747" s="16" t="n"/>
      <c r="S747" s="16" t="n"/>
      <c r="T747" s="16" t="n"/>
      <c r="U747" s="16" t="n"/>
      <c r="V747" s="158" t="n"/>
      <c r="W747" s="16" t="n"/>
      <c r="X747" s="18" t="n"/>
      <c r="Y747" s="18" t="n"/>
      <c r="Z747" s="18" t="n"/>
      <c r="AA747" s="18" t="n"/>
      <c r="AB747" s="18" t="n"/>
      <c r="AC747" s="18" t="n"/>
      <c r="AD747" s="18" t="n"/>
      <c r="AE747" s="18" t="n"/>
      <c r="AF747" s="18" t="n"/>
      <c r="AG747" s="18" t="n"/>
      <c r="AH747" s="18" t="n"/>
      <c r="AI747" s="18" t="n"/>
    </row>
    <row r="748">
      <c r="A748" s="9" t="n">
        <v>202411</v>
      </c>
      <c r="B748" s="10">
        <f>LEFT(creditcard[[#This Row],[YYYYMM]],4)</f>
        <v/>
      </c>
      <c r="C748" s="10">
        <f>RIGHT(creditcard[[#This Row],[YYYYMM]],2)</f>
        <v/>
      </c>
      <c r="D748" s="10">
        <f>IF(RIGHT(creditcard[[#This Row],[YYYYMM]],2)="--","--","Q"&amp;ROUNDUP(VALUE(RIGHT(creditcard[[#This Row],[YYYYMM]],2))/3,0))</f>
        <v/>
      </c>
      <c r="E748" s="10" t="n">
        <v>10</v>
      </c>
      <c r="F748" s="151" t="inlineStr">
        <is>
          <t>遠東</t>
        </is>
      </c>
      <c r="G748" s="152" t="inlineStr">
        <is>
          <t>10 遠東</t>
        </is>
      </c>
      <c r="H748" s="153" t="n">
        <v>1358281</v>
      </c>
      <c r="I748" s="153" t="n">
        <v>943013</v>
      </c>
      <c r="J748" s="153" t="n">
        <v>9663</v>
      </c>
      <c r="K748" s="153" t="n">
        <v>8548</v>
      </c>
      <c r="L748" s="153" t="n">
        <v>3364.259</v>
      </c>
      <c r="M748" s="11" t="n"/>
      <c r="N748" s="153" t="n">
        <v>4572.217</v>
      </c>
      <c r="O748" s="11" t="n"/>
      <c r="P748" s="11" t="n"/>
      <c r="Q748" s="12" t="n"/>
      <c r="R748" s="11" t="n"/>
      <c r="S748" s="11" t="n"/>
      <c r="T748" s="11" t="n"/>
      <c r="U748" s="11" t="n"/>
      <c r="V748" s="154" t="n"/>
      <c r="W748" s="11" t="n"/>
      <c r="X748" s="13" t="n"/>
      <c r="Y748" s="13" t="n"/>
      <c r="Z748" s="13" t="n"/>
      <c r="AA748" s="13" t="n"/>
      <c r="AB748" s="13" t="n"/>
      <c r="AC748" s="13" t="n"/>
      <c r="AD748" s="13" t="n"/>
      <c r="AE748" s="13" t="n"/>
      <c r="AF748" s="13" t="n"/>
      <c r="AG748" s="13" t="n"/>
      <c r="AH748" s="13" t="n"/>
      <c r="AI748" s="13" t="n"/>
    </row>
    <row r="749">
      <c r="A749" s="14" t="n">
        <v>202411</v>
      </c>
      <c r="B749" s="15">
        <f>LEFT(creditcard[[#This Row],[YYYYMM]],4)</f>
        <v/>
      </c>
      <c r="C749" s="15">
        <f>RIGHT(creditcard[[#This Row],[YYYYMM]],2)</f>
        <v/>
      </c>
      <c r="D749" s="15">
        <f>IF(RIGHT(creditcard[[#This Row],[YYYYMM]],2)="--","--","Q"&amp;ROUNDUP(VALUE(RIGHT(creditcard[[#This Row],[YYYYMM]],2))/3,0))</f>
        <v/>
      </c>
      <c r="E749" s="15" t="n">
        <v>11</v>
      </c>
      <c r="F749" s="155" t="inlineStr">
        <is>
          <t>市場總計</t>
        </is>
      </c>
      <c r="G749" s="156" t="inlineStr">
        <is>
          <t>11 市場總計</t>
        </is>
      </c>
      <c r="H749" s="157" t="n">
        <v>58617119</v>
      </c>
      <c r="I749" s="157" t="n">
        <v>38905399</v>
      </c>
      <c r="J749" s="157" t="n">
        <v>521974</v>
      </c>
      <c r="K749" s="157" t="n">
        <v>575526</v>
      </c>
      <c r="L749" s="157" t="n">
        <v>114289.411</v>
      </c>
      <c r="M749" s="160" t="n">
        <v>195430.513</v>
      </c>
      <c r="N749" s="157" t="n">
        <v>385476.992</v>
      </c>
      <c r="O749" s="160" t="n">
        <v>1707.521</v>
      </c>
      <c r="P749" s="17" t="n">
        <v>0.002931547182425939</v>
      </c>
      <c r="Q749" s="17" t="n">
        <v>0.0002630462035272834</v>
      </c>
      <c r="R749" s="19" t="n">
        <v>4.564431311408446</v>
      </c>
      <c r="S749" s="160" t="n">
        <v>679.3200000000001</v>
      </c>
      <c r="T749" s="160" t="n">
        <v>6711.004</v>
      </c>
      <c r="U749" s="16" t="n"/>
      <c r="V749" s="158" t="n">
        <v>4.58</v>
      </c>
      <c r="W749" s="16">
        <f>SUMIFS(H:H,A:A,creditcard[[#This Row],[YYYYMM]],G:G,creditcard[[#This Row],[Item]])</f>
        <v/>
      </c>
      <c r="X749" s="4">
        <f>IFERROR(SUMIFS(H:H,A:A,creditcard[[#This Row],[YYYYMM]],E:E,"&lt;=5")/creditcard[[#This Row],[市場總計]],"")</f>
        <v/>
      </c>
      <c r="Y749" s="4">
        <f>IFERROR(SUMIFS(H:H,A:A,creditcard[[#This Row],[YYYYMM]],E:E,"&lt;=10")/creditcard[[#This Row],[市場總計]],"")</f>
        <v/>
      </c>
      <c r="Z749" s="4">
        <f>IFERROR(SUMIFS(I:I,A:A,creditcard[[#This Row],[YYYYMM]],E:E,"&lt;=5")/creditcard[[#This Row],[有效卡數]],"")</f>
        <v/>
      </c>
      <c r="AA749" s="4">
        <f>IFERROR(SUMIFS(I:I,A:A,creditcard[[#This Row],[YYYYMM]],E:E,"&lt;=10")/creditcard[[#This Row],[有效卡數]],"")</f>
        <v/>
      </c>
      <c r="AB749" s="4">
        <f>IFERROR(SUMIFS(J:J,A:A,creditcard[[#This Row],[YYYYMM]],E:E,"&lt;=5")/creditcard[[#This Row],[當月發卡數]],"")</f>
        <v/>
      </c>
      <c r="AC749" s="4">
        <f>IFERROR(SUMIFS(J:J,A:A,creditcard[[#This Row],[YYYYMM]],E:E,"&lt;=10")/creditcard[[#This Row],[當月發卡數]],"")</f>
        <v/>
      </c>
      <c r="AD749" s="4">
        <f>IFERROR(SUMIFS(K:K,A:A,creditcard[[#This Row],[YYYYMM]],E:E,"&lt;=5")/creditcard[[#This Row],[當月停卡數]],"")</f>
        <v/>
      </c>
      <c r="AE749" s="4">
        <f>IFERROR(SUMIFS(K:K,A:A,creditcard[[#This Row],[YYYYMM]],E:E,"&lt;=10")/creditcard[[#This Row],[當月停卡數]],"")</f>
        <v/>
      </c>
      <c r="AF749" s="4">
        <f>IFERROR(SUMIFS(L:L,A:A,creditcard[[#This Row],[YYYYMM]],E:E,"&lt;=5")/creditcard[[#This Row],[循環信用餘額]],"")</f>
        <v/>
      </c>
      <c r="AG749" s="4">
        <f>IFERROR(SUMIFS(L:L,A:A,creditcard[[#This Row],[YYYYMM]],E:E,"&lt;=10")/creditcard[[#This Row],[循環信用餘額]],"")</f>
        <v/>
      </c>
      <c r="AH749" s="4">
        <f>IFERROR(SUMIFS(N:N,A:A,creditcard[[#This Row],[YYYYMM]],E:E,"&lt;=5")/creditcard[[#This Row],[當月簽帳金額]],"")</f>
        <v/>
      </c>
      <c r="AI749" s="4">
        <f>IFERROR(SUMIFS(N:N,A:A,creditcard[[#This Row],[YYYYMM]],E:E,"&lt;=10")/creditcard[[#This Row],[當月簽帳金額]],"")</f>
        <v/>
      </c>
    </row>
    <row r="750">
      <c r="A750" s="9" t="n">
        <v>202412</v>
      </c>
      <c r="B750" s="10">
        <f>LEFT(creditcard[[#This Row],[YYYYMM]],4)</f>
        <v/>
      </c>
      <c r="C750" s="10">
        <f>RIGHT(creditcard[[#This Row],[YYYYMM]],2)</f>
        <v/>
      </c>
      <c r="D750" s="10">
        <f>IF(RIGHT(creditcard[[#This Row],[YYYYMM]],2)="--","--","Q"&amp;ROUNDUP(VALUE(RIGHT(creditcard[[#This Row],[YYYYMM]],2))/3,0))</f>
        <v/>
      </c>
      <c r="E750" s="10" t="n">
        <v>1</v>
      </c>
      <c r="F750" s="151" t="inlineStr">
        <is>
          <t>中信</t>
        </is>
      </c>
      <c r="G750" s="152" t="inlineStr">
        <is>
          <t>01 中信</t>
        </is>
      </c>
      <c r="H750" s="153" t="n">
        <v>9179910</v>
      </c>
      <c r="I750" s="153" t="n">
        <v>6020685</v>
      </c>
      <c r="J750" s="153" t="n">
        <v>69206</v>
      </c>
      <c r="K750" s="153" t="n">
        <v>112230</v>
      </c>
      <c r="L750" s="153" t="n">
        <v>17409.48</v>
      </c>
      <c r="M750" s="11" t="n"/>
      <c r="N750" s="153" t="n">
        <v>72117.777</v>
      </c>
      <c r="O750" s="11" t="n"/>
      <c r="P750" s="11" t="n"/>
      <c r="Q750" s="12" t="n"/>
      <c r="R750" s="11" t="n"/>
      <c r="S750" s="11" t="n"/>
      <c r="T750" s="11" t="n"/>
      <c r="U750" s="11" t="n"/>
      <c r="V750" s="154" t="n"/>
      <c r="W750" s="11" t="n"/>
      <c r="X750" s="13" t="n"/>
      <c r="Y750" s="13" t="n"/>
      <c r="Z750" s="13" t="n"/>
      <c r="AA750" s="13" t="n"/>
      <c r="AB750" s="13" t="n"/>
      <c r="AC750" s="13" t="n"/>
      <c r="AD750" s="13" t="n"/>
      <c r="AE750" s="13" t="n"/>
      <c r="AF750" s="13" t="n"/>
      <c r="AG750" s="13" t="n"/>
      <c r="AH750" s="13" t="n"/>
      <c r="AI750" s="13" t="n"/>
    </row>
    <row r="751">
      <c r="A751" s="14" t="n">
        <v>202412</v>
      </c>
      <c r="B751" s="15">
        <f>LEFT(creditcard[[#This Row],[YYYYMM]],4)</f>
        <v/>
      </c>
      <c r="C751" s="15">
        <f>RIGHT(creditcard[[#This Row],[YYYYMM]],2)</f>
        <v/>
      </c>
      <c r="D751" s="15">
        <f>IF(RIGHT(creditcard[[#This Row],[YYYYMM]],2)="--","--","Q"&amp;ROUNDUP(VALUE(RIGHT(creditcard[[#This Row],[YYYYMM]],2))/3,0))</f>
        <v/>
      </c>
      <c r="E751" s="15" t="n">
        <v>2</v>
      </c>
      <c r="F751" s="155" t="inlineStr">
        <is>
          <t>富邦</t>
        </is>
      </c>
      <c r="G751" s="156" t="inlineStr">
        <is>
          <t>02 富邦</t>
        </is>
      </c>
      <c r="H751" s="157" t="n">
        <v>7286011</v>
      </c>
      <c r="I751" s="157" t="n">
        <v>5754738</v>
      </c>
      <c r="J751" s="157" t="n">
        <v>45668</v>
      </c>
      <c r="K751" s="157" t="n">
        <v>55300</v>
      </c>
      <c r="L751" s="157" t="n">
        <v>10804.962</v>
      </c>
      <c r="M751" s="16" t="n"/>
      <c r="N751" s="157" t="n">
        <v>57021.524</v>
      </c>
      <c r="O751" s="16" t="n"/>
      <c r="P751" s="16" t="n"/>
      <c r="Q751" s="17" t="n"/>
      <c r="R751" s="16" t="n"/>
      <c r="S751" s="16" t="n"/>
      <c r="T751" s="16" t="n"/>
      <c r="U751" s="16" t="n"/>
      <c r="V751" s="158" t="n"/>
      <c r="W751" s="16" t="n"/>
      <c r="X751" s="18" t="n"/>
      <c r="Y751" s="18" t="n"/>
      <c r="Z751" s="18" t="n"/>
      <c r="AA751" s="18" t="n"/>
      <c r="AB751" s="18" t="n"/>
      <c r="AC751" s="18" t="n"/>
      <c r="AD751" s="18" t="n"/>
      <c r="AE751" s="18" t="n"/>
      <c r="AF751" s="18" t="n"/>
      <c r="AG751" s="18" t="n"/>
      <c r="AH751" s="18" t="n"/>
      <c r="AI751" s="18" t="n"/>
    </row>
    <row r="752">
      <c r="A752" s="9" t="n">
        <v>202412</v>
      </c>
      <c r="B752" s="10">
        <f>LEFT(creditcard[[#This Row],[YYYYMM]],4)</f>
        <v/>
      </c>
      <c r="C752" s="10">
        <f>RIGHT(creditcard[[#This Row],[YYYYMM]],2)</f>
        <v/>
      </c>
      <c r="D752" s="10">
        <f>IF(RIGHT(creditcard[[#This Row],[YYYYMM]],2)="--","--","Q"&amp;ROUNDUP(VALUE(RIGHT(creditcard[[#This Row],[YYYYMM]],2))/3,0))</f>
        <v/>
      </c>
      <c r="E752" s="10" t="n">
        <v>3</v>
      </c>
      <c r="F752" s="151" t="inlineStr">
        <is>
          <t>國泰</t>
        </is>
      </c>
      <c r="G752" s="152" t="inlineStr">
        <is>
          <t>03 國泰</t>
        </is>
      </c>
      <c r="H752" s="153" t="n">
        <v>7487552</v>
      </c>
      <c r="I752" s="153" t="n">
        <v>4980797</v>
      </c>
      <c r="J752" s="153" t="n">
        <v>57807</v>
      </c>
      <c r="K752" s="153" t="n">
        <v>27709</v>
      </c>
      <c r="L752" s="153" t="n">
        <v>20736.892</v>
      </c>
      <c r="M752" s="11" t="n"/>
      <c r="N752" s="153" t="n">
        <v>72207.576</v>
      </c>
      <c r="O752" s="11" t="n"/>
      <c r="P752" s="11" t="n"/>
      <c r="Q752" s="12" t="n"/>
      <c r="R752" s="11" t="n"/>
      <c r="S752" s="11" t="n"/>
      <c r="T752" s="11" t="n"/>
      <c r="U752" s="11" t="n"/>
      <c r="V752" s="154" t="n"/>
      <c r="W752" s="11" t="n"/>
      <c r="X752" s="13" t="n"/>
      <c r="Y752" s="13" t="n"/>
      <c r="Z752" s="13" t="n"/>
      <c r="AA752" s="13" t="n"/>
      <c r="AB752" s="13" t="n"/>
      <c r="AC752" s="13" t="n"/>
      <c r="AD752" s="13" t="n"/>
      <c r="AE752" s="13" t="n"/>
      <c r="AF752" s="13" t="n"/>
      <c r="AG752" s="13" t="n"/>
      <c r="AH752" s="13" t="n"/>
      <c r="AI752" s="13" t="n"/>
    </row>
    <row r="753">
      <c r="A753" s="14" t="n">
        <v>202412</v>
      </c>
      <c r="B753" s="15">
        <f>LEFT(creditcard[[#This Row],[YYYYMM]],4)</f>
        <v/>
      </c>
      <c r="C753" s="15">
        <f>RIGHT(creditcard[[#This Row],[YYYYMM]],2)</f>
        <v/>
      </c>
      <c r="D753" s="15">
        <f>IF(RIGHT(creditcard[[#This Row],[YYYYMM]],2)="--","--","Q"&amp;ROUNDUP(VALUE(RIGHT(creditcard[[#This Row],[YYYYMM]],2))/3,0))</f>
        <v/>
      </c>
      <c r="E753" s="15" t="n">
        <v>4</v>
      </c>
      <c r="F753" s="155" t="inlineStr">
        <is>
          <t>玉山</t>
        </is>
      </c>
      <c r="G753" s="156" t="inlineStr">
        <is>
          <t>04 玉山</t>
        </is>
      </c>
      <c r="H753" s="157" t="n">
        <v>7476231</v>
      </c>
      <c r="I753" s="157" t="n">
        <v>4965433</v>
      </c>
      <c r="J753" s="157" t="n">
        <v>57027</v>
      </c>
      <c r="K753" s="157" t="n">
        <v>65859</v>
      </c>
      <c r="L753" s="157" t="n">
        <v>18629.094</v>
      </c>
      <c r="M753" s="16" t="n"/>
      <c r="N753" s="157" t="n">
        <v>51214.901</v>
      </c>
      <c r="O753" s="16" t="n"/>
      <c r="P753" s="16" t="n"/>
      <c r="Q753" s="17" t="n"/>
      <c r="R753" s="16" t="n"/>
      <c r="S753" s="16" t="n"/>
      <c r="T753" s="16" t="n"/>
      <c r="U753" s="16" t="n"/>
      <c r="V753" s="158" t="n"/>
      <c r="W753" s="16" t="n"/>
      <c r="X753" s="18" t="n"/>
      <c r="Y753" s="18" t="n"/>
      <c r="Z753" s="18" t="n"/>
      <c r="AA753" s="18" t="n"/>
      <c r="AB753" s="18" t="n"/>
      <c r="AC753" s="18" t="n"/>
      <c r="AD753" s="18" t="n"/>
      <c r="AE753" s="18" t="n"/>
      <c r="AF753" s="18" t="n"/>
      <c r="AG753" s="18" t="n"/>
      <c r="AH753" s="18" t="n"/>
      <c r="AI753" s="18" t="n"/>
    </row>
    <row r="754">
      <c r="A754" s="9" t="n">
        <v>202412</v>
      </c>
      <c r="B754" s="10">
        <f>LEFT(creditcard[[#This Row],[YYYYMM]],4)</f>
        <v/>
      </c>
      <c r="C754" s="10">
        <f>RIGHT(creditcard[[#This Row],[YYYYMM]],2)</f>
        <v/>
      </c>
      <c r="D754" s="10">
        <f>IF(RIGHT(creditcard[[#This Row],[YYYYMM]],2)="--","--","Q"&amp;ROUNDUP(VALUE(RIGHT(creditcard[[#This Row],[YYYYMM]],2))/3,0))</f>
        <v/>
      </c>
      <c r="E754" s="10" t="n">
        <v>5</v>
      </c>
      <c r="F754" s="151" t="inlineStr">
        <is>
          <t>台新</t>
        </is>
      </c>
      <c r="G754" s="152" t="inlineStr">
        <is>
          <t>05 台新</t>
        </is>
      </c>
      <c r="H754" s="153" t="n">
        <v>6577948</v>
      </c>
      <c r="I754" s="153" t="n">
        <v>4845736</v>
      </c>
      <c r="J754" s="153" t="n">
        <v>39421</v>
      </c>
      <c r="K754" s="153" t="n">
        <v>50938</v>
      </c>
      <c r="L754" s="153" t="n">
        <v>10951.497</v>
      </c>
      <c r="M754" s="11" t="n"/>
      <c r="N754" s="153" t="n">
        <v>44332.846</v>
      </c>
      <c r="O754" s="11" t="n"/>
      <c r="P754" s="11" t="n"/>
      <c r="Q754" s="12" t="n"/>
      <c r="R754" s="11" t="n"/>
      <c r="S754" s="11" t="n"/>
      <c r="T754" s="11" t="n"/>
      <c r="U754" s="11" t="n"/>
      <c r="V754" s="154" t="n"/>
      <c r="W754" s="11" t="n"/>
      <c r="X754" s="13" t="n"/>
      <c r="Y754" s="13" t="n"/>
      <c r="Z754" s="13" t="n"/>
      <c r="AA754" s="13" t="n"/>
      <c r="AB754" s="13" t="n"/>
      <c r="AC754" s="13" t="n"/>
      <c r="AD754" s="13" t="n"/>
      <c r="AE754" s="13" t="n"/>
      <c r="AF754" s="13" t="n"/>
      <c r="AG754" s="13" t="n"/>
      <c r="AH754" s="13" t="n"/>
      <c r="AI754" s="13" t="n"/>
    </row>
    <row r="755">
      <c r="A755" s="14" t="n">
        <v>202412</v>
      </c>
      <c r="B755" s="15">
        <f>LEFT(creditcard[[#This Row],[YYYYMM]],4)</f>
        <v/>
      </c>
      <c r="C755" s="15">
        <f>RIGHT(creditcard[[#This Row],[YYYYMM]],2)</f>
        <v/>
      </c>
      <c r="D755" s="15">
        <f>IF(RIGHT(creditcard[[#This Row],[YYYYMM]],2)="--","--","Q"&amp;ROUNDUP(VALUE(RIGHT(creditcard[[#This Row],[YYYYMM]],2))/3,0))</f>
        <v/>
      </c>
      <c r="E755" s="15" t="n">
        <v>6</v>
      </c>
      <c r="F755" s="155" t="inlineStr">
        <is>
          <t>星展</t>
        </is>
      </c>
      <c r="G755" s="156" t="inlineStr">
        <is>
          <t>06 星展</t>
        </is>
      </c>
      <c r="H755" s="157" t="n">
        <v>3281643</v>
      </c>
      <c r="I755" s="157" t="n">
        <v>2071611</v>
      </c>
      <c r="J755" s="157" t="n">
        <v>11611</v>
      </c>
      <c r="K755" s="157" t="n">
        <v>20975</v>
      </c>
      <c r="L755" s="157" t="n">
        <v>8567.162</v>
      </c>
      <c r="M755" s="16" t="n"/>
      <c r="N755" s="157" t="n">
        <v>25272.608</v>
      </c>
      <c r="O755" s="16" t="n"/>
      <c r="P755" s="16" t="n"/>
      <c r="Q755" s="17" t="n"/>
      <c r="R755" s="16" t="n"/>
      <c r="S755" s="16" t="n"/>
      <c r="T755" s="16" t="n"/>
      <c r="U755" s="16" t="n"/>
      <c r="V755" s="158" t="n"/>
      <c r="W755" s="16" t="n"/>
      <c r="X755" s="18" t="n"/>
      <c r="Y755" s="18" t="n"/>
      <c r="Z755" s="18" t="n"/>
      <c r="AA755" s="18" t="n"/>
      <c r="AB755" s="18" t="n"/>
      <c r="AC755" s="18" t="n"/>
      <c r="AD755" s="18" t="n"/>
      <c r="AE755" s="18" t="n"/>
      <c r="AF755" s="18" t="n"/>
      <c r="AG755" s="18" t="n"/>
      <c r="AH755" s="18" t="n"/>
      <c r="AI755" s="18" t="n"/>
    </row>
    <row r="756">
      <c r="A756" s="9" t="n">
        <v>202412</v>
      </c>
      <c r="B756" s="10">
        <f>LEFT(creditcard[[#This Row],[YYYYMM]],4)</f>
        <v/>
      </c>
      <c r="C756" s="10">
        <f>RIGHT(creditcard[[#This Row],[YYYYMM]],2)</f>
        <v/>
      </c>
      <c r="D756" s="10">
        <f>IF(RIGHT(creditcard[[#This Row],[YYYYMM]],2)="--","--","Q"&amp;ROUNDUP(VALUE(RIGHT(creditcard[[#This Row],[YYYYMM]],2))/3,0))</f>
        <v/>
      </c>
      <c r="E756" s="10" t="n">
        <v>7</v>
      </c>
      <c r="F756" s="151" t="inlineStr">
        <is>
          <t>聯邦</t>
        </is>
      </c>
      <c r="G756" s="152" t="inlineStr">
        <is>
          <t>07 聯邦</t>
        </is>
      </c>
      <c r="H756" s="153" t="n">
        <v>2764467</v>
      </c>
      <c r="I756" s="153" t="n">
        <v>1868354</v>
      </c>
      <c r="J756" s="153" t="n">
        <v>19572</v>
      </c>
      <c r="K756" s="153" t="n">
        <v>59664</v>
      </c>
      <c r="L756" s="153" t="n">
        <v>6402.796</v>
      </c>
      <c r="M756" s="11" t="n"/>
      <c r="N756" s="153" t="n">
        <v>15579.738</v>
      </c>
      <c r="O756" s="11" t="n"/>
      <c r="P756" s="11" t="n"/>
      <c r="Q756" s="12" t="n"/>
      <c r="R756" s="11" t="n"/>
      <c r="S756" s="11" t="n"/>
      <c r="T756" s="11" t="n"/>
      <c r="U756" s="11" t="n"/>
      <c r="V756" s="154" t="n"/>
      <c r="W756" s="11" t="n"/>
      <c r="X756" s="13" t="n"/>
      <c r="Y756" s="13" t="n"/>
      <c r="Z756" s="13" t="n"/>
      <c r="AA756" s="13" t="n"/>
      <c r="AB756" s="13" t="n"/>
      <c r="AC756" s="13" t="n"/>
      <c r="AD756" s="13" t="n"/>
      <c r="AE756" s="13" t="n"/>
      <c r="AF756" s="13" t="n"/>
      <c r="AG756" s="13" t="n"/>
      <c r="AH756" s="13" t="n"/>
      <c r="AI756" s="13" t="n"/>
    </row>
    <row r="757">
      <c r="A757" s="14" t="n">
        <v>202412</v>
      </c>
      <c r="B757" s="15">
        <f>LEFT(creditcard[[#This Row],[YYYYMM]],4)</f>
        <v/>
      </c>
      <c r="C757" s="15">
        <f>RIGHT(creditcard[[#This Row],[YYYYMM]],2)</f>
        <v/>
      </c>
      <c r="D757" s="15">
        <f>IF(RIGHT(creditcard[[#This Row],[YYYYMM]],2)="--","--","Q"&amp;ROUNDUP(VALUE(RIGHT(creditcard[[#This Row],[YYYYMM]],2))/3,0))</f>
        <v/>
      </c>
      <c r="E757" s="15" t="n">
        <v>8</v>
      </c>
      <c r="F757" s="155" t="inlineStr">
        <is>
          <t>永豐</t>
        </is>
      </c>
      <c r="G757" s="156" t="inlineStr">
        <is>
          <t>08 永豐</t>
        </is>
      </c>
      <c r="H757" s="157" t="n">
        <v>2238632</v>
      </c>
      <c r="I757" s="157" t="n">
        <v>1345701</v>
      </c>
      <c r="J757" s="157" t="n">
        <v>78852</v>
      </c>
      <c r="K757" s="157" t="n">
        <v>5431</v>
      </c>
      <c r="L757" s="157" t="n">
        <v>3821.018</v>
      </c>
      <c r="M757" s="16" t="n"/>
      <c r="N757" s="157" t="n">
        <v>1436.372</v>
      </c>
      <c r="O757" s="16" t="n"/>
      <c r="P757" s="16" t="n"/>
      <c r="Q757" s="17" t="n"/>
      <c r="R757" s="16" t="n"/>
      <c r="S757" s="16" t="n"/>
      <c r="T757" s="16" t="n"/>
      <c r="U757" s="16" t="n"/>
      <c r="V757" s="158" t="n"/>
      <c r="W757" s="16" t="n"/>
      <c r="X757" s="18" t="n"/>
      <c r="Y757" s="18" t="n"/>
      <c r="Z757" s="18" t="n"/>
      <c r="AA757" s="18" t="n"/>
      <c r="AB757" s="18" t="n"/>
      <c r="AC757" s="18" t="n"/>
      <c r="AD757" s="18" t="n"/>
      <c r="AE757" s="18" t="n"/>
      <c r="AF757" s="18" t="n"/>
      <c r="AG757" s="18" t="n"/>
      <c r="AH757" s="18" t="n"/>
      <c r="AI757" s="18" t="n"/>
    </row>
    <row r="758">
      <c r="A758" s="9" t="n">
        <v>202412</v>
      </c>
      <c r="B758" s="10">
        <f>LEFT(creditcard[[#This Row],[YYYYMM]],4)</f>
        <v/>
      </c>
      <c r="C758" s="10">
        <f>RIGHT(creditcard[[#This Row],[YYYYMM]],2)</f>
        <v/>
      </c>
      <c r="D758" s="10">
        <f>IF(RIGHT(creditcard[[#This Row],[YYYYMM]],2)="--","--","Q"&amp;ROUNDUP(VALUE(RIGHT(creditcard[[#This Row],[YYYYMM]],2))/3,0))</f>
        <v/>
      </c>
      <c r="E758" s="10" t="n">
        <v>9</v>
      </c>
      <c r="F758" s="151" t="inlineStr">
        <is>
          <t>第一</t>
        </is>
      </c>
      <c r="G758" s="152" t="inlineStr">
        <is>
          <t>09 第一</t>
        </is>
      </c>
      <c r="H758" s="153" t="n">
        <v>1474945</v>
      </c>
      <c r="I758" s="153" t="n">
        <v>942221</v>
      </c>
      <c r="J758" s="153" t="n">
        <v>8958</v>
      </c>
      <c r="K758" s="153" t="n">
        <v>12553</v>
      </c>
      <c r="L758" s="153" t="n">
        <v>1287.115</v>
      </c>
      <c r="M758" s="11" t="n"/>
      <c r="N758" s="153" t="n">
        <v>7203.786</v>
      </c>
      <c r="O758" s="11" t="n"/>
      <c r="P758" s="11" t="n"/>
      <c r="Q758" s="12" t="n"/>
      <c r="R758" s="11" t="n"/>
      <c r="S758" s="11" t="n"/>
      <c r="T758" s="11" t="n"/>
      <c r="U758" s="11" t="n"/>
      <c r="V758" s="154" t="n"/>
      <c r="W758" s="11" t="n"/>
      <c r="X758" s="13" t="n"/>
      <c r="Y758" s="13" t="n"/>
      <c r="Z758" s="13" t="n"/>
      <c r="AA758" s="13" t="n"/>
      <c r="AB758" s="13" t="n"/>
      <c r="AC758" s="13" t="n"/>
      <c r="AD758" s="13" t="n"/>
      <c r="AE758" s="13" t="n"/>
      <c r="AF758" s="13" t="n"/>
      <c r="AG758" s="13" t="n"/>
      <c r="AH758" s="13" t="n"/>
      <c r="AI758" s="13" t="n"/>
    </row>
    <row r="759">
      <c r="A759" s="14" t="n">
        <v>202412</v>
      </c>
      <c r="B759" s="15">
        <f>LEFT(creditcard[[#This Row],[YYYYMM]],4)</f>
        <v/>
      </c>
      <c r="C759" s="15">
        <f>RIGHT(creditcard[[#This Row],[YYYYMM]],2)</f>
        <v/>
      </c>
      <c r="D759" s="15">
        <f>IF(RIGHT(creditcard[[#This Row],[YYYYMM]],2)="--","--","Q"&amp;ROUNDUP(VALUE(RIGHT(creditcard[[#This Row],[YYYYMM]],2))/3,0))</f>
        <v/>
      </c>
      <c r="E759" s="15" t="n">
        <v>10</v>
      </c>
      <c r="F759" s="155" t="inlineStr">
        <is>
          <t>遠東</t>
        </is>
      </c>
      <c r="G759" s="156" t="inlineStr">
        <is>
          <t>10 遠東</t>
        </is>
      </c>
      <c r="H759" s="157" t="n">
        <v>1356177</v>
      </c>
      <c r="I759" s="157" t="n">
        <v>948035</v>
      </c>
      <c r="J759" s="157" t="n">
        <v>7078</v>
      </c>
      <c r="K759" s="157" t="n">
        <v>9226</v>
      </c>
      <c r="L759" s="157" t="n">
        <v>3310.248</v>
      </c>
      <c r="M759" s="16" t="n"/>
      <c r="N759" s="157" t="n">
        <v>4737.848</v>
      </c>
      <c r="O759" s="16" t="n"/>
      <c r="P759" s="16" t="n"/>
      <c r="Q759" s="17" t="n"/>
      <c r="R759" s="16" t="n"/>
      <c r="S759" s="16" t="n"/>
      <c r="T759" s="16" t="n"/>
      <c r="U759" s="16" t="n"/>
      <c r="V759" s="158" t="n"/>
      <c r="W759" s="16" t="n"/>
      <c r="X759" s="18" t="n"/>
      <c r="Y759" s="18" t="n"/>
      <c r="Z759" s="18" t="n"/>
      <c r="AA759" s="18" t="n"/>
      <c r="AB759" s="18" t="n"/>
      <c r="AC759" s="18" t="n"/>
      <c r="AD759" s="18" t="n"/>
      <c r="AE759" s="18" t="n"/>
      <c r="AF759" s="18" t="n"/>
      <c r="AG759" s="18" t="n"/>
      <c r="AH759" s="18" t="n"/>
      <c r="AI759" s="18" t="n"/>
    </row>
    <row r="760">
      <c r="A760" s="9" t="n">
        <v>202412</v>
      </c>
      <c r="B760" s="10">
        <f>LEFT(creditcard[[#This Row],[YYYYMM]],4)</f>
        <v/>
      </c>
      <c r="C760" s="10">
        <f>RIGHT(creditcard[[#This Row],[YYYYMM]],2)</f>
        <v/>
      </c>
      <c r="D760" s="10">
        <f>IF(RIGHT(creditcard[[#This Row],[YYYYMM]],2)="--","--","Q"&amp;ROUNDUP(VALUE(RIGHT(creditcard[[#This Row],[YYYYMM]],2))/3,0))</f>
        <v/>
      </c>
      <c r="E760" s="10" t="n">
        <v>11</v>
      </c>
      <c r="F760" s="151" t="inlineStr">
        <is>
          <t>市場總計</t>
        </is>
      </c>
      <c r="G760" s="152" t="inlineStr">
        <is>
          <t>11 市場總計</t>
        </is>
      </c>
      <c r="H760" s="153" t="n">
        <v>58584971</v>
      </c>
      <c r="I760" s="153" t="n">
        <v>39084207</v>
      </c>
      <c r="J760" s="153" t="n">
        <v>445243</v>
      </c>
      <c r="K760" s="153" t="n">
        <v>495023</v>
      </c>
      <c r="L760" s="153" t="n">
        <v>116272.761</v>
      </c>
      <c r="M760" s="161" t="n">
        <v>189520.835</v>
      </c>
      <c r="N760" s="153" t="n">
        <v>420176.761</v>
      </c>
      <c r="O760" s="161" t="n">
        <v>1864.722</v>
      </c>
      <c r="P760" s="12" t="n">
        <v>0.0029</v>
      </c>
      <c r="Q760" s="12" t="n">
        <v>0.0003</v>
      </c>
      <c r="R760" s="20" t="n">
        <v>4.62713979081957</v>
      </c>
      <c r="S760" s="161" t="n">
        <v>703.963</v>
      </c>
      <c r="T760" s="161" t="n">
        <v>7414.967</v>
      </c>
      <c r="U760" s="11" t="n"/>
      <c r="V760" s="154" t="n">
        <v>4.58</v>
      </c>
      <c r="W760" s="11">
        <f>SUMIFS(H:H,A:A,creditcard[[#This Row],[YYYYMM]],G:G,creditcard[[#This Row],[Item]])</f>
        <v/>
      </c>
      <c r="X760" s="4">
        <f>IFERROR(SUMIFS(H:H,A:A,creditcard[[#This Row],[YYYYMM]],E:E,"&lt;=5")/creditcard[[#This Row],[市場總計]],"")</f>
        <v/>
      </c>
      <c r="Y760" s="4">
        <f>IFERROR(SUMIFS(H:H,A:A,creditcard[[#This Row],[YYYYMM]],E:E,"&lt;=10")/creditcard[[#This Row],[市場總計]],"")</f>
        <v/>
      </c>
      <c r="Z760" s="4">
        <f>IFERROR(SUMIFS(I:I,A:A,creditcard[[#This Row],[YYYYMM]],E:E,"&lt;=5")/creditcard[[#This Row],[有效卡數]],"")</f>
        <v/>
      </c>
      <c r="AA760" s="4">
        <f>IFERROR(SUMIFS(I:I,A:A,creditcard[[#This Row],[YYYYMM]],E:E,"&lt;=10")/creditcard[[#This Row],[有效卡數]],"")</f>
        <v/>
      </c>
      <c r="AB760" s="4">
        <f>IFERROR(SUMIFS(J:J,A:A,creditcard[[#This Row],[YYYYMM]],E:E,"&lt;=5")/creditcard[[#This Row],[當月發卡數]],"")</f>
        <v/>
      </c>
      <c r="AC760" s="4">
        <f>IFERROR(SUMIFS(J:J,A:A,creditcard[[#This Row],[YYYYMM]],E:E,"&lt;=10")/creditcard[[#This Row],[當月發卡數]],"")</f>
        <v/>
      </c>
      <c r="AD760" s="4">
        <f>IFERROR(SUMIFS(K:K,A:A,creditcard[[#This Row],[YYYYMM]],E:E,"&lt;=5")/creditcard[[#This Row],[當月停卡數]],"")</f>
        <v/>
      </c>
      <c r="AE760" s="4">
        <f>IFERROR(SUMIFS(K:K,A:A,creditcard[[#This Row],[YYYYMM]],E:E,"&lt;=10")/creditcard[[#This Row],[當月停卡數]],"")</f>
        <v/>
      </c>
      <c r="AF760" s="4">
        <f>IFERROR(SUMIFS(L:L,A:A,creditcard[[#This Row],[YYYYMM]],E:E,"&lt;=5")/creditcard[[#This Row],[循環信用餘額]],"")</f>
        <v/>
      </c>
      <c r="AG760" s="4">
        <f>IFERROR(SUMIFS(L:L,A:A,creditcard[[#This Row],[YYYYMM]],E:E,"&lt;=10")/creditcard[[#This Row],[循環信用餘額]],"")</f>
        <v/>
      </c>
      <c r="AH760" s="4">
        <f>IFERROR(SUMIFS(N:N,A:A,creditcard[[#This Row],[YYYYMM]],E:E,"&lt;=5")/creditcard[[#This Row],[當月簽帳金額]],"")</f>
        <v/>
      </c>
      <c r="AI760" s="4">
        <f>IFERROR(SUMIFS(N:N,A:A,creditcard[[#This Row],[YYYYMM]],E:E,"&lt;=10")/creditcard[[#This Row],[當月簽帳金額]],"")</f>
        <v/>
      </c>
    </row>
    <row r="761">
      <c r="A761" s="14" t="inlineStr">
        <is>
          <t>2024--</t>
        </is>
      </c>
      <c r="B761" s="15">
        <f>LEFT(creditcard[[#This Row],[YYYYMM]],4)</f>
        <v/>
      </c>
      <c r="C761" s="15">
        <f>RIGHT(creditcard[[#This Row],[YYYYMM]],2)</f>
        <v/>
      </c>
      <c r="D761" s="15">
        <f>IF(RIGHT(creditcard[[#This Row],[YYYYMM]],2)="--","--","Q"&amp;ROUNDUP(VALUE(RIGHT(creditcard[[#This Row],[YYYYMM]],2))/3,0))</f>
        <v/>
      </c>
      <c r="E761" s="15" t="n">
        <v>1</v>
      </c>
      <c r="F761" s="155" t="inlineStr">
        <is>
          <t>中信</t>
        </is>
      </c>
      <c r="G761" s="156" t="inlineStr">
        <is>
          <t>01 中信</t>
        </is>
      </c>
      <c r="H761" s="157" t="n">
        <v>9179910</v>
      </c>
      <c r="I761" s="157" t="n">
        <v>6020685</v>
      </c>
      <c r="J761" s="157" t="n">
        <v>951473</v>
      </c>
      <c r="K761" s="157" t="n">
        <v>838648</v>
      </c>
      <c r="L761" s="157" t="n">
        <v>17409.48</v>
      </c>
      <c r="M761" s="16" t="n"/>
      <c r="N761" s="157" t="n">
        <v>801048.834</v>
      </c>
      <c r="O761" s="16" t="n"/>
      <c r="P761" s="16" t="n"/>
      <c r="Q761" s="17" t="n"/>
      <c r="R761" s="16" t="n"/>
      <c r="S761" s="16" t="n"/>
      <c r="T761" s="16" t="n"/>
      <c r="U761" s="16" t="n"/>
      <c r="V761" s="158" t="n"/>
      <c r="W761" s="16" t="n"/>
      <c r="X761" s="18" t="n"/>
      <c r="Y761" s="18" t="n"/>
      <c r="Z761" s="18" t="n"/>
      <c r="AA761" s="18" t="n"/>
      <c r="AB761" s="18" t="n"/>
      <c r="AC761" s="18" t="n"/>
      <c r="AD761" s="18" t="n"/>
      <c r="AE761" s="18" t="n"/>
      <c r="AF761" s="18" t="n"/>
      <c r="AG761" s="18" t="n"/>
      <c r="AH761" s="18" t="n"/>
      <c r="AI761" s="18" t="n"/>
    </row>
    <row r="762">
      <c r="A762" s="9" t="inlineStr">
        <is>
          <t>2024--</t>
        </is>
      </c>
      <c r="B762" s="10">
        <f>LEFT(creditcard[[#This Row],[YYYYMM]],4)</f>
        <v/>
      </c>
      <c r="C762" s="10">
        <f>RIGHT(creditcard[[#This Row],[YYYYMM]],2)</f>
        <v/>
      </c>
      <c r="D762" s="10">
        <f>IF(RIGHT(creditcard[[#This Row],[YYYYMM]],2)="--","--","Q"&amp;ROUNDUP(VALUE(RIGHT(creditcard[[#This Row],[YYYYMM]],2))/3,0))</f>
        <v/>
      </c>
      <c r="E762" s="10" t="n">
        <v>2</v>
      </c>
      <c r="F762" s="151" t="inlineStr">
        <is>
          <t>富邦</t>
        </is>
      </c>
      <c r="G762" s="152" t="inlineStr">
        <is>
          <t>02 富邦</t>
        </is>
      </c>
      <c r="H762" s="153" t="n">
        <v>7286011</v>
      </c>
      <c r="I762" s="153" t="n">
        <v>5754738</v>
      </c>
      <c r="J762" s="153" t="n">
        <v>706846</v>
      </c>
      <c r="K762" s="153" t="n">
        <v>635316</v>
      </c>
      <c r="L762" s="153" t="n">
        <v>10804.962</v>
      </c>
      <c r="M762" s="11" t="n"/>
      <c r="N762" s="153" t="n">
        <v>607467.8320000001</v>
      </c>
      <c r="O762" s="11" t="n"/>
      <c r="P762" s="11" t="n"/>
      <c r="Q762" s="12" t="n"/>
      <c r="R762" s="11" t="n"/>
      <c r="S762" s="11" t="n"/>
      <c r="T762" s="11" t="n"/>
      <c r="U762" s="11" t="n"/>
      <c r="V762" s="154" t="n"/>
      <c r="W762" s="11" t="n"/>
      <c r="X762" s="13" t="n"/>
      <c r="Y762" s="13" t="n"/>
      <c r="Z762" s="13" t="n"/>
      <c r="AA762" s="13" t="n"/>
      <c r="AB762" s="13" t="n"/>
      <c r="AC762" s="13" t="n"/>
      <c r="AD762" s="13" t="n"/>
      <c r="AE762" s="13" t="n"/>
      <c r="AF762" s="13" t="n"/>
      <c r="AG762" s="13" t="n"/>
      <c r="AH762" s="13" t="n"/>
      <c r="AI762" s="13" t="n"/>
    </row>
    <row r="763">
      <c r="A763" s="14" t="inlineStr">
        <is>
          <t>2024--</t>
        </is>
      </c>
      <c r="B763" s="15">
        <f>LEFT(creditcard[[#This Row],[YYYYMM]],4)</f>
        <v/>
      </c>
      <c r="C763" s="15">
        <f>RIGHT(creditcard[[#This Row],[YYYYMM]],2)</f>
        <v/>
      </c>
      <c r="D763" s="15">
        <f>IF(RIGHT(creditcard[[#This Row],[YYYYMM]],2)="--","--","Q"&amp;ROUNDUP(VALUE(RIGHT(creditcard[[#This Row],[YYYYMM]],2))/3,0))</f>
        <v/>
      </c>
      <c r="E763" s="15" t="n">
        <v>3</v>
      </c>
      <c r="F763" s="155" t="inlineStr">
        <is>
          <t>國泰</t>
        </is>
      </c>
      <c r="G763" s="156" t="inlineStr">
        <is>
          <t>03 國泰</t>
        </is>
      </c>
      <c r="H763" s="157" t="n">
        <v>7487552</v>
      </c>
      <c r="I763" s="157" t="n">
        <v>4980797</v>
      </c>
      <c r="J763" s="157" t="n">
        <v>646194</v>
      </c>
      <c r="K763" s="157" t="n">
        <v>356357</v>
      </c>
      <c r="L763" s="157" t="n">
        <v>20736.892</v>
      </c>
      <c r="M763" s="16" t="n"/>
      <c r="N763" s="157" t="n">
        <v>763054.349</v>
      </c>
      <c r="O763" s="16" t="n"/>
      <c r="P763" s="16" t="n"/>
      <c r="Q763" s="17" t="n"/>
      <c r="R763" s="16" t="n"/>
      <c r="S763" s="16" t="n"/>
      <c r="T763" s="16" t="n"/>
      <c r="U763" s="16" t="n"/>
      <c r="V763" s="158" t="n"/>
      <c r="W763" s="16" t="n"/>
      <c r="X763" s="18" t="n"/>
      <c r="Y763" s="18" t="n"/>
      <c r="Z763" s="18" t="n"/>
      <c r="AA763" s="18" t="n"/>
      <c r="AB763" s="18" t="n"/>
      <c r="AC763" s="18" t="n"/>
      <c r="AD763" s="18" t="n"/>
      <c r="AE763" s="18" t="n"/>
      <c r="AF763" s="18" t="n"/>
      <c r="AG763" s="18" t="n"/>
      <c r="AH763" s="18" t="n"/>
      <c r="AI763" s="18" t="n"/>
    </row>
    <row r="764">
      <c r="A764" s="9" t="inlineStr">
        <is>
          <t>2024--</t>
        </is>
      </c>
      <c r="B764" s="10">
        <f>LEFT(creditcard[[#This Row],[YYYYMM]],4)</f>
        <v/>
      </c>
      <c r="C764" s="10">
        <f>RIGHT(creditcard[[#This Row],[YYYYMM]],2)</f>
        <v/>
      </c>
      <c r="D764" s="10">
        <f>IF(RIGHT(creditcard[[#This Row],[YYYYMM]],2)="--","--","Q"&amp;ROUNDUP(VALUE(RIGHT(creditcard[[#This Row],[YYYYMM]],2))/3,0))</f>
        <v/>
      </c>
      <c r="E764" s="10" t="n">
        <v>4</v>
      </c>
      <c r="F764" s="151" t="inlineStr">
        <is>
          <t>玉山</t>
        </is>
      </c>
      <c r="G764" s="152" t="inlineStr">
        <is>
          <t>04 玉山</t>
        </is>
      </c>
      <c r="H764" s="153" t="n">
        <v>7476231</v>
      </c>
      <c r="I764" s="153" t="n">
        <v>4965433</v>
      </c>
      <c r="J764" s="153" t="n">
        <v>1018999</v>
      </c>
      <c r="K764" s="153" t="n">
        <v>773491</v>
      </c>
      <c r="L764" s="153" t="n">
        <v>18629.094</v>
      </c>
      <c r="M764" s="11" t="n"/>
      <c r="N764" s="153" t="n">
        <v>612823.048</v>
      </c>
      <c r="O764" s="11" t="n"/>
      <c r="P764" s="11" t="n"/>
      <c r="Q764" s="12" t="n"/>
      <c r="R764" s="11" t="n"/>
      <c r="S764" s="11" t="n"/>
      <c r="T764" s="11" t="n"/>
      <c r="U764" s="11" t="n"/>
      <c r="V764" s="154" t="n"/>
      <c r="W764" s="11" t="n"/>
      <c r="X764" s="13" t="n"/>
      <c r="Y764" s="13" t="n"/>
      <c r="Z764" s="13" t="n"/>
      <c r="AA764" s="13" t="n"/>
      <c r="AB764" s="13" t="n"/>
      <c r="AC764" s="13" t="n"/>
      <c r="AD764" s="13" t="n"/>
      <c r="AE764" s="13" t="n"/>
      <c r="AF764" s="13" t="n"/>
      <c r="AG764" s="13" t="n"/>
      <c r="AH764" s="13" t="n"/>
      <c r="AI764" s="13" t="n"/>
    </row>
    <row r="765">
      <c r="A765" s="14" t="inlineStr">
        <is>
          <t>2024--</t>
        </is>
      </c>
      <c r="B765" s="15">
        <f>LEFT(creditcard[[#This Row],[YYYYMM]],4)</f>
        <v/>
      </c>
      <c r="C765" s="15">
        <f>RIGHT(creditcard[[#This Row],[YYYYMM]],2)</f>
        <v/>
      </c>
      <c r="D765" s="15">
        <f>IF(RIGHT(creditcard[[#This Row],[YYYYMM]],2)="--","--","Q"&amp;ROUNDUP(VALUE(RIGHT(creditcard[[#This Row],[YYYYMM]],2))/3,0))</f>
        <v/>
      </c>
      <c r="E765" s="15" t="n">
        <v>5</v>
      </c>
      <c r="F765" s="155" t="inlineStr">
        <is>
          <t>台新</t>
        </is>
      </c>
      <c r="G765" s="156" t="inlineStr">
        <is>
          <t>05 台新</t>
        </is>
      </c>
      <c r="H765" s="157" t="n">
        <v>6577948</v>
      </c>
      <c r="I765" s="157" t="n">
        <v>4845736</v>
      </c>
      <c r="J765" s="157" t="n">
        <v>799722</v>
      </c>
      <c r="K765" s="157" t="n">
        <v>694054</v>
      </c>
      <c r="L765" s="157" t="n">
        <v>10951.497</v>
      </c>
      <c r="M765" s="16" t="n"/>
      <c r="N765" s="157" t="n">
        <v>517861.778</v>
      </c>
      <c r="O765" s="16" t="n"/>
      <c r="P765" s="16" t="n"/>
      <c r="Q765" s="17" t="n"/>
      <c r="R765" s="16" t="n"/>
      <c r="S765" s="16" t="n"/>
      <c r="T765" s="16" t="n"/>
      <c r="U765" s="16" t="n"/>
      <c r="V765" s="158" t="n"/>
      <c r="W765" s="16" t="n"/>
      <c r="X765" s="18" t="n"/>
      <c r="Y765" s="18" t="n"/>
      <c r="Z765" s="18" t="n"/>
      <c r="AA765" s="18" t="n"/>
      <c r="AB765" s="18" t="n"/>
      <c r="AC765" s="18" t="n"/>
      <c r="AD765" s="18" t="n"/>
      <c r="AE765" s="18" t="n"/>
      <c r="AF765" s="18" t="n"/>
      <c r="AG765" s="18" t="n"/>
      <c r="AH765" s="18" t="n"/>
      <c r="AI765" s="18" t="n"/>
    </row>
    <row r="766">
      <c r="A766" s="9" t="inlineStr">
        <is>
          <t>2024--</t>
        </is>
      </c>
      <c r="B766" s="10">
        <f>LEFT(creditcard[[#This Row],[YYYYMM]],4)</f>
        <v/>
      </c>
      <c r="C766" s="10">
        <f>RIGHT(creditcard[[#This Row],[YYYYMM]],2)</f>
        <v/>
      </c>
      <c r="D766" s="10">
        <f>IF(RIGHT(creditcard[[#This Row],[YYYYMM]],2)="--","--","Q"&amp;ROUNDUP(VALUE(RIGHT(creditcard[[#This Row],[YYYYMM]],2))/3,0))</f>
        <v/>
      </c>
      <c r="E766" s="10" t="n">
        <v>6</v>
      </c>
      <c r="F766" s="151" t="inlineStr">
        <is>
          <t>星展</t>
        </is>
      </c>
      <c r="G766" s="152" t="inlineStr">
        <is>
          <t>06 星展</t>
        </is>
      </c>
      <c r="H766" s="153" t="n">
        <v>3281643</v>
      </c>
      <c r="I766" s="153" t="n">
        <v>2071611</v>
      </c>
      <c r="J766" s="153" t="n">
        <v>1630210</v>
      </c>
      <c r="K766" s="153" t="n">
        <v>1851653</v>
      </c>
      <c r="L766" s="153" t="n">
        <v>8567.162</v>
      </c>
      <c r="M766" s="11" t="n"/>
      <c r="N766" s="153" t="n">
        <v>276687.408</v>
      </c>
      <c r="O766" s="11" t="n"/>
      <c r="P766" s="11" t="n"/>
      <c r="Q766" s="12" t="n"/>
      <c r="R766" s="11" t="n"/>
      <c r="S766" s="11" t="n"/>
      <c r="T766" s="11" t="n"/>
      <c r="U766" s="11" t="n"/>
      <c r="V766" s="154" t="n"/>
      <c r="W766" s="11" t="n"/>
      <c r="X766" s="13" t="n"/>
      <c r="Y766" s="13" t="n"/>
      <c r="Z766" s="13" t="n"/>
      <c r="AA766" s="13" t="n"/>
      <c r="AB766" s="13" t="n"/>
      <c r="AC766" s="13" t="n"/>
      <c r="AD766" s="13" t="n"/>
      <c r="AE766" s="13" t="n"/>
      <c r="AF766" s="13" t="n"/>
      <c r="AG766" s="13" t="n"/>
      <c r="AH766" s="13" t="n"/>
      <c r="AI766" s="13" t="n"/>
    </row>
    <row r="767">
      <c r="A767" s="14" t="inlineStr">
        <is>
          <t>2024--</t>
        </is>
      </c>
      <c r="B767" s="15">
        <f>LEFT(creditcard[[#This Row],[YYYYMM]],4)</f>
        <v/>
      </c>
      <c r="C767" s="15">
        <f>RIGHT(creditcard[[#This Row],[YYYYMM]],2)</f>
        <v/>
      </c>
      <c r="D767" s="15">
        <f>IF(RIGHT(creditcard[[#This Row],[YYYYMM]],2)="--","--","Q"&amp;ROUNDUP(VALUE(RIGHT(creditcard[[#This Row],[YYYYMM]],2))/3,0))</f>
        <v/>
      </c>
      <c r="E767" s="15" t="n">
        <v>7</v>
      </c>
      <c r="F767" s="155" t="inlineStr">
        <is>
          <t>聯邦</t>
        </is>
      </c>
      <c r="G767" s="156" t="inlineStr">
        <is>
          <t>07 聯邦</t>
        </is>
      </c>
      <c r="H767" s="157" t="n">
        <v>2764467</v>
      </c>
      <c r="I767" s="157" t="n">
        <v>1868354</v>
      </c>
      <c r="J767" s="157" t="n">
        <v>377102</v>
      </c>
      <c r="K767" s="157" t="n">
        <v>518082</v>
      </c>
      <c r="L767" s="157" t="n">
        <v>6402.796</v>
      </c>
      <c r="M767" s="16" t="n"/>
      <c r="N767" s="157" t="n">
        <v>190725.058</v>
      </c>
      <c r="O767" s="16" t="n"/>
      <c r="P767" s="16" t="n"/>
      <c r="Q767" s="17" t="n"/>
      <c r="R767" s="16" t="n"/>
      <c r="S767" s="16" t="n"/>
      <c r="T767" s="16" t="n"/>
      <c r="U767" s="16" t="n"/>
      <c r="V767" s="158" t="n"/>
      <c r="W767" s="16" t="n"/>
      <c r="X767" s="18" t="n"/>
      <c r="Y767" s="18" t="n"/>
      <c r="Z767" s="18" t="n"/>
      <c r="AA767" s="18" t="n"/>
      <c r="AB767" s="18" t="n"/>
      <c r="AC767" s="18" t="n"/>
      <c r="AD767" s="18" t="n"/>
      <c r="AE767" s="18" t="n"/>
      <c r="AF767" s="18" t="n"/>
      <c r="AG767" s="18" t="n"/>
      <c r="AH767" s="18" t="n"/>
      <c r="AI767" s="18" t="n"/>
    </row>
    <row r="768">
      <c r="A768" s="9" t="inlineStr">
        <is>
          <t>2024--</t>
        </is>
      </c>
      <c r="B768" s="10">
        <f>LEFT(creditcard[[#This Row],[YYYYMM]],4)</f>
        <v/>
      </c>
      <c r="C768" s="10">
        <f>RIGHT(creditcard[[#This Row],[YYYYMM]],2)</f>
        <v/>
      </c>
      <c r="D768" s="10">
        <f>IF(RIGHT(creditcard[[#This Row],[YYYYMM]],2)="--","--","Q"&amp;ROUNDUP(VALUE(RIGHT(creditcard[[#This Row],[YYYYMM]],2))/3,0))</f>
        <v/>
      </c>
      <c r="E768" s="10" t="n">
        <v>8</v>
      </c>
      <c r="F768" s="151" t="inlineStr">
        <is>
          <t>永豐</t>
        </is>
      </c>
      <c r="G768" s="152" t="inlineStr">
        <is>
          <t>08 永豐</t>
        </is>
      </c>
      <c r="H768" s="153" t="n">
        <v>2238632</v>
      </c>
      <c r="I768" s="153" t="n">
        <v>1345701</v>
      </c>
      <c r="J768" s="153" t="n">
        <v>309873</v>
      </c>
      <c r="K768" s="153" t="n">
        <v>277178</v>
      </c>
      <c r="L768" s="153" t="n">
        <v>3821.018</v>
      </c>
      <c r="M768" s="11" t="n"/>
      <c r="N768" s="153" t="n">
        <v>135761.083</v>
      </c>
      <c r="O768" s="11" t="n"/>
      <c r="P768" s="11" t="n"/>
      <c r="Q768" s="12" t="n"/>
      <c r="R768" s="11" t="n"/>
      <c r="S768" s="11" t="n"/>
      <c r="T768" s="11" t="n"/>
      <c r="U768" s="11" t="n"/>
      <c r="V768" s="154" t="n"/>
      <c r="W768" s="11" t="n"/>
      <c r="X768" s="13" t="n"/>
      <c r="Y768" s="13" t="n"/>
      <c r="Z768" s="13" t="n"/>
      <c r="AA768" s="13" t="n"/>
      <c r="AB768" s="13" t="n"/>
      <c r="AC768" s="13" t="n"/>
      <c r="AD768" s="13" t="n"/>
      <c r="AE768" s="13" t="n"/>
      <c r="AF768" s="13" t="n"/>
      <c r="AG768" s="13" t="n"/>
      <c r="AH768" s="13" t="n"/>
      <c r="AI768" s="13" t="n"/>
    </row>
    <row r="769">
      <c r="A769" s="14" t="inlineStr">
        <is>
          <t>2024--</t>
        </is>
      </c>
      <c r="B769" s="15">
        <f>LEFT(creditcard[[#This Row],[YYYYMM]],4)</f>
        <v/>
      </c>
      <c r="C769" s="15">
        <f>RIGHT(creditcard[[#This Row],[YYYYMM]],2)</f>
        <v/>
      </c>
      <c r="D769" s="15">
        <f>IF(RIGHT(creditcard[[#This Row],[YYYYMM]],2)="--","--","Q"&amp;ROUNDUP(VALUE(RIGHT(creditcard[[#This Row],[YYYYMM]],2))/3,0))</f>
        <v/>
      </c>
      <c r="E769" s="15" t="n">
        <v>9</v>
      </c>
      <c r="F769" s="155" t="inlineStr">
        <is>
          <t>第一</t>
        </is>
      </c>
      <c r="G769" s="156" t="inlineStr">
        <is>
          <t>09 第一</t>
        </is>
      </c>
      <c r="H769" s="157" t="n">
        <v>1474945</v>
      </c>
      <c r="I769" s="157" t="n">
        <v>942221</v>
      </c>
      <c r="J769" s="157" t="n">
        <v>162261</v>
      </c>
      <c r="K769" s="157" t="n">
        <v>264750</v>
      </c>
      <c r="L769" s="157" t="n">
        <v>1287.115</v>
      </c>
      <c r="M769" s="16" t="n"/>
      <c r="N769" s="157" t="n">
        <v>84177.333</v>
      </c>
      <c r="O769" s="16" t="n"/>
      <c r="P769" s="16" t="n"/>
      <c r="Q769" s="17" t="n"/>
      <c r="R769" s="16" t="n"/>
      <c r="S769" s="16" t="n"/>
      <c r="T769" s="16" t="n"/>
      <c r="U769" s="16" t="n"/>
      <c r="V769" s="158" t="n"/>
      <c r="W769" s="16" t="n"/>
      <c r="X769" s="18" t="n"/>
      <c r="Y769" s="18" t="n"/>
      <c r="Z769" s="18" t="n"/>
      <c r="AA769" s="18" t="n"/>
      <c r="AB769" s="18" t="n"/>
      <c r="AC769" s="18" t="n"/>
      <c r="AD769" s="18" t="n"/>
      <c r="AE769" s="18" t="n"/>
      <c r="AF769" s="18" t="n"/>
      <c r="AG769" s="18" t="n"/>
      <c r="AH769" s="18" t="n"/>
      <c r="AI769" s="18" t="n"/>
    </row>
    <row r="770">
      <c r="A770" s="9" t="inlineStr">
        <is>
          <t>2024--</t>
        </is>
      </c>
      <c r="B770" s="10">
        <f>LEFT(creditcard[[#This Row],[YYYYMM]],4)</f>
        <v/>
      </c>
      <c r="C770" s="10">
        <f>RIGHT(creditcard[[#This Row],[YYYYMM]],2)</f>
        <v/>
      </c>
      <c r="D770" s="10">
        <f>IF(RIGHT(creditcard[[#This Row],[YYYYMM]],2)="--","--","Q"&amp;ROUNDUP(VALUE(RIGHT(creditcard[[#This Row],[YYYYMM]],2))/3,0))</f>
        <v/>
      </c>
      <c r="E770" s="10" t="n">
        <v>10</v>
      </c>
      <c r="F770" s="151" t="inlineStr">
        <is>
          <t>遠東</t>
        </is>
      </c>
      <c r="G770" s="152" t="inlineStr">
        <is>
          <t>10 遠東</t>
        </is>
      </c>
      <c r="H770" s="153" t="n">
        <v>1356177</v>
      </c>
      <c r="I770" s="153" t="n">
        <v>948035</v>
      </c>
      <c r="J770" s="153" t="n">
        <v>86892</v>
      </c>
      <c r="K770" s="153" t="n">
        <v>84118</v>
      </c>
      <c r="L770" s="153" t="n">
        <v>3310.248</v>
      </c>
      <c r="M770" s="11" t="n"/>
      <c r="N770" s="153" t="n">
        <v>53967.677</v>
      </c>
      <c r="O770" s="11" t="n"/>
      <c r="P770" s="11" t="n"/>
      <c r="Q770" s="12" t="n"/>
      <c r="R770" s="11" t="n"/>
      <c r="S770" s="11" t="n"/>
      <c r="T770" s="11" t="n"/>
      <c r="U770" s="11" t="n"/>
      <c r="V770" s="154" t="n"/>
      <c r="W770" s="11" t="n"/>
      <c r="X770" s="13" t="n"/>
      <c r="Y770" s="13" t="n"/>
      <c r="Z770" s="13" t="n"/>
      <c r="AA770" s="13" t="n"/>
      <c r="AB770" s="13" t="n"/>
      <c r="AC770" s="13" t="n"/>
      <c r="AD770" s="13" t="n"/>
      <c r="AE770" s="13" t="n"/>
      <c r="AF770" s="13" t="n"/>
      <c r="AG770" s="13" t="n"/>
      <c r="AH770" s="13" t="n"/>
      <c r="AI770" s="13" t="n"/>
    </row>
    <row r="771">
      <c r="A771" s="14" t="inlineStr">
        <is>
          <t>2024--</t>
        </is>
      </c>
      <c r="B771" s="15">
        <f>LEFT(creditcard[[#This Row],[YYYYMM]],4)</f>
        <v/>
      </c>
      <c r="C771" s="15">
        <f>RIGHT(creditcard[[#This Row],[YYYYMM]],2)</f>
        <v/>
      </c>
      <c r="D771" s="15">
        <f>IF(RIGHT(creditcard[[#This Row],[YYYYMM]],2)="--","--","Q"&amp;ROUNDUP(VALUE(RIGHT(creditcard[[#This Row],[YYYYMM]],2))/3,0))</f>
        <v/>
      </c>
      <c r="E771" s="15" t="n">
        <v>11</v>
      </c>
      <c r="F771" s="155" t="inlineStr">
        <is>
          <t>市場總計</t>
        </is>
      </c>
      <c r="G771" s="156" t="inlineStr">
        <is>
          <t>11 市場總計</t>
        </is>
      </c>
      <c r="H771" s="157" t="n">
        <v>58584971</v>
      </c>
      <c r="I771" s="157" t="n">
        <v>39084207</v>
      </c>
      <c r="J771" s="157" t="n">
        <v>7561226</v>
      </c>
      <c r="K771" s="157" t="n">
        <v>7340791</v>
      </c>
      <c r="L771" s="157" t="n">
        <v>116272.761</v>
      </c>
      <c r="M771" s="16" t="n"/>
      <c r="N771" s="157" t="n">
        <v>4684380.78</v>
      </c>
      <c r="O771" s="16" t="n"/>
      <c r="P771" s="16" t="n"/>
      <c r="Q771" s="17" t="n"/>
      <c r="R771" s="16" t="n"/>
      <c r="S771" s="16" t="n"/>
      <c r="T771" s="16" t="n"/>
      <c r="U771" s="16" t="n"/>
      <c r="V771" s="158" t="n">
        <v>4.58</v>
      </c>
      <c r="W771" s="16">
        <f>SUMIFS(H:H,A:A,creditcard[[#This Row],[YYYYMM]],G:G,creditcard[[#This Row],[Item]])</f>
        <v/>
      </c>
      <c r="X771" s="4">
        <f>IFERROR(SUMIFS(H:H,A:A,creditcard[[#This Row],[YYYYMM]],E:E,"&lt;=5")/creditcard[[#This Row],[市場總計]],"")</f>
        <v/>
      </c>
      <c r="Y771" s="4">
        <f>IFERROR(SUMIFS(H:H,A:A,creditcard[[#This Row],[YYYYMM]],E:E,"&lt;=10")/creditcard[[#This Row],[市場總計]],"")</f>
        <v/>
      </c>
      <c r="Z771" s="4">
        <f>IFERROR(SUMIFS(I:I,A:A,creditcard[[#This Row],[YYYYMM]],E:E,"&lt;=5")/creditcard[[#This Row],[有效卡數]],"")</f>
        <v/>
      </c>
      <c r="AA771" s="4">
        <f>IFERROR(SUMIFS(I:I,A:A,creditcard[[#This Row],[YYYYMM]],E:E,"&lt;=10")/creditcard[[#This Row],[有效卡數]],"")</f>
        <v/>
      </c>
      <c r="AB771" s="4">
        <f>IFERROR(SUMIFS(J:J,A:A,creditcard[[#This Row],[YYYYMM]],E:E,"&lt;=5")/creditcard[[#This Row],[當月發卡數]],"")</f>
        <v/>
      </c>
      <c r="AC771" s="4">
        <f>IFERROR(SUMIFS(J:J,A:A,creditcard[[#This Row],[YYYYMM]],E:E,"&lt;=10")/creditcard[[#This Row],[當月發卡數]],"")</f>
        <v/>
      </c>
      <c r="AD771" s="4">
        <f>IFERROR(SUMIFS(K:K,A:A,creditcard[[#This Row],[YYYYMM]],E:E,"&lt;=5")/creditcard[[#This Row],[當月停卡數]],"")</f>
        <v/>
      </c>
      <c r="AE771" s="4">
        <f>IFERROR(SUMIFS(K:K,A:A,creditcard[[#This Row],[YYYYMM]],E:E,"&lt;=10")/creditcard[[#This Row],[當月停卡數]],"")</f>
        <v/>
      </c>
      <c r="AF771" s="4">
        <f>IFERROR(SUMIFS(L:L,A:A,creditcard[[#This Row],[YYYYMM]],E:E,"&lt;=5")/creditcard[[#This Row],[循環信用餘額]],"")</f>
        <v/>
      </c>
      <c r="AG771" s="4">
        <f>IFERROR(SUMIFS(L:L,A:A,creditcard[[#This Row],[YYYYMM]],E:E,"&lt;=10")/creditcard[[#This Row],[循環信用餘額]],"")</f>
        <v/>
      </c>
      <c r="AH771" s="4">
        <f>IFERROR(SUMIFS(N:N,A:A,creditcard[[#This Row],[YYYYMM]],E:E,"&lt;=5")/creditcard[[#This Row],[當月簽帳金額]],"")</f>
        <v/>
      </c>
      <c r="AI771" s="4">
        <f>IFERROR(SUMIFS(N:N,A:A,creditcard[[#This Row],[YYYYMM]],E:E,"&lt;=10")/creditcard[[#This Row],[當月簽帳金額]],"")</f>
        <v/>
      </c>
    </row>
    <row r="772">
      <c r="A772" s="9" t="n">
        <v>202501</v>
      </c>
      <c r="B772" s="10">
        <f>LEFT(creditcard[[#This Row],[YYYYMM]],4)</f>
        <v/>
      </c>
      <c r="C772" s="10">
        <f>RIGHT(creditcard[[#This Row],[YYYYMM]],2)</f>
        <v/>
      </c>
      <c r="D772" s="10">
        <f>IF(RIGHT(creditcard[[#This Row],[YYYYMM]],2)="--","--","Q"&amp;ROUNDUP(VALUE(RIGHT(creditcard[[#This Row],[YYYYMM]],2))/3,0))</f>
        <v/>
      </c>
      <c r="E772" s="10" t="n">
        <v>1</v>
      </c>
      <c r="F772" s="151" t="inlineStr">
        <is>
          <t>中信</t>
        </is>
      </c>
      <c r="G772" s="152" t="inlineStr">
        <is>
          <t>01 中信</t>
        </is>
      </c>
      <c r="H772" s="153" t="n">
        <v>9164277</v>
      </c>
      <c r="I772" s="153" t="n">
        <v>5996175</v>
      </c>
      <c r="J772" s="153" t="n">
        <v>63424</v>
      </c>
      <c r="K772" s="153" t="n">
        <v>79057</v>
      </c>
      <c r="L772" s="153" t="n">
        <v>17336</v>
      </c>
      <c r="M772" s="11" t="n"/>
      <c r="N772" s="153" t="n">
        <v>55509</v>
      </c>
      <c r="O772" s="11" t="n"/>
      <c r="P772" s="11" t="n"/>
      <c r="Q772" s="12" t="n"/>
      <c r="R772" s="11" t="n"/>
      <c r="S772" s="11" t="n"/>
      <c r="T772" s="11" t="n"/>
      <c r="U772" s="11" t="n"/>
      <c r="V772" s="154" t="n"/>
      <c r="W772" s="11" t="n"/>
      <c r="X772" s="13" t="n"/>
      <c r="Y772" s="13" t="n"/>
      <c r="Z772" s="13" t="n"/>
      <c r="AA772" s="13" t="n"/>
      <c r="AB772" s="13" t="n"/>
      <c r="AC772" s="13" t="n"/>
      <c r="AD772" s="13" t="n"/>
      <c r="AE772" s="13" t="n"/>
      <c r="AF772" s="13" t="n"/>
      <c r="AG772" s="13" t="n"/>
      <c r="AH772" s="13" t="n"/>
      <c r="AI772" s="13" t="n"/>
    </row>
    <row r="773">
      <c r="A773" s="14" t="n">
        <v>202501</v>
      </c>
      <c r="B773" s="15">
        <f>LEFT(creditcard[[#This Row],[YYYYMM]],4)</f>
        <v/>
      </c>
      <c r="C773" s="15">
        <f>RIGHT(creditcard[[#This Row],[YYYYMM]],2)</f>
        <v/>
      </c>
      <c r="D773" s="15">
        <f>IF(RIGHT(creditcard[[#This Row],[YYYYMM]],2)="--","--","Q"&amp;ROUNDUP(VALUE(RIGHT(creditcard[[#This Row],[YYYYMM]],2))/3,0))</f>
        <v/>
      </c>
      <c r="E773" s="15" t="n">
        <v>2</v>
      </c>
      <c r="F773" s="155" t="inlineStr">
        <is>
          <t>富邦</t>
        </is>
      </c>
      <c r="G773" s="156" t="inlineStr">
        <is>
          <t>02 富邦</t>
        </is>
      </c>
      <c r="H773" s="157" t="n">
        <v>7301427</v>
      </c>
      <c r="I773" s="157" t="n">
        <v>5747006</v>
      </c>
      <c r="J773" s="157" t="n">
        <v>39879</v>
      </c>
      <c r="K773" s="157" t="n">
        <v>24463</v>
      </c>
      <c r="L773" s="157" t="n">
        <v>10712</v>
      </c>
      <c r="M773" s="16" t="n"/>
      <c r="N773" s="157" t="n">
        <v>45728</v>
      </c>
      <c r="O773" s="16" t="n"/>
      <c r="P773" s="16" t="n"/>
      <c r="Q773" s="17" t="n"/>
      <c r="R773" s="16" t="n"/>
      <c r="S773" s="16" t="n"/>
      <c r="T773" s="16" t="n"/>
      <c r="U773" s="16" t="n"/>
      <c r="V773" s="158" t="n"/>
      <c r="W773" s="16" t="n"/>
      <c r="X773" s="18" t="n"/>
      <c r="Y773" s="18" t="n"/>
      <c r="Z773" s="18" t="n"/>
      <c r="AA773" s="18" t="n"/>
      <c r="AB773" s="18" t="n"/>
      <c r="AC773" s="18" t="n"/>
      <c r="AD773" s="18" t="n"/>
      <c r="AE773" s="18" t="n"/>
      <c r="AF773" s="18" t="n"/>
      <c r="AG773" s="18" t="n"/>
      <c r="AH773" s="18" t="n"/>
      <c r="AI773" s="18" t="n"/>
    </row>
    <row r="774">
      <c r="A774" s="9" t="n">
        <v>202501</v>
      </c>
      <c r="B774" s="10">
        <f>LEFT(creditcard[[#This Row],[YYYYMM]],4)</f>
        <v/>
      </c>
      <c r="C774" s="10">
        <f>RIGHT(creditcard[[#This Row],[YYYYMM]],2)</f>
        <v/>
      </c>
      <c r="D774" s="10">
        <f>IF(RIGHT(creditcard[[#This Row],[YYYYMM]],2)="--","--","Q"&amp;ROUNDUP(VALUE(RIGHT(creditcard[[#This Row],[YYYYMM]],2))/3,0))</f>
        <v/>
      </c>
      <c r="E774" s="10" t="n">
        <v>3</v>
      </c>
      <c r="F774" s="151" t="inlineStr">
        <is>
          <t>國泰</t>
        </is>
      </c>
      <c r="G774" s="152" t="inlineStr">
        <is>
          <t>03 國泰</t>
        </is>
      </c>
      <c r="H774" s="153" t="n">
        <v>7500304</v>
      </c>
      <c r="I774" s="153" t="n">
        <v>4998723</v>
      </c>
      <c r="J774" s="153" t="n">
        <v>38114</v>
      </c>
      <c r="K774" s="153" t="n">
        <v>25362</v>
      </c>
      <c r="L774" s="153" t="n">
        <v>20217</v>
      </c>
      <c r="M774" s="11" t="n"/>
      <c r="N774" s="153" t="n">
        <v>53155</v>
      </c>
      <c r="O774" s="11" t="n"/>
      <c r="P774" s="11" t="n"/>
      <c r="Q774" s="12" t="n"/>
      <c r="R774" s="11" t="n"/>
      <c r="S774" s="11" t="n"/>
      <c r="T774" s="11" t="n"/>
      <c r="U774" s="11" t="n"/>
      <c r="V774" s="154" t="n"/>
      <c r="W774" s="11" t="n"/>
      <c r="X774" s="13" t="n"/>
      <c r="Y774" s="13" t="n"/>
      <c r="Z774" s="13" t="n"/>
      <c r="AA774" s="13" t="n"/>
      <c r="AB774" s="13" t="n"/>
      <c r="AC774" s="13" t="n"/>
      <c r="AD774" s="13" t="n"/>
      <c r="AE774" s="13" t="n"/>
      <c r="AF774" s="13" t="n"/>
      <c r="AG774" s="13" t="n"/>
      <c r="AH774" s="13" t="n"/>
      <c r="AI774" s="13" t="n"/>
    </row>
    <row r="775">
      <c r="A775" s="14" t="n">
        <v>202501</v>
      </c>
      <c r="B775" s="15">
        <f>LEFT(creditcard[[#This Row],[YYYYMM]],4)</f>
        <v/>
      </c>
      <c r="C775" s="15">
        <f>RIGHT(creditcard[[#This Row],[YYYYMM]],2)</f>
        <v/>
      </c>
      <c r="D775" s="15">
        <f>IF(RIGHT(creditcard[[#This Row],[YYYYMM]],2)="--","--","Q"&amp;ROUNDUP(VALUE(RIGHT(creditcard[[#This Row],[YYYYMM]],2))/3,0))</f>
        <v/>
      </c>
      <c r="E775" s="15" t="n">
        <v>4</v>
      </c>
      <c r="F775" s="155" t="inlineStr">
        <is>
          <t>玉山</t>
        </is>
      </c>
      <c r="G775" s="156" t="inlineStr">
        <is>
          <t>04 玉山</t>
        </is>
      </c>
      <c r="H775" s="157" t="n">
        <v>7477350</v>
      </c>
      <c r="I775" s="157" t="n">
        <v>4967720</v>
      </c>
      <c r="J775" s="157" t="n">
        <v>54309</v>
      </c>
      <c r="K775" s="157" t="n">
        <v>53190</v>
      </c>
      <c r="L775" s="157" t="n">
        <v>15668</v>
      </c>
      <c r="M775" s="16" t="n"/>
      <c r="N775" s="157" t="n">
        <v>45663</v>
      </c>
      <c r="O775" s="16" t="n"/>
      <c r="P775" s="16" t="n"/>
      <c r="Q775" s="17" t="n"/>
      <c r="R775" s="16" t="n"/>
      <c r="S775" s="16" t="n"/>
      <c r="T775" s="16" t="n"/>
      <c r="U775" s="16" t="n"/>
      <c r="V775" s="158" t="n"/>
      <c r="W775" s="16" t="n"/>
      <c r="X775" s="18" t="n"/>
      <c r="Y775" s="18" t="n"/>
      <c r="Z775" s="18" t="n"/>
      <c r="AA775" s="18" t="n"/>
      <c r="AB775" s="18" t="n"/>
      <c r="AC775" s="18" t="n"/>
      <c r="AD775" s="18" t="n"/>
      <c r="AE775" s="18" t="n"/>
      <c r="AF775" s="18" t="n"/>
      <c r="AG775" s="18" t="n"/>
      <c r="AH775" s="18" t="n"/>
      <c r="AI775" s="18" t="n"/>
    </row>
    <row r="776">
      <c r="A776" s="9" t="n">
        <v>202501</v>
      </c>
      <c r="B776" s="10">
        <f>LEFT(creditcard[[#This Row],[YYYYMM]],4)</f>
        <v/>
      </c>
      <c r="C776" s="10">
        <f>RIGHT(creditcard[[#This Row],[YYYYMM]],2)</f>
        <v/>
      </c>
      <c r="D776" s="10">
        <f>IF(RIGHT(creditcard[[#This Row],[YYYYMM]],2)="--","--","Q"&amp;ROUNDUP(VALUE(RIGHT(creditcard[[#This Row],[YYYYMM]],2))/3,0))</f>
        <v/>
      </c>
      <c r="E776" s="10" t="n">
        <v>5</v>
      </c>
      <c r="F776" s="151" t="inlineStr">
        <is>
          <t>台新</t>
        </is>
      </c>
      <c r="G776" s="152" t="inlineStr">
        <is>
          <t>05 台新</t>
        </is>
      </c>
      <c r="H776" s="153" t="n">
        <v>6579770</v>
      </c>
      <c r="I776" s="153" t="n">
        <v>4841935</v>
      </c>
      <c r="J776" s="153" t="n">
        <v>33988</v>
      </c>
      <c r="K776" s="153" t="n">
        <v>32166</v>
      </c>
      <c r="L776" s="153" t="n">
        <v>11099</v>
      </c>
      <c r="M776" s="11" t="n"/>
      <c r="N776" s="153" t="n">
        <v>35422</v>
      </c>
      <c r="O776" s="11" t="n"/>
      <c r="P776" s="11" t="n"/>
      <c r="Q776" s="12" t="n"/>
      <c r="R776" s="11" t="n"/>
      <c r="S776" s="11" t="n"/>
      <c r="T776" s="11" t="n"/>
      <c r="U776" s="11" t="n"/>
      <c r="V776" s="154" t="n"/>
      <c r="W776" s="11" t="n"/>
      <c r="X776" s="13" t="n"/>
      <c r="Y776" s="13" t="n"/>
      <c r="Z776" s="13" t="n"/>
      <c r="AA776" s="13" t="n"/>
      <c r="AB776" s="13" t="n"/>
      <c r="AC776" s="13" t="n"/>
      <c r="AD776" s="13" t="n"/>
      <c r="AE776" s="13" t="n"/>
      <c r="AF776" s="13" t="n"/>
      <c r="AG776" s="13" t="n"/>
      <c r="AH776" s="13" t="n"/>
      <c r="AI776" s="13" t="n"/>
    </row>
    <row r="777">
      <c r="A777" s="14" t="n">
        <v>202501</v>
      </c>
      <c r="B777" s="15">
        <f>LEFT(creditcard[[#This Row],[YYYYMM]],4)</f>
        <v/>
      </c>
      <c r="C777" s="15">
        <f>RIGHT(creditcard[[#This Row],[YYYYMM]],2)</f>
        <v/>
      </c>
      <c r="D777" s="15">
        <f>IF(RIGHT(creditcard[[#This Row],[YYYYMM]],2)="--","--","Q"&amp;ROUNDUP(VALUE(RIGHT(creditcard[[#This Row],[YYYYMM]],2))/3,0))</f>
        <v/>
      </c>
      <c r="E777" s="15" t="n">
        <v>6</v>
      </c>
      <c r="F777" s="155" t="inlineStr">
        <is>
          <t>星展</t>
        </is>
      </c>
      <c r="G777" s="156" t="inlineStr">
        <is>
          <t>06 星展</t>
        </is>
      </c>
      <c r="H777" s="157" t="n">
        <v>3283230</v>
      </c>
      <c r="I777" s="157" t="n">
        <v>2054973</v>
      </c>
      <c r="J777" s="157" t="n">
        <v>9373</v>
      </c>
      <c r="K777" s="157" t="n">
        <v>16176</v>
      </c>
      <c r="L777" s="157" t="n">
        <v>8711</v>
      </c>
      <c r="M777" s="16" t="n"/>
      <c r="N777" s="157" t="n">
        <v>19991</v>
      </c>
      <c r="O777" s="16" t="n"/>
      <c r="P777" s="16" t="n"/>
      <c r="Q777" s="17" t="n"/>
      <c r="R777" s="16" t="n"/>
      <c r="S777" s="16" t="n"/>
      <c r="T777" s="16" t="n"/>
      <c r="U777" s="16" t="n"/>
      <c r="V777" s="158" t="n"/>
      <c r="W777" s="16" t="n"/>
      <c r="X777" s="18" t="n"/>
      <c r="Y777" s="18" t="n"/>
      <c r="Z777" s="18" t="n"/>
      <c r="AA777" s="18" t="n"/>
      <c r="AB777" s="18" t="n"/>
      <c r="AC777" s="18" t="n"/>
      <c r="AD777" s="18" t="n"/>
      <c r="AE777" s="18" t="n"/>
      <c r="AF777" s="18" t="n"/>
      <c r="AG777" s="18" t="n"/>
      <c r="AH777" s="18" t="n"/>
      <c r="AI777" s="18" t="n"/>
    </row>
    <row r="778">
      <c r="A778" s="9" t="n">
        <v>202501</v>
      </c>
      <c r="B778" s="10">
        <f>LEFT(creditcard[[#This Row],[YYYYMM]],4)</f>
        <v/>
      </c>
      <c r="C778" s="10">
        <f>RIGHT(creditcard[[#This Row],[YYYYMM]],2)</f>
        <v/>
      </c>
      <c r="D778" s="10">
        <f>IF(RIGHT(creditcard[[#This Row],[YYYYMM]],2)="--","--","Q"&amp;ROUNDUP(VALUE(RIGHT(creditcard[[#This Row],[YYYYMM]],2))/3,0))</f>
        <v/>
      </c>
      <c r="E778" s="10" t="n">
        <v>7</v>
      </c>
      <c r="F778" s="151" t="inlineStr">
        <is>
          <t>聯邦</t>
        </is>
      </c>
      <c r="G778" s="152" t="inlineStr">
        <is>
          <t>07 聯邦</t>
        </is>
      </c>
      <c r="H778" s="153" t="n">
        <v>2760230</v>
      </c>
      <c r="I778" s="153" t="n">
        <v>1866378</v>
      </c>
      <c r="J778" s="153" t="n">
        <v>17534</v>
      </c>
      <c r="K778" s="153" t="n">
        <v>21771</v>
      </c>
      <c r="L778" s="153" t="n">
        <v>6282</v>
      </c>
      <c r="M778" s="11" t="n"/>
      <c r="N778" s="153" t="n">
        <v>14598</v>
      </c>
      <c r="O778" s="11" t="n"/>
      <c r="P778" s="11" t="n"/>
      <c r="Q778" s="12" t="n"/>
      <c r="R778" s="11" t="n"/>
      <c r="S778" s="11" t="n"/>
      <c r="T778" s="11" t="n"/>
      <c r="U778" s="11" t="n"/>
      <c r="V778" s="154" t="n"/>
      <c r="W778" s="11" t="n"/>
      <c r="X778" s="13" t="n"/>
      <c r="Y778" s="13" t="n"/>
      <c r="Z778" s="13" t="n"/>
      <c r="AA778" s="13" t="n"/>
      <c r="AB778" s="13" t="n"/>
      <c r="AC778" s="13" t="n"/>
      <c r="AD778" s="13" t="n"/>
      <c r="AE778" s="13" t="n"/>
      <c r="AF778" s="13" t="n"/>
      <c r="AG778" s="13" t="n"/>
      <c r="AH778" s="13" t="n"/>
      <c r="AI778" s="13" t="n"/>
    </row>
    <row r="779">
      <c r="A779" s="14" t="n">
        <v>202501</v>
      </c>
      <c r="B779" s="15">
        <f>LEFT(creditcard[[#This Row],[YYYYMM]],4)</f>
        <v/>
      </c>
      <c r="C779" s="15">
        <f>RIGHT(creditcard[[#This Row],[YYYYMM]],2)</f>
        <v/>
      </c>
      <c r="D779" s="15">
        <f>IF(RIGHT(creditcard[[#This Row],[YYYYMM]],2)="--","--","Q"&amp;ROUNDUP(VALUE(RIGHT(creditcard[[#This Row],[YYYYMM]],2))/3,0))</f>
        <v/>
      </c>
      <c r="E779" s="15" t="n">
        <v>8</v>
      </c>
      <c r="F779" s="155" t="inlineStr">
        <is>
          <t>永豐</t>
        </is>
      </c>
      <c r="G779" s="156" t="inlineStr">
        <is>
          <t>08 永豐</t>
        </is>
      </c>
      <c r="H779" s="157" t="n">
        <v>2297171</v>
      </c>
      <c r="I779" s="157" t="n">
        <v>1407108</v>
      </c>
      <c r="J779" s="157" t="n">
        <v>63038</v>
      </c>
      <c r="K779" s="157" t="n">
        <v>4740</v>
      </c>
      <c r="L779" s="157" t="n">
        <v>3838</v>
      </c>
      <c r="M779" s="16" t="n"/>
      <c r="N779" s="157" t="n">
        <v>12190</v>
      </c>
      <c r="O779" s="16" t="n"/>
      <c r="P779" s="16" t="n"/>
      <c r="Q779" s="17" t="n"/>
      <c r="R779" s="16" t="n"/>
      <c r="S779" s="16" t="n"/>
      <c r="T779" s="16" t="n"/>
      <c r="U779" s="16" t="n"/>
      <c r="V779" s="158" t="n"/>
      <c r="W779" s="16" t="n"/>
      <c r="X779" s="18" t="n"/>
      <c r="Y779" s="18" t="n"/>
      <c r="Z779" s="18" t="n"/>
      <c r="AA779" s="18" t="n"/>
      <c r="AB779" s="18" t="n"/>
      <c r="AC779" s="18" t="n"/>
      <c r="AD779" s="18" t="n"/>
      <c r="AE779" s="18" t="n"/>
      <c r="AF779" s="18" t="n"/>
      <c r="AG779" s="18" t="n"/>
      <c r="AH779" s="18" t="n"/>
      <c r="AI779" s="18" t="n"/>
    </row>
    <row r="780">
      <c r="A780" s="9" t="n">
        <v>202501</v>
      </c>
      <c r="B780" s="10">
        <f>LEFT(creditcard[[#This Row],[YYYYMM]],4)</f>
        <v/>
      </c>
      <c r="C780" s="10">
        <f>RIGHT(creditcard[[#This Row],[YYYYMM]],2)</f>
        <v/>
      </c>
      <c r="D780" s="10">
        <f>IF(RIGHT(creditcard[[#This Row],[YYYYMM]],2)="--","--","Q"&amp;ROUNDUP(VALUE(RIGHT(creditcard[[#This Row],[YYYYMM]],2))/3,0))</f>
        <v/>
      </c>
      <c r="E780" s="10" t="n">
        <v>9</v>
      </c>
      <c r="F780" s="151" t="inlineStr">
        <is>
          <t>第一</t>
        </is>
      </c>
      <c r="G780" s="152" t="inlineStr">
        <is>
          <t>09 第一</t>
        </is>
      </c>
      <c r="H780" s="153" t="n">
        <v>1475586</v>
      </c>
      <c r="I780" s="153" t="n">
        <v>934445</v>
      </c>
      <c r="J780" s="153" t="n">
        <v>7488</v>
      </c>
      <c r="K780" s="153" t="n">
        <v>7277</v>
      </c>
      <c r="L780" s="153" t="n">
        <v>1310</v>
      </c>
      <c r="M780" s="11" t="n"/>
      <c r="N780" s="153" t="n">
        <v>5585</v>
      </c>
      <c r="O780" s="11" t="n"/>
      <c r="P780" s="11" t="n"/>
      <c r="Q780" s="12" t="n"/>
      <c r="R780" s="11" t="n"/>
      <c r="S780" s="11" t="n"/>
      <c r="T780" s="11" t="n"/>
      <c r="U780" s="11" t="n"/>
      <c r="V780" s="154" t="n"/>
      <c r="W780" s="11" t="n"/>
      <c r="X780" s="13" t="n"/>
      <c r="Y780" s="13" t="n"/>
      <c r="Z780" s="13" t="n"/>
      <c r="AA780" s="13" t="n"/>
      <c r="AB780" s="13" t="n"/>
      <c r="AC780" s="13" t="n"/>
      <c r="AD780" s="13" t="n"/>
      <c r="AE780" s="13" t="n"/>
      <c r="AF780" s="13" t="n"/>
      <c r="AG780" s="13" t="n"/>
      <c r="AH780" s="13" t="n"/>
      <c r="AI780" s="13" t="n"/>
    </row>
    <row r="781">
      <c r="A781" s="14" t="n">
        <v>202501</v>
      </c>
      <c r="B781" s="15">
        <f>LEFT(creditcard[[#This Row],[YYYYMM]],4)</f>
        <v/>
      </c>
      <c r="C781" s="15">
        <f>RIGHT(creditcard[[#This Row],[YYYYMM]],2)</f>
        <v/>
      </c>
      <c r="D781" s="15">
        <f>IF(RIGHT(creditcard[[#This Row],[YYYYMM]],2)="--","--","Q"&amp;ROUNDUP(VALUE(RIGHT(creditcard[[#This Row],[YYYYMM]],2))/3,0))</f>
        <v/>
      </c>
      <c r="E781" s="15" t="n">
        <v>10</v>
      </c>
      <c r="F781" s="155" t="inlineStr">
        <is>
          <t>遠東</t>
        </is>
      </c>
      <c r="G781" s="156" t="inlineStr">
        <is>
          <t>10 遠東</t>
        </is>
      </c>
      <c r="H781" s="157" t="n">
        <v>1356785</v>
      </c>
      <c r="I781" s="157" t="n">
        <v>947191</v>
      </c>
      <c r="J781" s="157" t="n">
        <v>7830</v>
      </c>
      <c r="K781" s="157" t="n">
        <v>7275</v>
      </c>
      <c r="L781" s="157" t="n">
        <v>3990</v>
      </c>
      <c r="M781" s="16" t="n"/>
      <c r="N781" s="157" t="n">
        <v>3775</v>
      </c>
      <c r="O781" s="16" t="n"/>
      <c r="P781" s="16" t="n"/>
      <c r="Q781" s="17" t="n"/>
      <c r="R781" s="16" t="n"/>
      <c r="S781" s="16" t="n"/>
      <c r="T781" s="16" t="n"/>
      <c r="U781" s="16" t="n"/>
      <c r="V781" s="158" t="n"/>
      <c r="W781" s="16" t="n"/>
      <c r="X781" s="18" t="n"/>
      <c r="Y781" s="18" t="n"/>
      <c r="Z781" s="18" t="n"/>
      <c r="AA781" s="18" t="n"/>
      <c r="AB781" s="18" t="n"/>
      <c r="AC781" s="18" t="n"/>
      <c r="AD781" s="18" t="n"/>
      <c r="AE781" s="18" t="n"/>
      <c r="AF781" s="18" t="n"/>
      <c r="AG781" s="18" t="n"/>
      <c r="AH781" s="18" t="n"/>
      <c r="AI781" s="18" t="n"/>
    </row>
    <row r="782">
      <c r="A782" s="9" t="n">
        <v>202501</v>
      </c>
      <c r="B782" s="10">
        <f>LEFT(creditcard[[#This Row],[YYYYMM]],4)</f>
        <v/>
      </c>
      <c r="C782" s="10">
        <f>RIGHT(creditcard[[#This Row],[YYYYMM]],2)</f>
        <v/>
      </c>
      <c r="D782" s="10">
        <f>IF(RIGHT(creditcard[[#This Row],[YYYYMM]],2)="--","--","Q"&amp;ROUNDUP(VALUE(RIGHT(creditcard[[#This Row],[YYYYMM]],2))/3,0))</f>
        <v/>
      </c>
      <c r="E782" s="10" t="n">
        <v>11</v>
      </c>
      <c r="F782" s="151" t="inlineStr">
        <is>
          <t>市場總計</t>
        </is>
      </c>
      <c r="G782" s="152" t="inlineStr">
        <is>
          <t>11 市場總計</t>
        </is>
      </c>
      <c r="H782" s="153" t="n">
        <v>58654745</v>
      </c>
      <c r="I782" s="153" t="n">
        <v>39072550</v>
      </c>
      <c r="J782" s="153" t="n">
        <v>387466</v>
      </c>
      <c r="K782" s="153" t="n">
        <v>332907</v>
      </c>
      <c r="L782" s="153" t="n">
        <v>113560.448</v>
      </c>
      <c r="M782" s="161" t="n">
        <v>184844.306</v>
      </c>
      <c r="N782" s="153" t="n">
        <v>338561.389</v>
      </c>
      <c r="O782" s="161" t="n">
        <v>1344.945</v>
      </c>
      <c r="P782" s="12" t="n">
        <v>0.002804760291909401</v>
      </c>
      <c r="Q782" s="12" t="n">
        <v>0.0003393677029996041</v>
      </c>
      <c r="R782" s="20" t="n">
        <v>4.648549380099057</v>
      </c>
      <c r="S782" s="161" t="n">
        <v>654.75</v>
      </c>
      <c r="T782" s="161" t="n">
        <v>654.75</v>
      </c>
      <c r="U782" s="11" t="n"/>
      <c r="V782" s="154" t="n">
        <v>4.58</v>
      </c>
      <c r="W782" s="11">
        <f>SUMIFS(H:H,A:A,creditcard[[#This Row],[YYYYMM]],G:G,creditcard[[#This Row],[Item]])</f>
        <v/>
      </c>
      <c r="X782" s="4">
        <f>IFERROR(SUMIFS(H:H,A:A,creditcard[[#This Row],[YYYYMM]],E:E,"&lt;=5")/creditcard[[#This Row],[市場總計]],"")</f>
        <v/>
      </c>
      <c r="Y782" s="4">
        <f>IFERROR(SUMIFS(H:H,A:A,creditcard[[#This Row],[YYYYMM]],E:E,"&lt;=10")/creditcard[[#This Row],[市場總計]],"")</f>
        <v/>
      </c>
      <c r="Z782" s="4">
        <f>IFERROR(SUMIFS(I:I,A:A,creditcard[[#This Row],[YYYYMM]],E:E,"&lt;=5")/creditcard[[#This Row],[有效卡數]],"")</f>
        <v/>
      </c>
      <c r="AA782" s="4">
        <f>IFERROR(SUMIFS(I:I,A:A,creditcard[[#This Row],[YYYYMM]],E:E,"&lt;=10")/creditcard[[#This Row],[有效卡數]],"")</f>
        <v/>
      </c>
      <c r="AB782" s="4">
        <f>IFERROR(SUMIFS(J:J,A:A,creditcard[[#This Row],[YYYYMM]],E:E,"&lt;=5")/creditcard[[#This Row],[當月發卡數]],"")</f>
        <v/>
      </c>
      <c r="AC782" s="4">
        <f>IFERROR(SUMIFS(J:J,A:A,creditcard[[#This Row],[YYYYMM]],E:E,"&lt;=10")/creditcard[[#This Row],[當月發卡數]],"")</f>
        <v/>
      </c>
      <c r="AD782" s="4">
        <f>IFERROR(SUMIFS(K:K,A:A,creditcard[[#This Row],[YYYYMM]],E:E,"&lt;=5")/creditcard[[#This Row],[當月停卡數]],"")</f>
        <v/>
      </c>
      <c r="AE782" s="4">
        <f>IFERROR(SUMIFS(K:K,A:A,creditcard[[#This Row],[YYYYMM]],E:E,"&lt;=10")/creditcard[[#This Row],[當月停卡數]],"")</f>
        <v/>
      </c>
      <c r="AF782" s="4">
        <f>IFERROR(SUMIFS(L:L,A:A,creditcard[[#This Row],[YYYYMM]],E:E,"&lt;=5")/creditcard[[#This Row],[循環信用餘額]],"")</f>
        <v/>
      </c>
      <c r="AG782" s="4">
        <f>IFERROR(SUMIFS(L:L,A:A,creditcard[[#This Row],[YYYYMM]],E:E,"&lt;=10")/creditcard[[#This Row],[循環信用餘額]],"")</f>
        <v/>
      </c>
      <c r="AH782" s="4">
        <f>IFERROR(SUMIFS(N:N,A:A,creditcard[[#This Row],[YYYYMM]],E:E,"&lt;=5")/creditcard[[#This Row],[當月簽帳金額]],"")</f>
        <v/>
      </c>
      <c r="AI782" s="4">
        <f>IFERROR(SUMIFS(N:N,A:A,creditcard[[#This Row],[YYYYMM]],E:E,"&lt;=10")/creditcard[[#This Row],[當月簽帳金額]],"")</f>
        <v/>
      </c>
    </row>
    <row r="783">
      <c r="A783" s="14" t="n">
        <v>202502</v>
      </c>
      <c r="B783" s="15">
        <f>LEFT(creditcard[[#This Row],[YYYYMM]],4)</f>
        <v/>
      </c>
      <c r="C783" s="15">
        <f>RIGHT(creditcard[[#This Row],[YYYYMM]],2)</f>
        <v/>
      </c>
      <c r="D783" s="15">
        <f>IF(RIGHT(creditcard[[#This Row],[YYYYMM]],2)="--","--","Q"&amp;ROUNDUP(VALUE(RIGHT(creditcard[[#This Row],[YYYYMM]],2))/3,0))</f>
        <v/>
      </c>
      <c r="E783" s="15" t="n">
        <v>1</v>
      </c>
      <c r="F783" s="155" t="inlineStr">
        <is>
          <t>中信</t>
        </is>
      </c>
      <c r="G783" s="156" t="inlineStr">
        <is>
          <t>01 中信</t>
        </is>
      </c>
      <c r="H783" s="157" t="n">
        <v>9139260</v>
      </c>
      <c r="I783" s="157" t="n">
        <v>6011148</v>
      </c>
      <c r="J783" s="157" t="n">
        <v>74221</v>
      </c>
      <c r="K783" s="157" t="n">
        <v>99238</v>
      </c>
      <c r="L783" s="157" t="n">
        <v>16935</v>
      </c>
      <c r="M783" s="16" t="n"/>
      <c r="N783" s="157" t="n">
        <v>70550</v>
      </c>
      <c r="O783" s="16" t="n"/>
      <c r="P783" s="16" t="n"/>
      <c r="Q783" s="17" t="n"/>
      <c r="R783" s="16" t="n"/>
      <c r="S783" s="16" t="n"/>
      <c r="T783" s="16" t="n"/>
      <c r="U783" s="16" t="n"/>
      <c r="V783" s="158" t="n"/>
      <c r="W783" s="16" t="n"/>
      <c r="X783" s="18" t="n"/>
      <c r="Y783" s="18" t="n"/>
      <c r="Z783" s="18" t="n"/>
      <c r="AA783" s="18" t="n"/>
      <c r="AB783" s="18" t="n"/>
      <c r="AC783" s="18" t="n"/>
      <c r="AD783" s="18" t="n"/>
      <c r="AE783" s="18" t="n"/>
      <c r="AF783" s="18" t="n"/>
      <c r="AG783" s="18" t="n"/>
      <c r="AH783" s="18" t="n"/>
      <c r="AI783" s="18" t="n"/>
    </row>
    <row r="784">
      <c r="A784" s="9" t="n">
        <v>202502</v>
      </c>
      <c r="B784" s="10">
        <f>LEFT(creditcard[[#This Row],[YYYYMM]],4)</f>
        <v/>
      </c>
      <c r="C784" s="10">
        <f>RIGHT(creditcard[[#This Row],[YYYYMM]],2)</f>
        <v/>
      </c>
      <c r="D784" s="10">
        <f>IF(RIGHT(creditcard[[#This Row],[YYYYMM]],2)="--","--","Q"&amp;ROUNDUP(VALUE(RIGHT(creditcard[[#This Row],[YYYYMM]],2))/3,0))</f>
        <v/>
      </c>
      <c r="E784" s="10" t="n">
        <v>2</v>
      </c>
      <c r="F784" s="151" t="inlineStr">
        <is>
          <t>富邦</t>
        </is>
      </c>
      <c r="G784" s="152" t="inlineStr">
        <is>
          <t>02 富邦</t>
        </is>
      </c>
      <c r="H784" s="153" t="n">
        <v>7326844</v>
      </c>
      <c r="I784" s="153" t="n">
        <v>5764644</v>
      </c>
      <c r="J784" s="153" t="n">
        <v>46045</v>
      </c>
      <c r="K784" s="153" t="n">
        <v>20628</v>
      </c>
      <c r="L784" s="153" t="n">
        <v>10798</v>
      </c>
      <c r="M784" s="11" t="n"/>
      <c r="N784" s="153" t="n">
        <v>52266</v>
      </c>
      <c r="O784" s="11" t="n"/>
      <c r="P784" s="11" t="n"/>
      <c r="Q784" s="12" t="n"/>
      <c r="R784" s="11" t="n"/>
      <c r="S784" s="11" t="n"/>
      <c r="T784" s="11" t="n"/>
      <c r="U784" s="11" t="n"/>
      <c r="V784" s="154" t="n"/>
      <c r="W784" s="11" t="n"/>
      <c r="X784" s="13" t="n"/>
      <c r="Y784" s="13" t="n"/>
      <c r="Z784" s="13" t="n"/>
      <c r="AA784" s="13" t="n"/>
      <c r="AB784" s="13" t="n"/>
      <c r="AC784" s="13" t="n"/>
      <c r="AD784" s="13" t="n"/>
      <c r="AE784" s="13" t="n"/>
      <c r="AF784" s="13" t="n"/>
      <c r="AG784" s="13" t="n"/>
      <c r="AH784" s="13" t="n"/>
      <c r="AI784" s="13" t="n"/>
    </row>
    <row r="785">
      <c r="A785" s="14" t="n">
        <v>202502</v>
      </c>
      <c r="B785" s="15">
        <f>LEFT(creditcard[[#This Row],[YYYYMM]],4)</f>
        <v/>
      </c>
      <c r="C785" s="15">
        <f>RIGHT(creditcard[[#This Row],[YYYYMM]],2)</f>
        <v/>
      </c>
      <c r="D785" s="15">
        <f>IF(RIGHT(creditcard[[#This Row],[YYYYMM]],2)="--","--","Q"&amp;ROUNDUP(VALUE(RIGHT(creditcard[[#This Row],[YYYYMM]],2))/3,0))</f>
        <v/>
      </c>
      <c r="E785" s="15" t="n">
        <v>3</v>
      </c>
      <c r="F785" s="155" t="inlineStr">
        <is>
          <t>國泰</t>
        </is>
      </c>
      <c r="G785" s="156" t="inlineStr">
        <is>
          <t>03 國泰</t>
        </is>
      </c>
      <c r="H785" s="157" t="n">
        <v>7510445</v>
      </c>
      <c r="I785" s="157" t="n">
        <v>5016580</v>
      </c>
      <c r="J785" s="157" t="n">
        <v>46909</v>
      </c>
      <c r="K785" s="157" t="n">
        <v>36768</v>
      </c>
      <c r="L785" s="157" t="n">
        <v>21244</v>
      </c>
      <c r="M785" s="16" t="n"/>
      <c r="N785" s="157" t="n">
        <v>69749</v>
      </c>
      <c r="O785" s="16" t="n"/>
      <c r="P785" s="16" t="n"/>
      <c r="Q785" s="17" t="n"/>
      <c r="R785" s="16" t="n"/>
      <c r="S785" s="16" t="n"/>
      <c r="T785" s="16" t="n"/>
      <c r="U785" s="16" t="n"/>
      <c r="V785" s="158" t="n"/>
      <c r="W785" s="16" t="n"/>
      <c r="X785" s="18" t="n"/>
      <c r="Y785" s="18" t="n"/>
      <c r="Z785" s="18" t="n"/>
      <c r="AA785" s="18" t="n"/>
      <c r="AB785" s="18" t="n"/>
      <c r="AC785" s="18" t="n"/>
      <c r="AD785" s="18" t="n"/>
      <c r="AE785" s="18" t="n"/>
      <c r="AF785" s="18" t="n"/>
      <c r="AG785" s="18" t="n"/>
      <c r="AH785" s="18" t="n"/>
      <c r="AI785" s="18" t="n"/>
    </row>
    <row r="786">
      <c r="A786" s="9" t="n">
        <v>202502</v>
      </c>
      <c r="B786" s="10">
        <f>LEFT(creditcard[[#This Row],[YYYYMM]],4)</f>
        <v/>
      </c>
      <c r="C786" s="10">
        <f>RIGHT(creditcard[[#This Row],[YYYYMM]],2)</f>
        <v/>
      </c>
      <c r="D786" s="10">
        <f>IF(RIGHT(creditcard[[#This Row],[YYYYMM]],2)="--","--","Q"&amp;ROUNDUP(VALUE(RIGHT(creditcard[[#This Row],[YYYYMM]],2))/3,0))</f>
        <v/>
      </c>
      <c r="E786" s="10" t="n">
        <v>4</v>
      </c>
      <c r="F786" s="151" t="inlineStr">
        <is>
          <t>玉山</t>
        </is>
      </c>
      <c r="G786" s="152" t="inlineStr">
        <is>
          <t>04 玉山</t>
        </is>
      </c>
      <c r="H786" s="153" t="n">
        <v>7495399</v>
      </c>
      <c r="I786" s="153" t="n">
        <v>4980846</v>
      </c>
      <c r="J786" s="153" t="n">
        <v>56782</v>
      </c>
      <c r="K786" s="153" t="n">
        <v>38733</v>
      </c>
      <c r="L786" s="153" t="n">
        <v>15691</v>
      </c>
      <c r="M786" s="11" t="n"/>
      <c r="N786" s="153" t="n">
        <v>44618</v>
      </c>
      <c r="O786" s="11" t="n"/>
      <c r="P786" s="11" t="n"/>
      <c r="Q786" s="12" t="n"/>
      <c r="R786" s="11" t="n"/>
      <c r="S786" s="11" t="n"/>
      <c r="T786" s="11" t="n"/>
      <c r="U786" s="11" t="n"/>
      <c r="V786" s="154" t="n"/>
      <c r="W786" s="11" t="n"/>
      <c r="X786" s="13" t="n"/>
      <c r="Y786" s="13" t="n"/>
      <c r="Z786" s="13" t="n"/>
      <c r="AA786" s="13" t="n"/>
      <c r="AB786" s="13" t="n"/>
      <c r="AC786" s="13" t="n"/>
      <c r="AD786" s="13" t="n"/>
      <c r="AE786" s="13" t="n"/>
      <c r="AF786" s="13" t="n"/>
      <c r="AG786" s="13" t="n"/>
      <c r="AH786" s="13" t="n"/>
      <c r="AI786" s="13" t="n"/>
    </row>
    <row r="787">
      <c r="A787" s="14" t="n">
        <v>202502</v>
      </c>
      <c r="B787" s="15">
        <f>LEFT(creditcard[[#This Row],[YYYYMM]],4)</f>
        <v/>
      </c>
      <c r="C787" s="15">
        <f>RIGHT(creditcard[[#This Row],[YYYYMM]],2)</f>
        <v/>
      </c>
      <c r="D787" s="15">
        <f>IF(RIGHT(creditcard[[#This Row],[YYYYMM]],2)="--","--","Q"&amp;ROUNDUP(VALUE(RIGHT(creditcard[[#This Row],[YYYYMM]],2))/3,0))</f>
        <v/>
      </c>
      <c r="E787" s="15" t="n">
        <v>5</v>
      </c>
      <c r="F787" s="155" t="inlineStr">
        <is>
          <t>台新</t>
        </is>
      </c>
      <c r="G787" s="156" t="inlineStr">
        <is>
          <t>05 台新</t>
        </is>
      </c>
      <c r="H787" s="157" t="n">
        <v>6585997</v>
      </c>
      <c r="I787" s="157" t="n">
        <v>4847223</v>
      </c>
      <c r="J787" s="157" t="n">
        <v>38757</v>
      </c>
      <c r="K787" s="157" t="n">
        <v>32530</v>
      </c>
      <c r="L787" s="157" t="n">
        <v>10835</v>
      </c>
      <c r="M787" s="16" t="n"/>
      <c r="N787" s="157" t="n">
        <v>42846</v>
      </c>
      <c r="O787" s="16" t="n"/>
      <c r="P787" s="16" t="n"/>
      <c r="Q787" s="17" t="n"/>
      <c r="R787" s="16" t="n"/>
      <c r="S787" s="16" t="n"/>
      <c r="T787" s="16" t="n"/>
      <c r="U787" s="16" t="n"/>
      <c r="V787" s="158" t="n"/>
      <c r="W787" s="16" t="n"/>
      <c r="X787" s="18" t="n"/>
      <c r="Y787" s="18" t="n"/>
      <c r="Z787" s="18" t="n"/>
      <c r="AA787" s="18" t="n"/>
      <c r="AB787" s="18" t="n"/>
      <c r="AC787" s="18" t="n"/>
      <c r="AD787" s="18" t="n"/>
      <c r="AE787" s="18" t="n"/>
      <c r="AF787" s="18" t="n"/>
      <c r="AG787" s="18" t="n"/>
      <c r="AH787" s="18" t="n"/>
      <c r="AI787" s="18" t="n"/>
    </row>
    <row r="788">
      <c r="A788" s="9" t="n">
        <v>202502</v>
      </c>
      <c r="B788" s="10">
        <f>LEFT(creditcard[[#This Row],[YYYYMM]],4)</f>
        <v/>
      </c>
      <c r="C788" s="10">
        <f>RIGHT(creditcard[[#This Row],[YYYYMM]],2)</f>
        <v/>
      </c>
      <c r="D788" s="10">
        <f>IF(RIGHT(creditcard[[#This Row],[YYYYMM]],2)="--","--","Q"&amp;ROUNDUP(VALUE(RIGHT(creditcard[[#This Row],[YYYYMM]],2))/3,0))</f>
        <v/>
      </c>
      <c r="E788" s="10" t="n">
        <v>6</v>
      </c>
      <c r="F788" s="151" t="inlineStr">
        <is>
          <t>星展</t>
        </is>
      </c>
      <c r="G788" s="152" t="inlineStr">
        <is>
          <t>06 星展</t>
        </is>
      </c>
      <c r="H788" s="153" t="n">
        <v>3292723</v>
      </c>
      <c r="I788" s="153" t="n">
        <v>2041452</v>
      </c>
      <c r="J788" s="153" t="n">
        <v>18226</v>
      </c>
      <c r="K788" s="153" t="n">
        <v>18618</v>
      </c>
      <c r="L788" s="153" t="n">
        <v>8646</v>
      </c>
      <c r="M788" s="11" t="n"/>
      <c r="N788" s="153" t="n">
        <v>23758</v>
      </c>
      <c r="O788" s="11" t="n"/>
      <c r="P788" s="11" t="n"/>
      <c r="Q788" s="12" t="n"/>
      <c r="R788" s="11" t="n"/>
      <c r="S788" s="11" t="n"/>
      <c r="T788" s="11" t="n"/>
      <c r="U788" s="11" t="n"/>
      <c r="V788" s="154" t="n"/>
      <c r="W788" s="11" t="n"/>
      <c r="X788" s="13" t="n"/>
      <c r="Y788" s="13" t="n"/>
      <c r="Z788" s="13" t="n"/>
      <c r="AA788" s="13" t="n"/>
      <c r="AB788" s="13" t="n"/>
      <c r="AC788" s="13" t="n"/>
      <c r="AD788" s="13" t="n"/>
      <c r="AE788" s="13" t="n"/>
      <c r="AF788" s="13" t="n"/>
      <c r="AG788" s="13" t="n"/>
      <c r="AH788" s="13" t="n"/>
      <c r="AI788" s="13" t="n"/>
    </row>
    <row r="789">
      <c r="A789" s="14" t="n">
        <v>202502</v>
      </c>
      <c r="B789" s="15">
        <f>LEFT(creditcard[[#This Row],[YYYYMM]],4)</f>
        <v/>
      </c>
      <c r="C789" s="15">
        <f>RIGHT(creditcard[[#This Row],[YYYYMM]],2)</f>
        <v/>
      </c>
      <c r="D789" s="15">
        <f>IF(RIGHT(creditcard[[#This Row],[YYYYMM]],2)="--","--","Q"&amp;ROUNDUP(VALUE(RIGHT(creditcard[[#This Row],[YYYYMM]],2))/3,0))</f>
        <v/>
      </c>
      <c r="E789" s="15" t="n">
        <v>7</v>
      </c>
      <c r="F789" s="155" t="inlineStr">
        <is>
          <t>聯邦</t>
        </is>
      </c>
      <c r="G789" s="156" t="inlineStr">
        <is>
          <t>07 聯邦</t>
        </is>
      </c>
      <c r="H789" s="157" t="n">
        <v>2761225</v>
      </c>
      <c r="I789" s="157" t="n">
        <v>1862595</v>
      </c>
      <c r="J789" s="157" t="n">
        <v>21987</v>
      </c>
      <c r="K789" s="157" t="n">
        <v>20992</v>
      </c>
      <c r="L789" s="157" t="n">
        <v>6275</v>
      </c>
      <c r="M789" s="16" t="n"/>
      <c r="N789" s="157" t="n">
        <v>13373</v>
      </c>
      <c r="O789" s="16" t="n"/>
      <c r="P789" s="16" t="n"/>
      <c r="Q789" s="17" t="n"/>
      <c r="R789" s="16" t="n"/>
      <c r="S789" s="16" t="n"/>
      <c r="T789" s="16" t="n"/>
      <c r="U789" s="16" t="n"/>
      <c r="V789" s="158" t="n"/>
      <c r="W789" s="16" t="n"/>
      <c r="X789" s="18" t="n"/>
      <c r="Y789" s="18" t="n"/>
      <c r="Z789" s="18" t="n"/>
      <c r="AA789" s="18" t="n"/>
      <c r="AB789" s="18" t="n"/>
      <c r="AC789" s="18" t="n"/>
      <c r="AD789" s="18" t="n"/>
      <c r="AE789" s="18" t="n"/>
      <c r="AF789" s="18" t="n"/>
      <c r="AG789" s="18" t="n"/>
      <c r="AH789" s="18" t="n"/>
      <c r="AI789" s="18" t="n"/>
    </row>
    <row r="790">
      <c r="A790" s="9" t="n">
        <v>202502</v>
      </c>
      <c r="B790" s="10">
        <f>LEFT(creditcard[[#This Row],[YYYYMM]],4)</f>
        <v/>
      </c>
      <c r="C790" s="10">
        <f>RIGHT(creditcard[[#This Row],[YYYYMM]],2)</f>
        <v/>
      </c>
      <c r="D790" s="10">
        <f>IF(RIGHT(creditcard[[#This Row],[YYYYMM]],2)="--","--","Q"&amp;ROUNDUP(VALUE(RIGHT(creditcard[[#This Row],[YYYYMM]],2))/3,0))</f>
        <v/>
      </c>
      <c r="E790" s="10" t="n">
        <v>8</v>
      </c>
      <c r="F790" s="151" t="inlineStr">
        <is>
          <t>永豐</t>
        </is>
      </c>
      <c r="G790" s="152" t="inlineStr">
        <is>
          <t>08 永豐</t>
        </is>
      </c>
      <c r="H790" s="153" t="n">
        <v>2331423</v>
      </c>
      <c r="I790" s="153" t="n">
        <v>1461659</v>
      </c>
      <c r="J790" s="153" t="n">
        <v>41153</v>
      </c>
      <c r="K790" s="153" t="n">
        <v>5951</v>
      </c>
      <c r="L790" s="153" t="n">
        <v>3856</v>
      </c>
      <c r="M790" s="11" t="n"/>
      <c r="N790" s="153" t="n">
        <v>15756</v>
      </c>
      <c r="O790" s="11" t="n"/>
      <c r="P790" s="11" t="n"/>
      <c r="Q790" s="12" t="n"/>
      <c r="R790" s="11" t="n"/>
      <c r="S790" s="11" t="n"/>
      <c r="T790" s="11" t="n"/>
      <c r="U790" s="11" t="n"/>
      <c r="V790" s="154" t="n"/>
      <c r="W790" s="11" t="n"/>
      <c r="X790" s="13" t="n"/>
      <c r="Y790" s="13" t="n"/>
      <c r="Z790" s="13" t="n"/>
      <c r="AA790" s="13" t="n"/>
      <c r="AB790" s="13" t="n"/>
      <c r="AC790" s="13" t="n"/>
      <c r="AD790" s="13" t="n"/>
      <c r="AE790" s="13" t="n"/>
      <c r="AF790" s="13" t="n"/>
      <c r="AG790" s="13" t="n"/>
      <c r="AH790" s="13" t="n"/>
      <c r="AI790" s="13" t="n"/>
    </row>
    <row r="791">
      <c r="A791" s="14" t="n">
        <v>202502</v>
      </c>
      <c r="B791" s="15">
        <f>LEFT(creditcard[[#This Row],[YYYYMM]],4)</f>
        <v/>
      </c>
      <c r="C791" s="15">
        <f>RIGHT(creditcard[[#This Row],[YYYYMM]],2)</f>
        <v/>
      </c>
      <c r="D791" s="15">
        <f>IF(RIGHT(creditcard[[#This Row],[YYYYMM]],2)="--","--","Q"&amp;ROUNDUP(VALUE(RIGHT(creditcard[[#This Row],[YYYYMM]],2))/3,0))</f>
        <v/>
      </c>
      <c r="E791" s="15" t="n">
        <v>9</v>
      </c>
      <c r="F791" s="155" t="inlineStr">
        <is>
          <t>第一</t>
        </is>
      </c>
      <c r="G791" s="156" t="inlineStr">
        <is>
          <t>09 第一</t>
        </is>
      </c>
      <c r="H791" s="157" t="n">
        <v>1480907</v>
      </c>
      <c r="I791" s="157" t="n">
        <v>940183</v>
      </c>
      <c r="J791" s="157" t="n">
        <v>11314</v>
      </c>
      <c r="K791" s="157" t="n">
        <v>6354</v>
      </c>
      <c r="L791" s="157" t="n">
        <v>1261</v>
      </c>
      <c r="M791" s="16" t="n"/>
      <c r="N791" s="157" t="n">
        <v>7043</v>
      </c>
      <c r="O791" s="16" t="n"/>
      <c r="P791" s="16" t="n"/>
      <c r="Q791" s="17" t="n"/>
      <c r="R791" s="16" t="n"/>
      <c r="S791" s="16" t="n"/>
      <c r="T791" s="16" t="n"/>
      <c r="U791" s="16" t="n"/>
      <c r="V791" s="158" t="n"/>
      <c r="W791" s="16" t="n"/>
      <c r="X791" s="18" t="n"/>
      <c r="Y791" s="18" t="n"/>
      <c r="Z791" s="18" t="n"/>
      <c r="AA791" s="18" t="n"/>
      <c r="AB791" s="18" t="n"/>
      <c r="AC791" s="18" t="n"/>
      <c r="AD791" s="18" t="n"/>
      <c r="AE791" s="18" t="n"/>
      <c r="AF791" s="18" t="n"/>
      <c r="AG791" s="18" t="n"/>
      <c r="AH791" s="18" t="n"/>
      <c r="AI791" s="18" t="n"/>
    </row>
    <row r="792">
      <c r="A792" s="9" t="n">
        <v>202502</v>
      </c>
      <c r="B792" s="10">
        <f>LEFT(creditcard[[#This Row],[YYYYMM]],4)</f>
        <v/>
      </c>
      <c r="C792" s="10">
        <f>RIGHT(creditcard[[#This Row],[YYYYMM]],2)</f>
        <v/>
      </c>
      <c r="D792" s="10">
        <f>IF(RIGHT(creditcard[[#This Row],[YYYYMM]],2)="--","--","Q"&amp;ROUNDUP(VALUE(RIGHT(creditcard[[#This Row],[YYYYMM]],2))/3,0))</f>
        <v/>
      </c>
      <c r="E792" s="10" t="n">
        <v>10</v>
      </c>
      <c r="F792" s="151" t="inlineStr">
        <is>
          <t>遠東</t>
        </is>
      </c>
      <c r="G792" s="152" t="inlineStr">
        <is>
          <t>10 遠東</t>
        </is>
      </c>
      <c r="H792" s="153" t="n">
        <v>1357538</v>
      </c>
      <c r="I792" s="153" t="n">
        <v>947720</v>
      </c>
      <c r="J792" s="153" t="n">
        <v>8005</v>
      </c>
      <c r="K792" s="153" t="n">
        <v>7310</v>
      </c>
      <c r="L792" s="153" t="n">
        <v>3238</v>
      </c>
      <c r="M792" s="11" t="n"/>
      <c r="N792" s="153" t="n">
        <v>4549</v>
      </c>
      <c r="O792" s="11" t="n"/>
      <c r="P792" s="11" t="n"/>
      <c r="Q792" s="12" t="n"/>
      <c r="R792" s="11" t="n"/>
      <c r="S792" s="11" t="n"/>
      <c r="T792" s="11" t="n"/>
      <c r="U792" s="11" t="n"/>
      <c r="V792" s="154" t="n"/>
      <c r="W792" s="11" t="n"/>
      <c r="X792" s="13" t="n"/>
      <c r="Y792" s="13" t="n"/>
      <c r="Z792" s="13" t="n"/>
      <c r="AA792" s="13" t="n"/>
      <c r="AB792" s="13" t="n"/>
      <c r="AC792" s="13" t="n"/>
      <c r="AD792" s="13" t="n"/>
      <c r="AE792" s="13" t="n"/>
      <c r="AF792" s="13" t="n"/>
      <c r="AG792" s="13" t="n"/>
      <c r="AH792" s="13" t="n"/>
      <c r="AI792" s="13" t="n"/>
    </row>
    <row r="793">
      <c r="A793" s="14" t="n">
        <v>202502</v>
      </c>
      <c r="B793" s="15">
        <f>LEFT(creditcard[[#This Row],[YYYYMM]],4)</f>
        <v/>
      </c>
      <c r="C793" s="15">
        <f>RIGHT(creditcard[[#This Row],[YYYYMM]],2)</f>
        <v/>
      </c>
      <c r="D793" s="15">
        <f>IF(RIGHT(creditcard[[#This Row],[YYYYMM]],2)="--","--","Q"&amp;ROUNDUP(VALUE(RIGHT(creditcard[[#This Row],[YYYYMM]],2))/3,0))</f>
        <v/>
      </c>
      <c r="E793" s="15" t="n">
        <v>11</v>
      </c>
      <c r="F793" s="155" t="inlineStr">
        <is>
          <t>市場總計</t>
        </is>
      </c>
      <c r="G793" s="156" t="inlineStr">
        <is>
          <t>11 市場總計</t>
        </is>
      </c>
      <c r="H793" s="157" t="n">
        <v>58747562</v>
      </c>
      <c r="I793" s="157" t="n">
        <v>39190270</v>
      </c>
      <c r="J793" s="157" t="n">
        <v>423604</v>
      </c>
      <c r="K793" s="157" t="n">
        <v>346726</v>
      </c>
      <c r="L793" s="157" t="n">
        <v>112808.177</v>
      </c>
      <c r="M793" s="160" t="n">
        <v>175516.344</v>
      </c>
      <c r="N793" s="157" t="n">
        <v>395294.658</v>
      </c>
      <c r="O793" s="160" t="n">
        <v>1328.874</v>
      </c>
      <c r="P793" s="17" t="n">
        <v>0.003034006597028785</v>
      </c>
      <c r="Q793" s="17" t="n">
        <v>0.000396458842832008</v>
      </c>
      <c r="R793" s="19" t="n">
        <v>4.573</v>
      </c>
      <c r="S793" s="160" t="n">
        <v>611.054</v>
      </c>
      <c r="T793" s="160" t="n">
        <v>1265.804</v>
      </c>
      <c r="U793" s="16" t="n"/>
      <c r="V793" s="158" t="n">
        <v>4.58</v>
      </c>
      <c r="W793" s="16">
        <f>SUMIFS(H:H,A:A,creditcard[[#This Row],[YYYYMM]],G:G,creditcard[[#This Row],[Item]])</f>
        <v/>
      </c>
      <c r="X793" s="4">
        <f>IFERROR(SUMIFS(H:H,A:A,creditcard[[#This Row],[YYYYMM]],E:E,"&lt;=5")/creditcard[[#This Row],[市場總計]],"")</f>
        <v/>
      </c>
      <c r="Y793" s="4">
        <f>IFERROR(SUMIFS(H:H,A:A,creditcard[[#This Row],[YYYYMM]],E:E,"&lt;=10")/creditcard[[#This Row],[市場總計]],"")</f>
        <v/>
      </c>
      <c r="Z793" s="4">
        <f>IFERROR(SUMIFS(I:I,A:A,creditcard[[#This Row],[YYYYMM]],E:E,"&lt;=5")/creditcard[[#This Row],[有效卡數]],"")</f>
        <v/>
      </c>
      <c r="AA793" s="4">
        <f>IFERROR(SUMIFS(I:I,A:A,creditcard[[#This Row],[YYYYMM]],E:E,"&lt;=10")/creditcard[[#This Row],[有效卡數]],"")</f>
        <v/>
      </c>
      <c r="AB793" s="4">
        <f>IFERROR(SUMIFS(J:J,A:A,creditcard[[#This Row],[YYYYMM]],E:E,"&lt;=5")/creditcard[[#This Row],[當月發卡數]],"")</f>
        <v/>
      </c>
      <c r="AC793" s="4">
        <f>IFERROR(SUMIFS(J:J,A:A,creditcard[[#This Row],[YYYYMM]],E:E,"&lt;=10")/creditcard[[#This Row],[當月發卡數]],"")</f>
        <v/>
      </c>
      <c r="AD793" s="4">
        <f>IFERROR(SUMIFS(K:K,A:A,creditcard[[#This Row],[YYYYMM]],E:E,"&lt;=5")/creditcard[[#This Row],[當月停卡數]],"")</f>
        <v/>
      </c>
      <c r="AE793" s="4">
        <f>IFERROR(SUMIFS(K:K,A:A,creditcard[[#This Row],[YYYYMM]],E:E,"&lt;=10")/creditcard[[#This Row],[當月停卡數]],"")</f>
        <v/>
      </c>
      <c r="AF793" s="4">
        <f>IFERROR(SUMIFS(L:L,A:A,creditcard[[#This Row],[YYYYMM]],E:E,"&lt;=5")/creditcard[[#This Row],[循環信用餘額]],"")</f>
        <v/>
      </c>
      <c r="AG793" s="4">
        <f>IFERROR(SUMIFS(L:L,A:A,creditcard[[#This Row],[YYYYMM]],E:E,"&lt;=10")/creditcard[[#This Row],[循環信用餘額]],"")</f>
        <v/>
      </c>
      <c r="AH793" s="4">
        <f>IFERROR(SUMIFS(N:N,A:A,creditcard[[#This Row],[YYYYMM]],E:E,"&lt;=5")/creditcard[[#This Row],[當月簽帳金額]],"")</f>
        <v/>
      </c>
      <c r="AI793" s="4">
        <f>IFERROR(SUMIFS(N:N,A:A,creditcard[[#This Row],[YYYYMM]],E:E,"&lt;=10")/creditcard[[#This Row],[當月簽帳金額]],"")</f>
        <v/>
      </c>
    </row>
    <row r="794">
      <c r="A794" s="9" t="n">
        <v>202503</v>
      </c>
      <c r="B794" s="10">
        <f>LEFT(creditcard[[#This Row],[YYYYMM]],4)</f>
        <v/>
      </c>
      <c r="C794" s="10">
        <f>RIGHT(creditcard[[#This Row],[YYYYMM]],2)</f>
        <v/>
      </c>
      <c r="D794" s="10">
        <f>IF(RIGHT(creditcard[[#This Row],[YYYYMM]],2)="--","--","Q"&amp;ROUNDUP(VALUE(RIGHT(creditcard[[#This Row],[YYYYMM]],2))/3,0))</f>
        <v/>
      </c>
      <c r="E794" s="10" t="n">
        <v>1</v>
      </c>
      <c r="F794" s="151" t="inlineStr">
        <is>
          <t>中信</t>
        </is>
      </c>
      <c r="G794" s="152" t="inlineStr">
        <is>
          <t>01 中信</t>
        </is>
      </c>
      <c r="H794" s="153" t="n">
        <v>9117163</v>
      </c>
      <c r="I794" s="153" t="n">
        <v>6022702</v>
      </c>
      <c r="J794" s="153" t="n">
        <v>98917</v>
      </c>
      <c r="K794" s="153" t="n">
        <v>121014</v>
      </c>
      <c r="L794" s="153" t="n">
        <v>17185</v>
      </c>
      <c r="M794" s="11" t="n"/>
      <c r="N794" s="153" t="n">
        <v>66880</v>
      </c>
      <c r="O794" s="11" t="n"/>
      <c r="P794" s="11" t="n"/>
      <c r="Q794" s="12" t="n"/>
      <c r="R794" s="11" t="n"/>
      <c r="S794" s="11" t="n"/>
      <c r="T794" s="11" t="n"/>
      <c r="U794" s="11" t="n"/>
      <c r="V794" s="154" t="n"/>
      <c r="W794" s="11" t="n"/>
      <c r="X794" s="13" t="n"/>
      <c r="Y794" s="13" t="n"/>
      <c r="Z794" s="13" t="n"/>
      <c r="AA794" s="13" t="n"/>
      <c r="AB794" s="13" t="n"/>
      <c r="AC794" s="13" t="n"/>
      <c r="AD794" s="13" t="n"/>
      <c r="AE794" s="13" t="n"/>
      <c r="AF794" s="13" t="n"/>
      <c r="AG794" s="13" t="n"/>
      <c r="AH794" s="13" t="n"/>
      <c r="AI794" s="13" t="n"/>
    </row>
    <row r="795">
      <c r="A795" s="14" t="n">
        <v>202503</v>
      </c>
      <c r="B795" s="15">
        <f>LEFT(creditcard[[#This Row],[YYYYMM]],4)</f>
        <v/>
      </c>
      <c r="C795" s="15">
        <f>RIGHT(creditcard[[#This Row],[YYYYMM]],2)</f>
        <v/>
      </c>
      <c r="D795" s="15">
        <f>IF(RIGHT(creditcard[[#This Row],[YYYYMM]],2)="--","--","Q"&amp;ROUNDUP(VALUE(RIGHT(creditcard[[#This Row],[YYYYMM]],2))/3,0))</f>
        <v/>
      </c>
      <c r="E795" s="15" t="n">
        <v>2</v>
      </c>
      <c r="F795" s="155" t="inlineStr">
        <is>
          <t>富邦</t>
        </is>
      </c>
      <c r="G795" s="156" t="inlineStr">
        <is>
          <t>02 富邦</t>
        </is>
      </c>
      <c r="H795" s="157" t="n">
        <v>7407708</v>
      </c>
      <c r="I795" s="157" t="n">
        <v>5780699</v>
      </c>
      <c r="J795" s="157" t="n">
        <v>101393</v>
      </c>
      <c r="K795" s="157" t="n">
        <v>20529</v>
      </c>
      <c r="L795" s="157" t="n">
        <v>10573</v>
      </c>
      <c r="M795" s="16" t="n"/>
      <c r="N795" s="157" t="n">
        <v>48022</v>
      </c>
      <c r="O795" s="16" t="n"/>
      <c r="P795" s="16" t="n"/>
      <c r="Q795" s="17" t="n"/>
      <c r="R795" s="16" t="n"/>
      <c r="S795" s="16" t="n"/>
      <c r="T795" s="16" t="n"/>
      <c r="U795" s="16" t="n"/>
      <c r="V795" s="158" t="n"/>
      <c r="W795" s="16" t="n"/>
      <c r="X795" s="18" t="n"/>
      <c r="Y795" s="18" t="n"/>
      <c r="Z795" s="18" t="n"/>
      <c r="AA795" s="18" t="n"/>
      <c r="AB795" s="18" t="n"/>
      <c r="AC795" s="18" t="n"/>
      <c r="AD795" s="18" t="n"/>
      <c r="AE795" s="18" t="n"/>
      <c r="AF795" s="18" t="n"/>
      <c r="AG795" s="18" t="n"/>
      <c r="AH795" s="18" t="n"/>
      <c r="AI795" s="18" t="n"/>
    </row>
    <row r="796">
      <c r="A796" s="9" t="n">
        <v>202503</v>
      </c>
      <c r="B796" s="10">
        <f>LEFT(creditcard[[#This Row],[YYYYMM]],4)</f>
        <v/>
      </c>
      <c r="C796" s="10">
        <f>RIGHT(creditcard[[#This Row],[YYYYMM]],2)</f>
        <v/>
      </c>
      <c r="D796" s="10">
        <f>IF(RIGHT(creditcard[[#This Row],[YYYYMM]],2)="--","--","Q"&amp;ROUNDUP(VALUE(RIGHT(creditcard[[#This Row],[YYYYMM]],2))/3,0))</f>
        <v/>
      </c>
      <c r="E796" s="10" t="n">
        <v>3</v>
      </c>
      <c r="F796" s="151" t="inlineStr">
        <is>
          <t>國泰</t>
        </is>
      </c>
      <c r="G796" s="152" t="inlineStr">
        <is>
          <t>03 國泰</t>
        </is>
      </c>
      <c r="H796" s="153" t="n">
        <v>7405873</v>
      </c>
      <c r="I796" s="153" t="n">
        <v>5039187</v>
      </c>
      <c r="J796" s="153" t="n">
        <v>51941</v>
      </c>
      <c r="K796" s="153" t="n">
        <v>156513</v>
      </c>
      <c r="L796" s="153" t="n">
        <v>20424</v>
      </c>
      <c r="M796" s="11" t="n"/>
      <c r="N796" s="153" t="n">
        <v>65888</v>
      </c>
      <c r="O796" s="11" t="n"/>
      <c r="P796" s="11" t="n"/>
      <c r="Q796" s="12" t="n"/>
      <c r="R796" s="11" t="n"/>
      <c r="S796" s="11" t="n"/>
      <c r="T796" s="11" t="n"/>
      <c r="U796" s="11" t="n"/>
      <c r="V796" s="154" t="n"/>
      <c r="W796" s="11" t="n"/>
      <c r="X796" s="13" t="n"/>
      <c r="Y796" s="13" t="n"/>
      <c r="Z796" s="13" t="n"/>
      <c r="AA796" s="13" t="n"/>
      <c r="AB796" s="13" t="n"/>
      <c r="AC796" s="13" t="n"/>
      <c r="AD796" s="13" t="n"/>
      <c r="AE796" s="13" t="n"/>
      <c r="AF796" s="13" t="n"/>
      <c r="AG796" s="13" t="n"/>
      <c r="AH796" s="13" t="n"/>
      <c r="AI796" s="13" t="n"/>
    </row>
    <row r="797">
      <c r="A797" s="14" t="n">
        <v>202503</v>
      </c>
      <c r="B797" s="15">
        <f>LEFT(creditcard[[#This Row],[YYYYMM]],4)</f>
        <v/>
      </c>
      <c r="C797" s="15">
        <f>RIGHT(creditcard[[#This Row],[YYYYMM]],2)</f>
        <v/>
      </c>
      <c r="D797" s="15">
        <f>IF(RIGHT(creditcard[[#This Row],[YYYYMM]],2)="--","--","Q"&amp;ROUNDUP(VALUE(RIGHT(creditcard[[#This Row],[YYYYMM]],2))/3,0))</f>
        <v/>
      </c>
      <c r="E797" s="15" t="n">
        <v>4</v>
      </c>
      <c r="F797" s="155" t="inlineStr">
        <is>
          <t>玉山</t>
        </is>
      </c>
      <c r="G797" s="156" t="inlineStr">
        <is>
          <t>04 玉山</t>
        </is>
      </c>
      <c r="H797" s="157" t="n">
        <v>7730479</v>
      </c>
      <c r="I797" s="157" t="n">
        <v>4967111</v>
      </c>
      <c r="J797" s="157" t="n">
        <v>274931</v>
      </c>
      <c r="K797" s="157" t="n">
        <v>39851</v>
      </c>
      <c r="L797" s="157" t="n">
        <v>17145</v>
      </c>
      <c r="M797" s="16" t="n"/>
      <c r="N797" s="157" t="n">
        <v>45519</v>
      </c>
      <c r="O797" s="16" t="n"/>
      <c r="P797" s="16" t="n"/>
      <c r="Q797" s="17" t="n"/>
      <c r="R797" s="16" t="n"/>
      <c r="S797" s="16" t="n"/>
      <c r="T797" s="16" t="n"/>
      <c r="U797" s="16" t="n"/>
      <c r="V797" s="158" t="n"/>
      <c r="W797" s="16" t="n"/>
      <c r="X797" s="18" t="n"/>
      <c r="Y797" s="18" t="n"/>
      <c r="Z797" s="18" t="n"/>
      <c r="AA797" s="18" t="n"/>
      <c r="AB797" s="18" t="n"/>
      <c r="AC797" s="18" t="n"/>
      <c r="AD797" s="18" t="n"/>
      <c r="AE797" s="18" t="n"/>
      <c r="AF797" s="18" t="n"/>
      <c r="AG797" s="18" t="n"/>
      <c r="AH797" s="18" t="n"/>
      <c r="AI797" s="18" t="n"/>
    </row>
    <row r="798">
      <c r="A798" s="9" t="n">
        <v>202503</v>
      </c>
      <c r="B798" s="10">
        <f>LEFT(creditcard[[#This Row],[YYYYMM]],4)</f>
        <v/>
      </c>
      <c r="C798" s="10">
        <f>RIGHT(creditcard[[#This Row],[YYYYMM]],2)</f>
        <v/>
      </c>
      <c r="D798" s="10">
        <f>IF(RIGHT(creditcard[[#This Row],[YYYYMM]],2)="--","--","Q"&amp;ROUNDUP(VALUE(RIGHT(creditcard[[#This Row],[YYYYMM]],2))/3,0))</f>
        <v/>
      </c>
      <c r="E798" s="10" t="n">
        <v>5</v>
      </c>
      <c r="F798" s="151" t="inlineStr">
        <is>
          <t>台新</t>
        </is>
      </c>
      <c r="G798" s="152" t="inlineStr">
        <is>
          <t>05 台新</t>
        </is>
      </c>
      <c r="H798" s="153" t="n">
        <v>6588915</v>
      </c>
      <c r="I798" s="153" t="n">
        <v>4846808</v>
      </c>
      <c r="J798" s="153" t="n">
        <v>40354</v>
      </c>
      <c r="K798" s="153" t="n">
        <v>37436</v>
      </c>
      <c r="L798" s="153" t="n">
        <v>10824</v>
      </c>
      <c r="M798" s="11" t="n"/>
      <c r="N798" s="153" t="n">
        <v>39655</v>
      </c>
      <c r="O798" s="11" t="n"/>
      <c r="P798" s="11" t="n"/>
      <c r="Q798" s="12" t="n"/>
      <c r="R798" s="11" t="n"/>
      <c r="S798" s="11" t="n"/>
      <c r="T798" s="11" t="n"/>
      <c r="U798" s="11" t="n"/>
      <c r="V798" s="154" t="n"/>
      <c r="W798" s="11" t="n"/>
      <c r="X798" s="13" t="n"/>
      <c r="Y798" s="13" t="n"/>
      <c r="Z798" s="13" t="n"/>
      <c r="AA798" s="13" t="n"/>
      <c r="AB798" s="13" t="n"/>
      <c r="AC798" s="13" t="n"/>
      <c r="AD798" s="13" t="n"/>
      <c r="AE798" s="13" t="n"/>
      <c r="AF798" s="13" t="n"/>
      <c r="AG798" s="13" t="n"/>
      <c r="AH798" s="13" t="n"/>
      <c r="AI798" s="13" t="n"/>
    </row>
    <row r="799">
      <c r="A799" s="14" t="n">
        <v>202503</v>
      </c>
      <c r="B799" s="15">
        <f>LEFT(creditcard[[#This Row],[YYYYMM]],4)</f>
        <v/>
      </c>
      <c r="C799" s="15">
        <f>RIGHT(creditcard[[#This Row],[YYYYMM]],2)</f>
        <v/>
      </c>
      <c r="D799" s="15">
        <f>IF(RIGHT(creditcard[[#This Row],[YYYYMM]],2)="--","--","Q"&amp;ROUNDUP(VALUE(RIGHT(creditcard[[#This Row],[YYYYMM]],2))/3,0))</f>
        <v/>
      </c>
      <c r="E799" s="15" t="n">
        <v>6</v>
      </c>
      <c r="F799" s="155" t="inlineStr">
        <is>
          <t>星展</t>
        </is>
      </c>
      <c r="G799" s="156" t="inlineStr">
        <is>
          <t>06 星展</t>
        </is>
      </c>
      <c r="H799" s="157" t="n">
        <v>3298447</v>
      </c>
      <c r="I799" s="157" t="n">
        <v>2040784</v>
      </c>
      <c r="J799" s="157" t="n">
        <v>15856</v>
      </c>
      <c r="K799" s="157" t="n">
        <v>21177</v>
      </c>
      <c r="L799" s="157" t="n">
        <v>8610</v>
      </c>
      <c r="M799" s="16" t="n"/>
      <c r="N799" s="157" t="n">
        <v>21652</v>
      </c>
      <c r="O799" s="16" t="n"/>
      <c r="P799" s="16" t="n"/>
      <c r="Q799" s="17" t="n"/>
      <c r="R799" s="16" t="n"/>
      <c r="S799" s="16" t="n"/>
      <c r="T799" s="16" t="n"/>
      <c r="U799" s="16" t="n"/>
      <c r="V799" s="158" t="n"/>
      <c r="W799" s="16" t="n"/>
      <c r="X799" s="18" t="n"/>
      <c r="Y799" s="18" t="n"/>
      <c r="Z799" s="18" t="n"/>
      <c r="AA799" s="18" t="n"/>
      <c r="AB799" s="18" t="n"/>
      <c r="AC799" s="18" t="n"/>
      <c r="AD799" s="18" t="n"/>
      <c r="AE799" s="18" t="n"/>
      <c r="AF799" s="18" t="n"/>
      <c r="AG799" s="18" t="n"/>
      <c r="AH799" s="18" t="n"/>
      <c r="AI799" s="18" t="n"/>
    </row>
    <row r="800">
      <c r="A800" s="9" t="n">
        <v>202503</v>
      </c>
      <c r="B800" s="10">
        <f>LEFT(creditcard[[#This Row],[YYYYMM]],4)</f>
        <v/>
      </c>
      <c r="C800" s="10">
        <f>RIGHT(creditcard[[#This Row],[YYYYMM]],2)</f>
        <v/>
      </c>
      <c r="D800" s="10">
        <f>IF(RIGHT(creditcard[[#This Row],[YYYYMM]],2)="--","--","Q"&amp;ROUNDUP(VALUE(RIGHT(creditcard[[#This Row],[YYYYMM]],2))/3,0))</f>
        <v/>
      </c>
      <c r="E800" s="10" t="n">
        <v>7</v>
      </c>
      <c r="F800" s="151" t="inlineStr">
        <is>
          <t>聯邦</t>
        </is>
      </c>
      <c r="G800" s="152" t="inlineStr">
        <is>
          <t>07 聯邦</t>
        </is>
      </c>
      <c r="H800" s="153" t="n">
        <v>2758499</v>
      </c>
      <c r="I800" s="153" t="n">
        <v>1857339</v>
      </c>
      <c r="J800" s="153" t="n">
        <v>21824</v>
      </c>
      <c r="K800" s="153" t="n">
        <v>24550</v>
      </c>
      <c r="L800" s="153" t="n">
        <v>6277</v>
      </c>
      <c r="M800" s="11" t="n"/>
      <c r="N800" s="153" t="n">
        <v>14086</v>
      </c>
      <c r="O800" s="11" t="n"/>
      <c r="P800" s="11" t="n"/>
      <c r="Q800" s="12" t="n"/>
      <c r="R800" s="11" t="n"/>
      <c r="S800" s="11" t="n"/>
      <c r="T800" s="11" t="n"/>
      <c r="U800" s="11" t="n"/>
      <c r="V800" s="154" t="n"/>
      <c r="W800" s="11" t="n"/>
      <c r="X800" s="13" t="n"/>
      <c r="Y800" s="13" t="n"/>
      <c r="Z800" s="13" t="n"/>
      <c r="AA800" s="13" t="n"/>
      <c r="AB800" s="13" t="n"/>
      <c r="AC800" s="13" t="n"/>
      <c r="AD800" s="13" t="n"/>
      <c r="AE800" s="13" t="n"/>
      <c r="AF800" s="13" t="n"/>
      <c r="AG800" s="13" t="n"/>
      <c r="AH800" s="13" t="n"/>
      <c r="AI800" s="13" t="n"/>
    </row>
    <row r="801">
      <c r="A801" s="14" t="n">
        <v>202503</v>
      </c>
      <c r="B801" s="15">
        <f>LEFT(creditcard[[#This Row],[YYYYMM]],4)</f>
        <v/>
      </c>
      <c r="C801" s="15">
        <f>RIGHT(creditcard[[#This Row],[YYYYMM]],2)</f>
        <v/>
      </c>
      <c r="D801" s="15">
        <f>IF(RIGHT(creditcard[[#This Row],[YYYYMM]],2)="--","--","Q"&amp;ROUNDUP(VALUE(RIGHT(creditcard[[#This Row],[YYYYMM]],2))/3,0))</f>
        <v/>
      </c>
      <c r="E801" s="15" t="n">
        <v>8</v>
      </c>
      <c r="F801" s="155" t="inlineStr">
        <is>
          <t>永豐</t>
        </is>
      </c>
      <c r="G801" s="156" t="inlineStr">
        <is>
          <t>08 永豐</t>
        </is>
      </c>
      <c r="H801" s="157" t="n">
        <v>2353934</v>
      </c>
      <c r="I801" s="157" t="n">
        <v>1484281</v>
      </c>
      <c r="J801" s="157" t="n">
        <v>29069</v>
      </c>
      <c r="K801" s="157" t="n">
        <v>6096</v>
      </c>
      <c r="L801" s="157" t="n">
        <v>3668</v>
      </c>
      <c r="M801" s="16" t="n"/>
      <c r="N801" s="157" t="n">
        <v>14092</v>
      </c>
      <c r="O801" s="16" t="n"/>
      <c r="P801" s="16" t="n"/>
      <c r="Q801" s="17" t="n"/>
      <c r="R801" s="16" t="n"/>
      <c r="S801" s="16" t="n"/>
      <c r="T801" s="16" t="n"/>
      <c r="U801" s="16" t="n"/>
      <c r="V801" s="158" t="n"/>
      <c r="W801" s="16" t="n"/>
      <c r="X801" s="18" t="n"/>
      <c r="Y801" s="18" t="n"/>
      <c r="Z801" s="18" t="n"/>
      <c r="AA801" s="18" t="n"/>
      <c r="AB801" s="18" t="n"/>
      <c r="AC801" s="18" t="n"/>
      <c r="AD801" s="18" t="n"/>
      <c r="AE801" s="18" t="n"/>
      <c r="AF801" s="18" t="n"/>
      <c r="AG801" s="18" t="n"/>
      <c r="AH801" s="18" t="n"/>
      <c r="AI801" s="18" t="n"/>
    </row>
    <row r="802">
      <c r="A802" s="9" t="n">
        <v>202503</v>
      </c>
      <c r="B802" s="10">
        <f>LEFT(creditcard[[#This Row],[YYYYMM]],4)</f>
        <v/>
      </c>
      <c r="C802" s="10">
        <f>RIGHT(creditcard[[#This Row],[YYYYMM]],2)</f>
        <v/>
      </c>
      <c r="D802" s="10">
        <f>IF(RIGHT(creditcard[[#This Row],[YYYYMM]],2)="--","--","Q"&amp;ROUNDUP(VALUE(RIGHT(creditcard[[#This Row],[YYYYMM]],2))/3,0))</f>
        <v/>
      </c>
      <c r="E802" s="10" t="n">
        <v>9</v>
      </c>
      <c r="F802" s="151" t="inlineStr">
        <is>
          <t>第一</t>
        </is>
      </c>
      <c r="G802" s="152" t="inlineStr">
        <is>
          <t>09 第一</t>
        </is>
      </c>
      <c r="H802" s="153" t="n">
        <v>1487876</v>
      </c>
      <c r="I802" s="153" t="n">
        <v>944254</v>
      </c>
      <c r="J802" s="153" t="n">
        <v>12378</v>
      </c>
      <c r="K802" s="153" t="n">
        <v>5875</v>
      </c>
      <c r="L802" s="153" t="n">
        <v>1253</v>
      </c>
      <c r="M802" s="11" t="n"/>
      <c r="N802" s="153" t="n">
        <v>6326</v>
      </c>
      <c r="O802" s="11" t="n"/>
      <c r="P802" s="11" t="n"/>
      <c r="Q802" s="12" t="n"/>
      <c r="R802" s="11" t="n"/>
      <c r="S802" s="11" t="n"/>
      <c r="T802" s="11" t="n"/>
      <c r="U802" s="11" t="n"/>
      <c r="V802" s="154" t="n"/>
      <c r="W802" s="11" t="n"/>
      <c r="X802" s="13" t="n"/>
      <c r="Y802" s="13" t="n"/>
      <c r="Z802" s="13" t="n"/>
      <c r="AA802" s="13" t="n"/>
      <c r="AB802" s="13" t="n"/>
      <c r="AC802" s="13" t="n"/>
      <c r="AD802" s="13" t="n"/>
      <c r="AE802" s="13" t="n"/>
      <c r="AF802" s="13" t="n"/>
      <c r="AG802" s="13" t="n"/>
      <c r="AH802" s="13" t="n"/>
      <c r="AI802" s="13" t="n"/>
    </row>
    <row r="803">
      <c r="A803" s="14" t="n">
        <v>202503</v>
      </c>
      <c r="B803" s="15">
        <f>LEFT(creditcard[[#This Row],[YYYYMM]],4)</f>
        <v/>
      </c>
      <c r="C803" s="15">
        <f>RIGHT(creditcard[[#This Row],[YYYYMM]],2)</f>
        <v/>
      </c>
      <c r="D803" s="15">
        <f>IF(RIGHT(creditcard[[#This Row],[YYYYMM]],2)="--","--","Q"&amp;ROUNDUP(VALUE(RIGHT(creditcard[[#This Row],[YYYYMM]],2))/3,0))</f>
        <v/>
      </c>
      <c r="E803" s="15" t="n">
        <v>10</v>
      </c>
      <c r="F803" s="155" t="inlineStr">
        <is>
          <t>遠東</t>
        </is>
      </c>
      <c r="G803" s="156" t="inlineStr">
        <is>
          <t>10 遠東</t>
        </is>
      </c>
      <c r="H803" s="157" t="n">
        <v>1358146</v>
      </c>
      <c r="I803" s="157" t="n">
        <v>947008</v>
      </c>
      <c r="J803" s="157" t="n">
        <v>8162</v>
      </c>
      <c r="K803" s="157" t="n">
        <v>7604</v>
      </c>
      <c r="L803" s="157" t="n">
        <v>3222</v>
      </c>
      <c r="M803" s="16" t="n"/>
      <c r="N803" s="157" t="n">
        <v>4189</v>
      </c>
      <c r="O803" s="16" t="n"/>
      <c r="P803" s="16" t="n"/>
      <c r="Q803" s="17" t="n"/>
      <c r="R803" s="16" t="n"/>
      <c r="S803" s="16" t="n"/>
      <c r="T803" s="16" t="n"/>
      <c r="U803" s="16" t="n"/>
      <c r="V803" s="158" t="n"/>
      <c r="W803" s="16" t="n"/>
      <c r="X803" s="18" t="n"/>
      <c r="Y803" s="18" t="n"/>
      <c r="Z803" s="18" t="n"/>
      <c r="AA803" s="18" t="n"/>
      <c r="AB803" s="18" t="n"/>
      <c r="AC803" s="18" t="n"/>
      <c r="AD803" s="18" t="n"/>
      <c r="AE803" s="18" t="n"/>
      <c r="AF803" s="18" t="n"/>
      <c r="AG803" s="18" t="n"/>
      <c r="AH803" s="18" t="n"/>
      <c r="AI803" s="18" t="n"/>
    </row>
    <row r="804">
      <c r="A804" s="9" t="n">
        <v>202503</v>
      </c>
      <c r="B804" s="10">
        <f>LEFT(creditcard[[#This Row],[YYYYMM]],4)</f>
        <v/>
      </c>
      <c r="C804" s="10">
        <f>RIGHT(creditcard[[#This Row],[YYYYMM]],2)</f>
        <v/>
      </c>
      <c r="D804" s="10">
        <f>IF(RIGHT(creditcard[[#This Row],[YYYYMM]],2)="--","--","Q"&amp;ROUNDUP(VALUE(RIGHT(creditcard[[#This Row],[YYYYMM]],2))/3,0))</f>
        <v/>
      </c>
      <c r="E804" s="10" t="n">
        <v>11</v>
      </c>
      <c r="F804" s="151" t="inlineStr">
        <is>
          <t>市場總計</t>
        </is>
      </c>
      <c r="G804" s="152" t="inlineStr">
        <is>
          <t>11 市場總計</t>
        </is>
      </c>
      <c r="H804" s="153" t="n">
        <v>58994262</v>
      </c>
      <c r="I804" s="153" t="n">
        <v>39250194</v>
      </c>
      <c r="J804" s="153" t="n">
        <v>732411</v>
      </c>
      <c r="K804" s="153" t="n">
        <v>503513</v>
      </c>
      <c r="L804" s="153" t="n">
        <v>113115.883</v>
      </c>
      <c r="M804" s="161" t="n">
        <v>167533.798</v>
      </c>
      <c r="N804" s="153" t="n">
        <v>377172.642</v>
      </c>
      <c r="O804" s="161" t="n">
        <v>1701.484</v>
      </c>
      <c r="P804" s="12" t="n">
        <v>0.00310969353085064</v>
      </c>
      <c r="Q804" s="12" t="n">
        <v>0.0004695460547517197</v>
      </c>
      <c r="R804" s="20" t="n">
        <v>4.491934593162202</v>
      </c>
      <c r="S804" s="161" t="n">
        <v>641.539</v>
      </c>
      <c r="T804" s="161" t="n">
        <v>1907.343</v>
      </c>
      <c r="U804" s="11" t="n"/>
      <c r="V804" s="154" t="n">
        <v>4.59</v>
      </c>
      <c r="W804" s="11">
        <f>SUMIFS(H:H,A:A,creditcard[[#This Row],[YYYYMM]],G:G,creditcard[[#This Row],[Item]])</f>
        <v/>
      </c>
      <c r="X804" s="4">
        <f>IFERROR(SUMIFS(H:H,A:A,creditcard[[#This Row],[YYYYMM]],E:E,"&lt;=5")/creditcard[[#This Row],[市場總計]],"")</f>
        <v/>
      </c>
      <c r="Y804" s="4">
        <f>IFERROR(SUMIFS(H:H,A:A,creditcard[[#This Row],[YYYYMM]],E:E,"&lt;=10")/creditcard[[#This Row],[市場總計]],"")</f>
        <v/>
      </c>
      <c r="Z804" s="4">
        <f>IFERROR(SUMIFS(I:I,A:A,creditcard[[#This Row],[YYYYMM]],E:E,"&lt;=5")/creditcard[[#This Row],[有效卡數]],"")</f>
        <v/>
      </c>
      <c r="AA804" s="4">
        <f>IFERROR(SUMIFS(I:I,A:A,creditcard[[#This Row],[YYYYMM]],E:E,"&lt;=10")/creditcard[[#This Row],[有效卡數]],"")</f>
        <v/>
      </c>
      <c r="AB804" s="4">
        <f>IFERROR(SUMIFS(J:J,A:A,creditcard[[#This Row],[YYYYMM]],E:E,"&lt;=5")/creditcard[[#This Row],[當月發卡數]],"")</f>
        <v/>
      </c>
      <c r="AC804" s="4">
        <f>IFERROR(SUMIFS(J:J,A:A,creditcard[[#This Row],[YYYYMM]],E:E,"&lt;=10")/creditcard[[#This Row],[當月發卡數]],"")</f>
        <v/>
      </c>
      <c r="AD804" s="4">
        <f>IFERROR(SUMIFS(K:K,A:A,creditcard[[#This Row],[YYYYMM]],E:E,"&lt;=5")/creditcard[[#This Row],[當月停卡數]],"")</f>
        <v/>
      </c>
      <c r="AE804" s="4">
        <f>IFERROR(SUMIFS(K:K,A:A,creditcard[[#This Row],[YYYYMM]],E:E,"&lt;=10")/creditcard[[#This Row],[當月停卡數]],"")</f>
        <v/>
      </c>
      <c r="AF804" s="4">
        <f>IFERROR(SUMIFS(L:L,A:A,creditcard[[#This Row],[YYYYMM]],E:E,"&lt;=5")/creditcard[[#This Row],[循環信用餘額]],"")</f>
        <v/>
      </c>
      <c r="AG804" s="4">
        <f>IFERROR(SUMIFS(L:L,A:A,creditcard[[#This Row],[YYYYMM]],E:E,"&lt;=10")/creditcard[[#This Row],[循環信用餘額]],"")</f>
        <v/>
      </c>
      <c r="AH804" s="4">
        <f>IFERROR(SUMIFS(N:N,A:A,creditcard[[#This Row],[YYYYMM]],E:E,"&lt;=5")/creditcard[[#This Row],[當月簽帳金額]],"")</f>
        <v/>
      </c>
      <c r="AI804" s="4">
        <f>IFERROR(SUMIFS(N:N,A:A,creditcard[[#This Row],[YYYYMM]],E:E,"&lt;=10")/creditcard[[#This Row],[當月簽帳金額]],"")</f>
        <v/>
      </c>
    </row>
    <row r="805">
      <c r="A805" s="14" t="n">
        <v>202504</v>
      </c>
      <c r="B805" s="15">
        <f>LEFT(creditcard[[#This Row],[YYYYMM]],4)</f>
        <v/>
      </c>
      <c r="C805" s="15">
        <f>RIGHT(creditcard[[#This Row],[YYYYMM]],2)</f>
        <v/>
      </c>
      <c r="D805" s="15">
        <f>IF(RIGHT(creditcard[[#This Row],[YYYYMM]],2)="--","--","Q"&amp;ROUNDUP(VALUE(RIGHT(creditcard[[#This Row],[YYYYMM]],2))/3,0))</f>
        <v/>
      </c>
      <c r="E805" s="15" t="n">
        <v>1</v>
      </c>
      <c r="F805" s="155" t="inlineStr">
        <is>
          <t>中信</t>
        </is>
      </c>
      <c r="G805" s="156" t="inlineStr">
        <is>
          <t>01 中信</t>
        </is>
      </c>
      <c r="H805" s="157" t="n">
        <v>9102686</v>
      </c>
      <c r="I805" s="157" t="n">
        <v>6046652</v>
      </c>
      <c r="J805" s="157" t="n">
        <v>89584</v>
      </c>
      <c r="K805" s="157" t="n">
        <v>104061</v>
      </c>
      <c r="L805" s="157" t="n">
        <v>17064.533</v>
      </c>
      <c r="M805" s="16" t="n"/>
      <c r="N805" s="157" t="n">
        <v>64104.657</v>
      </c>
      <c r="O805" s="16" t="n"/>
      <c r="P805" s="16" t="n"/>
      <c r="Q805" s="17" t="n"/>
      <c r="R805" s="16" t="n"/>
      <c r="S805" s="16" t="n"/>
      <c r="T805" s="16" t="n"/>
      <c r="U805" s="16" t="n"/>
      <c r="V805" s="158" t="n"/>
      <c r="W805" s="16" t="n"/>
      <c r="X805" s="18" t="n"/>
      <c r="Y805" s="18" t="n"/>
      <c r="Z805" s="18" t="n"/>
      <c r="AA805" s="18" t="n"/>
      <c r="AB805" s="18" t="n"/>
      <c r="AC805" s="18" t="n"/>
      <c r="AD805" s="18" t="n"/>
      <c r="AE805" s="18" t="n"/>
      <c r="AF805" s="18" t="n"/>
      <c r="AG805" s="18" t="n"/>
      <c r="AH805" s="18" t="n"/>
      <c r="AI805" s="18" t="n"/>
    </row>
    <row r="806">
      <c r="A806" s="9" t="n">
        <v>202504</v>
      </c>
      <c r="B806" s="10">
        <f>LEFT(creditcard[[#This Row],[YYYYMM]],4)</f>
        <v/>
      </c>
      <c r="C806" s="10">
        <f>RIGHT(creditcard[[#This Row],[YYYYMM]],2)</f>
        <v/>
      </c>
      <c r="D806" s="10">
        <f>IF(RIGHT(creditcard[[#This Row],[YYYYMM]],2)="--","--","Q"&amp;ROUNDUP(VALUE(RIGHT(creditcard[[#This Row],[YYYYMM]],2))/3,0))</f>
        <v/>
      </c>
      <c r="E806" s="10" t="n">
        <v>2</v>
      </c>
      <c r="F806" s="151" t="inlineStr">
        <is>
          <t>富邦</t>
        </is>
      </c>
      <c r="G806" s="152" t="inlineStr">
        <is>
          <t>02 富邦</t>
        </is>
      </c>
      <c r="H806" s="153" t="n">
        <v>7431849</v>
      </c>
      <c r="I806" s="153" t="n">
        <v>5799244</v>
      </c>
      <c r="J806" s="153" t="n">
        <v>42784</v>
      </c>
      <c r="K806" s="153" t="n">
        <v>18643</v>
      </c>
      <c r="L806" s="153" t="n">
        <v>10627.867</v>
      </c>
      <c r="M806" s="11" t="n"/>
      <c r="N806" s="153" t="n">
        <v>49484.724</v>
      </c>
      <c r="O806" s="11" t="n"/>
      <c r="P806" s="11" t="n"/>
      <c r="Q806" s="12" t="n"/>
      <c r="R806" s="11" t="n"/>
      <c r="S806" s="11" t="n"/>
      <c r="T806" s="11" t="n"/>
      <c r="U806" s="11" t="n"/>
      <c r="V806" s="154" t="n"/>
      <c r="W806" s="11" t="n"/>
      <c r="X806" s="13" t="n"/>
      <c r="Y806" s="13" t="n"/>
      <c r="Z806" s="13" t="n"/>
      <c r="AA806" s="13" t="n"/>
      <c r="AB806" s="13" t="n"/>
      <c r="AC806" s="13" t="n"/>
      <c r="AD806" s="13" t="n"/>
      <c r="AE806" s="13" t="n"/>
      <c r="AF806" s="13" t="n"/>
      <c r="AG806" s="13" t="n"/>
      <c r="AH806" s="13" t="n"/>
      <c r="AI806" s="13" t="n"/>
    </row>
    <row r="807">
      <c r="A807" s="14" t="n">
        <v>202504</v>
      </c>
      <c r="B807" s="15">
        <f>LEFT(creditcard[[#This Row],[YYYYMM]],4)</f>
        <v/>
      </c>
      <c r="C807" s="15">
        <f>RIGHT(creditcard[[#This Row],[YYYYMM]],2)</f>
        <v/>
      </c>
      <c r="D807" s="15">
        <f>IF(RIGHT(creditcard[[#This Row],[YYYYMM]],2)="--","--","Q"&amp;ROUNDUP(VALUE(RIGHT(creditcard[[#This Row],[YYYYMM]],2))/3,0))</f>
        <v/>
      </c>
      <c r="E807" s="15" t="n">
        <v>3</v>
      </c>
      <c r="F807" s="155" t="inlineStr">
        <is>
          <t>國泰</t>
        </is>
      </c>
      <c r="G807" s="156" t="inlineStr">
        <is>
          <t>03 國泰</t>
        </is>
      </c>
      <c r="H807" s="157" t="n">
        <v>7235185</v>
      </c>
      <c r="I807" s="157" t="n">
        <v>5064708</v>
      </c>
      <c r="J807" s="157" t="n">
        <v>44580</v>
      </c>
      <c r="K807" s="157" t="n">
        <v>215268</v>
      </c>
      <c r="L807" s="157" t="n">
        <v>20546.306</v>
      </c>
      <c r="M807" s="16" t="n"/>
      <c r="N807" s="157" t="n">
        <v>66827.533</v>
      </c>
      <c r="O807" s="16" t="n"/>
      <c r="P807" s="16" t="n"/>
      <c r="Q807" s="17" t="n"/>
      <c r="R807" s="16" t="n"/>
      <c r="S807" s="16" t="n"/>
      <c r="T807" s="16" t="n"/>
      <c r="U807" s="16" t="n"/>
      <c r="V807" s="158" t="n"/>
      <c r="W807" s="16" t="n"/>
      <c r="X807" s="18" t="n"/>
      <c r="Y807" s="18" t="n"/>
      <c r="Z807" s="18" t="n"/>
      <c r="AA807" s="18" t="n"/>
      <c r="AB807" s="18" t="n"/>
      <c r="AC807" s="18" t="n"/>
      <c r="AD807" s="18" t="n"/>
      <c r="AE807" s="18" t="n"/>
      <c r="AF807" s="18" t="n"/>
      <c r="AG807" s="18" t="n"/>
      <c r="AH807" s="18" t="n"/>
      <c r="AI807" s="18" t="n"/>
    </row>
    <row r="808">
      <c r="A808" s="9" t="n">
        <v>202504</v>
      </c>
      <c r="B808" s="10">
        <f>LEFT(creditcard[[#This Row],[YYYYMM]],4)</f>
        <v/>
      </c>
      <c r="C808" s="10">
        <f>RIGHT(creditcard[[#This Row],[YYYYMM]],2)</f>
        <v/>
      </c>
      <c r="D808" s="10">
        <f>IF(RIGHT(creditcard[[#This Row],[YYYYMM]],2)="--","--","Q"&amp;ROUNDUP(VALUE(RIGHT(creditcard[[#This Row],[YYYYMM]],2))/3,0))</f>
        <v/>
      </c>
      <c r="E808" s="10" t="n">
        <v>4</v>
      </c>
      <c r="F808" s="151" t="inlineStr">
        <is>
          <t>玉山</t>
        </is>
      </c>
      <c r="G808" s="152" t="inlineStr">
        <is>
          <t>04 玉山</t>
        </is>
      </c>
      <c r="H808" s="153" t="n">
        <v>8227438</v>
      </c>
      <c r="I808" s="153" t="n">
        <v>5058516</v>
      </c>
      <c r="J808" s="153" t="n">
        <v>552679</v>
      </c>
      <c r="K808" s="153" t="n">
        <v>55720</v>
      </c>
      <c r="L808" s="153" t="n">
        <v>18081.515</v>
      </c>
      <c r="M808" s="11" t="n"/>
      <c r="N808" s="153" t="n">
        <v>43901.586</v>
      </c>
      <c r="O808" s="11" t="n"/>
      <c r="P808" s="11" t="n"/>
      <c r="Q808" s="12" t="n"/>
      <c r="R808" s="11" t="n"/>
      <c r="S808" s="11" t="n"/>
      <c r="T808" s="11" t="n"/>
      <c r="U808" s="11" t="n"/>
      <c r="V808" s="154" t="n"/>
      <c r="W808" s="11" t="n"/>
      <c r="X808" s="13" t="n"/>
      <c r="Y808" s="13" t="n"/>
      <c r="Z808" s="13" t="n"/>
      <c r="AA808" s="13" t="n"/>
      <c r="AB808" s="13" t="n"/>
      <c r="AC808" s="13" t="n"/>
      <c r="AD808" s="13" t="n"/>
      <c r="AE808" s="13" t="n"/>
      <c r="AF808" s="13" t="n"/>
      <c r="AG808" s="13" t="n"/>
      <c r="AH808" s="13" t="n"/>
      <c r="AI808" s="13" t="n"/>
    </row>
    <row r="809">
      <c r="A809" s="14" t="n">
        <v>202504</v>
      </c>
      <c r="B809" s="15">
        <f>LEFT(creditcard[[#This Row],[YYYYMM]],4)</f>
        <v/>
      </c>
      <c r="C809" s="15">
        <f>RIGHT(creditcard[[#This Row],[YYYYMM]],2)</f>
        <v/>
      </c>
      <c r="D809" s="15">
        <f>IF(RIGHT(creditcard[[#This Row],[YYYYMM]],2)="--","--","Q"&amp;ROUNDUP(VALUE(RIGHT(creditcard[[#This Row],[YYYYMM]],2))/3,0))</f>
        <v/>
      </c>
      <c r="E809" s="15" t="n">
        <v>5</v>
      </c>
      <c r="F809" s="155" t="inlineStr">
        <is>
          <t>台新</t>
        </is>
      </c>
      <c r="G809" s="156" t="inlineStr">
        <is>
          <t>05 台新</t>
        </is>
      </c>
      <c r="H809" s="157" t="n">
        <v>6615066</v>
      </c>
      <c r="I809" s="157" t="n">
        <v>4853069</v>
      </c>
      <c r="J809" s="157" t="n">
        <v>43028</v>
      </c>
      <c r="K809" s="157" t="n">
        <v>16877</v>
      </c>
      <c r="L809" s="157" t="n">
        <v>10786.591</v>
      </c>
      <c r="M809" s="16" t="n"/>
      <c r="N809" s="157" t="n">
        <v>40295.422</v>
      </c>
      <c r="O809" s="16" t="n"/>
      <c r="P809" s="16" t="n"/>
      <c r="Q809" s="17" t="n"/>
      <c r="R809" s="16" t="n"/>
      <c r="S809" s="16" t="n"/>
      <c r="T809" s="16" t="n"/>
      <c r="U809" s="16" t="n"/>
      <c r="V809" s="158" t="n"/>
      <c r="W809" s="16" t="n"/>
      <c r="X809" s="18" t="n"/>
      <c r="Y809" s="18" t="n"/>
      <c r="Z809" s="18" t="n"/>
      <c r="AA809" s="18" t="n"/>
      <c r="AB809" s="18" t="n"/>
      <c r="AC809" s="18" t="n"/>
      <c r="AD809" s="18" t="n"/>
      <c r="AE809" s="18" t="n"/>
      <c r="AF809" s="18" t="n"/>
      <c r="AG809" s="18" t="n"/>
      <c r="AH809" s="18" t="n"/>
      <c r="AI809" s="18" t="n"/>
    </row>
    <row r="810">
      <c r="A810" s="9" t="n">
        <v>202504</v>
      </c>
      <c r="B810" s="10">
        <f>LEFT(creditcard[[#This Row],[YYYYMM]],4)</f>
        <v/>
      </c>
      <c r="C810" s="10">
        <f>RIGHT(creditcard[[#This Row],[YYYYMM]],2)</f>
        <v/>
      </c>
      <c r="D810" s="10">
        <f>IF(RIGHT(creditcard[[#This Row],[YYYYMM]],2)="--","--","Q"&amp;ROUNDUP(VALUE(RIGHT(creditcard[[#This Row],[YYYYMM]],2))/3,0))</f>
        <v/>
      </c>
      <c r="E810" s="10" t="n">
        <v>6</v>
      </c>
      <c r="F810" s="151" t="inlineStr">
        <is>
          <t>星展</t>
        </is>
      </c>
      <c r="G810" s="152" t="inlineStr">
        <is>
          <t>06 星展</t>
        </is>
      </c>
      <c r="H810" s="153" t="n">
        <v>3302616</v>
      </c>
      <c r="I810" s="153" t="n">
        <v>2037265</v>
      </c>
      <c r="J810" s="153" t="n">
        <v>12174</v>
      </c>
      <c r="K810" s="153" t="n">
        <v>16390</v>
      </c>
      <c r="L810" s="153" t="n">
        <v>8532.419</v>
      </c>
      <c r="M810" s="11" t="n"/>
      <c r="N810" s="153" t="n">
        <v>21562.684</v>
      </c>
      <c r="O810" s="11" t="n"/>
      <c r="P810" s="11" t="n"/>
      <c r="Q810" s="12" t="n"/>
      <c r="R810" s="11" t="n"/>
      <c r="S810" s="11" t="n"/>
      <c r="T810" s="11" t="n"/>
      <c r="U810" s="11" t="n"/>
      <c r="V810" s="154" t="n"/>
      <c r="W810" s="11" t="n"/>
      <c r="X810" s="13" t="n"/>
      <c r="Y810" s="13" t="n"/>
      <c r="Z810" s="13" t="n"/>
      <c r="AA810" s="13" t="n"/>
      <c r="AB810" s="13" t="n"/>
      <c r="AC810" s="13" t="n"/>
      <c r="AD810" s="13" t="n"/>
      <c r="AE810" s="13" t="n"/>
      <c r="AF810" s="13" t="n"/>
      <c r="AG810" s="13" t="n"/>
      <c r="AH810" s="13" t="n"/>
      <c r="AI810" s="13" t="n"/>
    </row>
    <row r="811">
      <c r="A811" s="14" t="n">
        <v>202504</v>
      </c>
      <c r="B811" s="15">
        <f>LEFT(creditcard[[#This Row],[YYYYMM]],4)</f>
        <v/>
      </c>
      <c r="C811" s="15">
        <f>RIGHT(creditcard[[#This Row],[YYYYMM]],2)</f>
        <v/>
      </c>
      <c r="D811" s="15">
        <f>IF(RIGHT(creditcard[[#This Row],[YYYYMM]],2)="--","--","Q"&amp;ROUNDUP(VALUE(RIGHT(creditcard[[#This Row],[YYYYMM]],2))/3,0))</f>
        <v/>
      </c>
      <c r="E811" s="15" t="n">
        <v>7</v>
      </c>
      <c r="F811" s="155" t="inlineStr">
        <is>
          <t>聯邦</t>
        </is>
      </c>
      <c r="G811" s="156" t="inlineStr">
        <is>
          <t>07 聯邦</t>
        </is>
      </c>
      <c r="H811" s="157" t="n">
        <v>2754764</v>
      </c>
      <c r="I811" s="157" t="n">
        <v>1856013</v>
      </c>
      <c r="J811" s="157" t="n">
        <v>18920</v>
      </c>
      <c r="K811" s="157" t="n">
        <v>22655</v>
      </c>
      <c r="L811" s="157" t="n">
        <v>6324.953</v>
      </c>
      <c r="M811" s="16" t="n"/>
      <c r="N811" s="157" t="n">
        <v>13283.971</v>
      </c>
      <c r="O811" s="16" t="n"/>
      <c r="P811" s="16" t="n"/>
      <c r="Q811" s="17" t="n"/>
      <c r="R811" s="16" t="n"/>
      <c r="S811" s="16" t="n"/>
      <c r="T811" s="16" t="n"/>
      <c r="U811" s="16" t="n"/>
      <c r="V811" s="158" t="n"/>
      <c r="W811" s="16" t="n"/>
      <c r="X811" s="18" t="n"/>
      <c r="Y811" s="18" t="n"/>
      <c r="Z811" s="18" t="n"/>
      <c r="AA811" s="18" t="n"/>
      <c r="AB811" s="18" t="n"/>
      <c r="AC811" s="18" t="n"/>
      <c r="AD811" s="18" t="n"/>
      <c r="AE811" s="18" t="n"/>
      <c r="AF811" s="18" t="n"/>
      <c r="AG811" s="18" t="n"/>
      <c r="AH811" s="18" t="n"/>
      <c r="AI811" s="18" t="n"/>
    </row>
    <row r="812">
      <c r="A812" s="9" t="n">
        <v>202504</v>
      </c>
      <c r="B812" s="10">
        <f>LEFT(creditcard[[#This Row],[YYYYMM]],4)</f>
        <v/>
      </c>
      <c r="C812" s="10">
        <f>RIGHT(creditcard[[#This Row],[YYYYMM]],2)</f>
        <v/>
      </c>
      <c r="D812" s="10">
        <f>IF(RIGHT(creditcard[[#This Row],[YYYYMM]],2)="--","--","Q"&amp;ROUNDUP(VALUE(RIGHT(creditcard[[#This Row],[YYYYMM]],2))/3,0))</f>
        <v/>
      </c>
      <c r="E812" s="10" t="n">
        <v>8</v>
      </c>
      <c r="F812" s="151" t="inlineStr">
        <is>
          <t>永豐</t>
        </is>
      </c>
      <c r="G812" s="152" t="inlineStr">
        <is>
          <t>08 永豐</t>
        </is>
      </c>
      <c r="H812" s="153" t="n">
        <v>2370703</v>
      </c>
      <c r="I812" s="153" t="n">
        <v>1495106</v>
      </c>
      <c r="J812" s="153" t="n">
        <v>22734</v>
      </c>
      <c r="K812" s="153" t="n">
        <v>5707</v>
      </c>
      <c r="L812" s="153" t="n">
        <v>3769.699</v>
      </c>
      <c r="M812" s="11" t="n"/>
      <c r="N812" s="153" t="n">
        <v>14156.078</v>
      </c>
      <c r="O812" s="11" t="n"/>
      <c r="P812" s="11" t="n"/>
      <c r="Q812" s="12" t="n"/>
      <c r="R812" s="11" t="n"/>
      <c r="S812" s="11" t="n"/>
      <c r="T812" s="11" t="n"/>
      <c r="U812" s="11" t="n"/>
      <c r="V812" s="154" t="n"/>
      <c r="W812" s="11" t="n"/>
      <c r="X812" s="13" t="n"/>
      <c r="Y812" s="13" t="n"/>
      <c r="Z812" s="13" t="n"/>
      <c r="AA812" s="13" t="n"/>
      <c r="AB812" s="13" t="n"/>
      <c r="AC812" s="13" t="n"/>
      <c r="AD812" s="13" t="n"/>
      <c r="AE812" s="13" t="n"/>
      <c r="AF812" s="13" t="n"/>
      <c r="AG812" s="13" t="n"/>
      <c r="AH812" s="13" t="n"/>
      <c r="AI812" s="13" t="n"/>
    </row>
    <row r="813">
      <c r="A813" s="14" t="n">
        <v>202504</v>
      </c>
      <c r="B813" s="15">
        <f>LEFT(creditcard[[#This Row],[YYYYMM]],4)</f>
        <v/>
      </c>
      <c r="C813" s="15">
        <f>RIGHT(creditcard[[#This Row],[YYYYMM]],2)</f>
        <v/>
      </c>
      <c r="D813" s="15">
        <f>IF(RIGHT(creditcard[[#This Row],[YYYYMM]],2)="--","--","Q"&amp;ROUNDUP(VALUE(RIGHT(creditcard[[#This Row],[YYYYMM]],2))/3,0))</f>
        <v/>
      </c>
      <c r="E813" s="15" t="n">
        <v>9</v>
      </c>
      <c r="F813" s="155" t="inlineStr">
        <is>
          <t>第一</t>
        </is>
      </c>
      <c r="G813" s="156" t="inlineStr">
        <is>
          <t>09 第一</t>
        </is>
      </c>
      <c r="H813" s="157" t="n">
        <v>1493448</v>
      </c>
      <c r="I813" s="157" t="n">
        <v>946416</v>
      </c>
      <c r="J813" s="157" t="n">
        <v>10965</v>
      </c>
      <c r="K813" s="157" t="n">
        <v>5831</v>
      </c>
      <c r="L813" s="157" t="n">
        <v>1242.255</v>
      </c>
      <c r="M813" s="16" t="n"/>
      <c r="N813" s="157" t="n">
        <v>6469.282</v>
      </c>
      <c r="O813" s="16" t="n"/>
      <c r="P813" s="16" t="n"/>
      <c r="Q813" s="17" t="n"/>
      <c r="R813" s="16" t="n"/>
      <c r="S813" s="16" t="n"/>
      <c r="T813" s="16" t="n"/>
      <c r="U813" s="16" t="n"/>
      <c r="V813" s="158" t="n"/>
      <c r="W813" s="16" t="n"/>
      <c r="X813" s="18" t="n"/>
      <c r="Y813" s="18" t="n"/>
      <c r="Z813" s="18" t="n"/>
      <c r="AA813" s="18" t="n"/>
      <c r="AB813" s="18" t="n"/>
      <c r="AC813" s="18" t="n"/>
      <c r="AD813" s="18" t="n"/>
      <c r="AE813" s="18" t="n"/>
      <c r="AF813" s="18" t="n"/>
      <c r="AG813" s="18" t="n"/>
      <c r="AH813" s="18" t="n"/>
      <c r="AI813" s="18" t="n"/>
    </row>
    <row r="814">
      <c r="A814" s="9" t="n">
        <v>202504</v>
      </c>
      <c r="B814" s="10">
        <f>LEFT(creditcard[[#This Row],[YYYYMM]],4)</f>
        <v/>
      </c>
      <c r="C814" s="10">
        <f>RIGHT(creditcard[[#This Row],[YYYYMM]],2)</f>
        <v/>
      </c>
      <c r="D814" s="10">
        <f>IF(RIGHT(creditcard[[#This Row],[YYYYMM]],2)="--","--","Q"&amp;ROUNDUP(VALUE(RIGHT(creditcard[[#This Row],[YYYYMM]],2))/3,0))</f>
        <v/>
      </c>
      <c r="E814" s="10" t="n">
        <v>10</v>
      </c>
      <c r="F814" s="151" t="inlineStr">
        <is>
          <t>遠東</t>
        </is>
      </c>
      <c r="G814" s="152" t="inlineStr">
        <is>
          <t>10 遠東</t>
        </is>
      </c>
      <c r="H814" s="153" t="n">
        <v>1359511</v>
      </c>
      <c r="I814" s="153" t="n">
        <v>944728</v>
      </c>
      <c r="J814" s="153" t="n">
        <v>8163</v>
      </c>
      <c r="K814" s="153" t="n">
        <v>6837</v>
      </c>
      <c r="L814" s="153" t="n">
        <v>3185.18</v>
      </c>
      <c r="M814" s="11" t="n"/>
      <c r="N814" s="153" t="n">
        <v>3973.876</v>
      </c>
      <c r="O814" s="11" t="n"/>
      <c r="P814" s="11" t="n"/>
      <c r="Q814" s="12" t="n"/>
      <c r="R814" s="11" t="n"/>
      <c r="S814" s="11" t="n"/>
      <c r="T814" s="11" t="n"/>
      <c r="U814" s="11" t="n"/>
      <c r="V814" s="154" t="n"/>
      <c r="W814" s="11" t="n"/>
      <c r="X814" s="13" t="n"/>
      <c r="Y814" s="13" t="n"/>
      <c r="Z814" s="13" t="n"/>
      <c r="AA814" s="13" t="n"/>
      <c r="AB814" s="13" t="n"/>
      <c r="AC814" s="13" t="n"/>
      <c r="AD814" s="13" t="n"/>
      <c r="AE814" s="13" t="n"/>
      <c r="AF814" s="13" t="n"/>
      <c r="AG814" s="13" t="n"/>
      <c r="AH814" s="13" t="n"/>
      <c r="AI814" s="13" t="n"/>
    </row>
    <row r="815">
      <c r="A815" s="14" t="n">
        <v>202504</v>
      </c>
      <c r="B815" s="15">
        <f>LEFT(creditcard[[#This Row],[YYYYMM]],4)</f>
        <v/>
      </c>
      <c r="C815" s="15">
        <f>RIGHT(creditcard[[#This Row],[YYYYMM]],2)</f>
        <v/>
      </c>
      <c r="D815" s="15">
        <f>IF(RIGHT(creditcard[[#This Row],[YYYYMM]],2)="--","--","Q"&amp;ROUNDUP(VALUE(RIGHT(creditcard[[#This Row],[YYYYMM]],2))/3,0))</f>
        <v/>
      </c>
      <c r="E815" s="15" t="n">
        <v>11</v>
      </c>
      <c r="F815" s="155" t="inlineStr">
        <is>
          <t>市場總計</t>
        </is>
      </c>
      <c r="G815" s="156" t="inlineStr">
        <is>
          <t>11 市場總計</t>
        </is>
      </c>
      <c r="H815" s="157" t="n">
        <v>59388667</v>
      </c>
      <c r="I815" s="157" t="n">
        <v>39415942</v>
      </c>
      <c r="J815" s="157" t="n">
        <v>905147</v>
      </c>
      <c r="K815" s="157" t="n">
        <v>524499</v>
      </c>
      <c r="L815" s="157" t="n">
        <v>113985.72</v>
      </c>
      <c r="M815" s="16" t="n"/>
      <c r="N815" s="157" t="n">
        <v>373344.235</v>
      </c>
      <c r="O815" s="16" t="n"/>
      <c r="P815" s="16" t="n"/>
      <c r="Q815" s="17" t="n"/>
      <c r="R815" s="16" t="n"/>
      <c r="S815" s="16" t="n"/>
      <c r="T815" s="16" t="n"/>
      <c r="U815" s="16" t="n"/>
      <c r="V815" s="158" t="n">
        <v>4.61</v>
      </c>
      <c r="W815" s="16">
        <f>SUMIFS(H:H,A:A,creditcard[[#This Row],[YYYYMM]],G:G,creditcard[[#This Row],[Item]])</f>
        <v/>
      </c>
      <c r="X815" s="4">
        <f>IFERROR(SUMIFS(H:H,A:A,creditcard[[#This Row],[YYYYMM]],E:E,"&lt;=5")/creditcard[[#This Row],[市場總計]],"")</f>
        <v/>
      </c>
      <c r="Y815" s="4">
        <f>IFERROR(SUMIFS(H:H,A:A,creditcard[[#This Row],[YYYYMM]],E:E,"&lt;=10")/creditcard[[#This Row],[市場總計]],"")</f>
        <v/>
      </c>
      <c r="Z815" s="4">
        <f>IFERROR(SUMIFS(I:I,A:A,creditcard[[#This Row],[YYYYMM]],E:E,"&lt;=5")/creditcard[[#This Row],[有效卡數]],"")</f>
        <v/>
      </c>
      <c r="AA815" s="4">
        <f>IFERROR(SUMIFS(I:I,A:A,creditcard[[#This Row],[YYYYMM]],E:E,"&lt;=10")/creditcard[[#This Row],[有效卡數]],"")</f>
        <v/>
      </c>
      <c r="AB815" s="4">
        <f>IFERROR(SUMIFS(J:J,A:A,creditcard[[#This Row],[YYYYMM]],E:E,"&lt;=5")/creditcard[[#This Row],[當月發卡數]],"")</f>
        <v/>
      </c>
      <c r="AC815" s="4">
        <f>IFERROR(SUMIFS(J:J,A:A,creditcard[[#This Row],[YYYYMM]],E:E,"&lt;=10")/creditcard[[#This Row],[當月發卡數]],"")</f>
        <v/>
      </c>
      <c r="AD815" s="4">
        <f>IFERROR(SUMIFS(K:K,A:A,creditcard[[#This Row],[YYYYMM]],E:E,"&lt;=5")/creditcard[[#This Row],[當月停卡數]],"")</f>
        <v/>
      </c>
      <c r="AE815" s="4">
        <f>IFERROR(SUMIFS(K:K,A:A,creditcard[[#This Row],[YYYYMM]],E:E,"&lt;=10")/creditcard[[#This Row],[當月停卡數]],"")</f>
        <v/>
      </c>
      <c r="AF815" s="4">
        <f>IFERROR(SUMIFS(L:L,A:A,creditcard[[#This Row],[YYYYMM]],E:E,"&lt;=5")/creditcard[[#This Row],[循環信用餘額]],"")</f>
        <v/>
      </c>
      <c r="AG815" s="4">
        <f>IFERROR(SUMIFS(L:L,A:A,creditcard[[#This Row],[YYYYMM]],E:E,"&lt;=10")/creditcard[[#This Row],[循環信用餘額]],"")</f>
        <v/>
      </c>
      <c r="AH815" s="4">
        <f>IFERROR(SUMIFS(N:N,A:A,creditcard[[#This Row],[YYYYMM]],E:E,"&lt;=5")/creditcard[[#This Row],[當月簽帳金額]],"")</f>
        <v/>
      </c>
      <c r="AI815" s="4">
        <f>IFERROR(SUMIFS(N:N,A:A,creditcard[[#This Row],[YYYYMM]],E:E,"&lt;=10")/creditcard[[#This Row],[當月簽帳金額]],"")</f>
        <v/>
      </c>
    </row>
    <row r="816">
      <c r="A816" s="9" t="n">
        <v>202505</v>
      </c>
      <c r="B816" s="10">
        <f>LEFT(creditcard[[#This Row],[YYYYMM]],4)</f>
        <v/>
      </c>
      <c r="C816" s="10">
        <f>RIGHT(creditcard[[#This Row],[YYYYMM]],2)</f>
        <v/>
      </c>
      <c r="D816" s="10">
        <f>IF(RIGHT(creditcard[[#This Row],[YYYYMM]],2)="--","--","Q"&amp;ROUNDUP(VALUE(RIGHT(creditcard[[#This Row],[YYYYMM]],2))/3,0))</f>
        <v/>
      </c>
      <c r="E816" s="10" t="n">
        <v>1</v>
      </c>
      <c r="F816" s="151" t="inlineStr">
        <is>
          <t>中信</t>
        </is>
      </c>
      <c r="G816" s="152" t="inlineStr">
        <is>
          <t>01 中信</t>
        </is>
      </c>
      <c r="H816" s="153" t="n">
        <v>9089172</v>
      </c>
      <c r="I816" s="153" t="n">
        <v>6063559</v>
      </c>
      <c r="J816" s="153" t="n">
        <v>78812</v>
      </c>
      <c r="K816" s="153" t="n">
        <v>92326</v>
      </c>
      <c r="L816" s="153" t="n">
        <v>17120.625</v>
      </c>
      <c r="M816" s="11" t="n"/>
      <c r="N816" s="153" t="n">
        <v>62936.155</v>
      </c>
      <c r="O816" s="11" t="n"/>
      <c r="P816" s="11" t="n"/>
      <c r="Q816" s="12" t="n"/>
      <c r="R816" s="11" t="n"/>
      <c r="S816" s="11" t="n"/>
      <c r="T816" s="11" t="n"/>
      <c r="U816" s="11" t="n"/>
      <c r="V816" s="154" t="n"/>
      <c r="W816" s="11" t="n"/>
      <c r="X816" s="13" t="n"/>
      <c r="Y816" s="13" t="n"/>
      <c r="Z816" s="13" t="n"/>
      <c r="AA816" s="13" t="n"/>
      <c r="AB816" s="13" t="n"/>
      <c r="AC816" s="13" t="n"/>
      <c r="AD816" s="13" t="n"/>
      <c r="AE816" s="13" t="n"/>
      <c r="AF816" s="13" t="n"/>
      <c r="AG816" s="13" t="n"/>
      <c r="AH816" s="13" t="n"/>
      <c r="AI816" s="13" t="n"/>
    </row>
    <row r="817">
      <c r="A817" s="14" t="n">
        <v>202505</v>
      </c>
      <c r="B817" s="15">
        <f>LEFT(creditcard[[#This Row],[YYYYMM]],4)</f>
        <v/>
      </c>
      <c r="C817" s="15">
        <f>RIGHT(creditcard[[#This Row],[YYYYMM]],2)</f>
        <v/>
      </c>
      <c r="D817" s="15">
        <f>IF(RIGHT(creditcard[[#This Row],[YYYYMM]],2)="--","--","Q"&amp;ROUNDUP(VALUE(RIGHT(creditcard[[#This Row],[YYYYMM]],2))/3,0))</f>
        <v/>
      </c>
      <c r="E817" s="15" t="n">
        <v>2</v>
      </c>
      <c r="F817" s="155" t="inlineStr">
        <is>
          <t>富邦</t>
        </is>
      </c>
      <c r="G817" s="156" t="inlineStr">
        <is>
          <t>02 富邦</t>
        </is>
      </c>
      <c r="H817" s="157" t="n">
        <v>7457469</v>
      </c>
      <c r="I817" s="157" t="n">
        <v>5796439</v>
      </c>
      <c r="J817" s="157" t="n">
        <v>58606</v>
      </c>
      <c r="K817" s="157" t="n">
        <v>32986</v>
      </c>
      <c r="L817" s="157" t="n">
        <v>10739.659</v>
      </c>
      <c r="M817" s="16" t="n"/>
      <c r="N817" s="157" t="n">
        <v>48542.045</v>
      </c>
      <c r="O817" s="16" t="n"/>
      <c r="P817" s="16" t="n"/>
      <c r="Q817" s="17" t="n"/>
      <c r="R817" s="16" t="n"/>
      <c r="S817" s="16" t="n"/>
      <c r="T817" s="16" t="n"/>
      <c r="U817" s="16" t="n"/>
      <c r="V817" s="158" t="n"/>
      <c r="W817" s="16" t="n"/>
      <c r="X817" s="18" t="n"/>
      <c r="Y817" s="18" t="n"/>
      <c r="Z817" s="18" t="n"/>
      <c r="AA817" s="18" t="n"/>
      <c r="AB817" s="18" t="n"/>
      <c r="AC817" s="18" t="n"/>
      <c r="AD817" s="18" t="n"/>
      <c r="AE817" s="18" t="n"/>
      <c r="AF817" s="18" t="n"/>
      <c r="AG817" s="18" t="n"/>
      <c r="AH817" s="18" t="n"/>
      <c r="AI817" s="18" t="n"/>
    </row>
    <row r="818">
      <c r="A818" s="9" t="n">
        <v>202505</v>
      </c>
      <c r="B818" s="10">
        <f>LEFT(creditcard[[#This Row],[YYYYMM]],4)</f>
        <v/>
      </c>
      <c r="C818" s="10">
        <f>RIGHT(creditcard[[#This Row],[YYYYMM]],2)</f>
        <v/>
      </c>
      <c r="D818" s="10">
        <f>IF(RIGHT(creditcard[[#This Row],[YYYYMM]],2)="--","--","Q"&amp;ROUNDUP(VALUE(RIGHT(creditcard[[#This Row],[YYYYMM]],2))/3,0))</f>
        <v/>
      </c>
      <c r="E818" s="10" t="n">
        <v>3</v>
      </c>
      <c r="F818" s="151" t="inlineStr">
        <is>
          <t>國泰</t>
        </is>
      </c>
      <c r="G818" s="152" t="inlineStr">
        <is>
          <t>03 國泰</t>
        </is>
      </c>
      <c r="H818" s="153" t="n">
        <v>7256330</v>
      </c>
      <c r="I818" s="153" t="n">
        <v>5081876</v>
      </c>
      <c r="J818" s="153" t="n">
        <v>46817</v>
      </c>
      <c r="K818" s="153" t="n">
        <v>25672</v>
      </c>
      <c r="L818" s="153" t="n">
        <v>20808.011</v>
      </c>
      <c r="M818" s="11" t="n"/>
      <c r="N818" s="153" t="n">
        <v>63076.088</v>
      </c>
      <c r="O818" s="11" t="n"/>
      <c r="P818" s="11" t="n"/>
      <c r="Q818" s="12" t="n"/>
      <c r="R818" s="11" t="n"/>
      <c r="S818" s="11" t="n"/>
      <c r="T818" s="11" t="n"/>
      <c r="U818" s="11" t="n"/>
      <c r="V818" s="154" t="n"/>
      <c r="W818" s="11" t="n"/>
      <c r="X818" s="13" t="n"/>
      <c r="Y818" s="13" t="n"/>
      <c r="Z818" s="13" t="n"/>
      <c r="AA818" s="13" t="n"/>
      <c r="AB818" s="13" t="n"/>
      <c r="AC818" s="13" t="n"/>
      <c r="AD818" s="13" t="n"/>
      <c r="AE818" s="13" t="n"/>
      <c r="AF818" s="13" t="n"/>
      <c r="AG818" s="13" t="n"/>
      <c r="AH818" s="13" t="n"/>
      <c r="AI818" s="13" t="n"/>
    </row>
    <row r="819">
      <c r="A819" s="14" t="n">
        <v>202505</v>
      </c>
      <c r="B819" s="15">
        <f>LEFT(creditcard[[#This Row],[YYYYMM]],4)</f>
        <v/>
      </c>
      <c r="C819" s="15">
        <f>RIGHT(creditcard[[#This Row],[YYYYMM]],2)</f>
        <v/>
      </c>
      <c r="D819" s="15">
        <f>IF(RIGHT(creditcard[[#This Row],[YYYYMM]],2)="--","--","Q"&amp;ROUNDUP(VALUE(RIGHT(creditcard[[#This Row],[YYYYMM]],2))/3,0))</f>
        <v/>
      </c>
      <c r="E819" s="15" t="n">
        <v>4</v>
      </c>
      <c r="F819" s="155" t="inlineStr">
        <is>
          <t>玉山</t>
        </is>
      </c>
      <c r="G819" s="156" t="inlineStr">
        <is>
          <t>04 玉山</t>
        </is>
      </c>
      <c r="H819" s="157" t="n">
        <v>8578082</v>
      </c>
      <c r="I819" s="157" t="n">
        <v>5176214</v>
      </c>
      <c r="J819" s="157" t="n">
        <v>409399</v>
      </c>
      <c r="K819" s="157" t="n">
        <v>58755</v>
      </c>
      <c r="L819" s="157" t="n">
        <v>16798.514</v>
      </c>
      <c r="M819" s="16" t="n"/>
      <c r="N819" s="157" t="n">
        <v>46983.332</v>
      </c>
      <c r="O819" s="16" t="n"/>
      <c r="P819" s="16" t="n"/>
      <c r="Q819" s="17" t="n"/>
      <c r="R819" s="16" t="n"/>
      <c r="S819" s="16" t="n"/>
      <c r="T819" s="16" t="n"/>
      <c r="U819" s="16" t="n"/>
      <c r="V819" s="158" t="n"/>
      <c r="W819" s="16" t="n"/>
      <c r="X819" s="18" t="n"/>
      <c r="Y819" s="18" t="n"/>
      <c r="Z819" s="18" t="n"/>
      <c r="AA819" s="18" t="n"/>
      <c r="AB819" s="18" t="n"/>
      <c r="AC819" s="18" t="n"/>
      <c r="AD819" s="18" t="n"/>
      <c r="AE819" s="18" t="n"/>
      <c r="AF819" s="18" t="n"/>
      <c r="AG819" s="18" t="n"/>
      <c r="AH819" s="18" t="n"/>
      <c r="AI819" s="18" t="n"/>
    </row>
    <row r="820">
      <c r="A820" s="9" t="n">
        <v>202505</v>
      </c>
      <c r="B820" s="10">
        <f>LEFT(creditcard[[#This Row],[YYYYMM]],4)</f>
        <v/>
      </c>
      <c r="C820" s="10">
        <f>RIGHT(creditcard[[#This Row],[YYYYMM]],2)</f>
        <v/>
      </c>
      <c r="D820" s="10">
        <f>IF(RIGHT(creditcard[[#This Row],[YYYYMM]],2)="--","--","Q"&amp;ROUNDUP(VALUE(RIGHT(creditcard[[#This Row],[YYYYMM]],2))/3,0))</f>
        <v/>
      </c>
      <c r="E820" s="10" t="n">
        <v>5</v>
      </c>
      <c r="F820" s="151" t="inlineStr">
        <is>
          <t>台新</t>
        </is>
      </c>
      <c r="G820" s="152" t="inlineStr">
        <is>
          <t>05 台新</t>
        </is>
      </c>
      <c r="H820" s="153" t="n">
        <v>6619863</v>
      </c>
      <c r="I820" s="153" t="n">
        <v>4858371</v>
      </c>
      <c r="J820" s="153" t="n">
        <v>47946</v>
      </c>
      <c r="K820" s="153" t="n">
        <v>43149</v>
      </c>
      <c r="L820" s="153" t="n">
        <v>10862.427</v>
      </c>
      <c r="M820" s="11" t="n"/>
      <c r="N820" s="153" t="n">
        <v>40658.409</v>
      </c>
      <c r="O820" s="11" t="n"/>
      <c r="P820" s="11" t="n"/>
      <c r="Q820" s="12" t="n"/>
      <c r="R820" s="11" t="n"/>
      <c r="S820" s="11" t="n"/>
      <c r="T820" s="11" t="n"/>
      <c r="U820" s="11" t="n"/>
      <c r="V820" s="154" t="n"/>
      <c r="W820" s="11" t="n"/>
      <c r="X820" s="13" t="n"/>
      <c r="Y820" s="13" t="n"/>
      <c r="Z820" s="13" t="n"/>
      <c r="AA820" s="13" t="n"/>
      <c r="AB820" s="13" t="n"/>
      <c r="AC820" s="13" t="n"/>
      <c r="AD820" s="13" t="n"/>
      <c r="AE820" s="13" t="n"/>
      <c r="AF820" s="13" t="n"/>
      <c r="AG820" s="13" t="n"/>
      <c r="AH820" s="13" t="n"/>
      <c r="AI820" s="13" t="n"/>
    </row>
    <row r="821">
      <c r="A821" s="14" t="n">
        <v>202505</v>
      </c>
      <c r="B821" s="15">
        <f>LEFT(creditcard[[#This Row],[YYYYMM]],4)</f>
        <v/>
      </c>
      <c r="C821" s="15">
        <f>RIGHT(creditcard[[#This Row],[YYYYMM]],2)</f>
        <v/>
      </c>
      <c r="D821" s="15">
        <f>IF(RIGHT(creditcard[[#This Row],[YYYYMM]],2)="--","--","Q"&amp;ROUNDUP(VALUE(RIGHT(creditcard[[#This Row],[YYYYMM]],2))/3,0))</f>
        <v/>
      </c>
      <c r="E821" s="15" t="n">
        <v>6</v>
      </c>
      <c r="F821" s="155" t="inlineStr">
        <is>
          <t>星展</t>
        </is>
      </c>
      <c r="G821" s="156" t="inlineStr">
        <is>
          <t>06 星展</t>
        </is>
      </c>
      <c r="H821" s="157" t="n">
        <v>3305397</v>
      </c>
      <c r="I821" s="157" t="n">
        <v>2035932</v>
      </c>
      <c r="J821" s="157" t="n">
        <v>10763</v>
      </c>
      <c r="K821" s="157" t="n">
        <v>16785</v>
      </c>
      <c r="L821" s="157" t="n">
        <v>8610.588</v>
      </c>
      <c r="M821" s="16" t="n"/>
      <c r="N821" s="157" t="n">
        <v>20489.333</v>
      </c>
      <c r="O821" s="16" t="n"/>
      <c r="P821" s="16" t="n"/>
      <c r="Q821" s="17" t="n"/>
      <c r="R821" s="16" t="n"/>
      <c r="S821" s="16" t="n"/>
      <c r="T821" s="16" t="n"/>
      <c r="U821" s="16" t="n"/>
      <c r="V821" s="158" t="n"/>
      <c r="W821" s="16" t="n"/>
      <c r="X821" s="18" t="n"/>
      <c r="Y821" s="18" t="n"/>
      <c r="Z821" s="18" t="n"/>
      <c r="AA821" s="18" t="n"/>
      <c r="AB821" s="18" t="n"/>
      <c r="AC821" s="18" t="n"/>
      <c r="AD821" s="18" t="n"/>
      <c r="AE821" s="18" t="n"/>
      <c r="AF821" s="18" t="n"/>
      <c r="AG821" s="18" t="n"/>
      <c r="AH821" s="18" t="n"/>
      <c r="AI821" s="18" t="n"/>
    </row>
    <row r="822">
      <c r="A822" s="9" t="n">
        <v>202505</v>
      </c>
      <c r="B822" s="10">
        <f>LEFT(creditcard[[#This Row],[YYYYMM]],4)</f>
        <v/>
      </c>
      <c r="C822" s="10">
        <f>RIGHT(creditcard[[#This Row],[YYYYMM]],2)</f>
        <v/>
      </c>
      <c r="D822" s="10">
        <f>IF(RIGHT(creditcard[[#This Row],[YYYYMM]],2)="--","--","Q"&amp;ROUNDUP(VALUE(RIGHT(creditcard[[#This Row],[YYYYMM]],2))/3,0))</f>
        <v/>
      </c>
      <c r="E822" s="10" t="n">
        <v>7</v>
      </c>
      <c r="F822" s="151" t="inlineStr">
        <is>
          <t>聯邦</t>
        </is>
      </c>
      <c r="G822" s="152" t="inlineStr">
        <is>
          <t>07 聯邦</t>
        </is>
      </c>
      <c r="H822" s="153" t="n">
        <v>2753407</v>
      </c>
      <c r="I822" s="153" t="n">
        <v>1849537</v>
      </c>
      <c r="J822" s="153" t="n">
        <v>20762</v>
      </c>
      <c r="K822" s="153" t="n">
        <v>22119</v>
      </c>
      <c r="L822" s="153" t="n">
        <v>6310.787</v>
      </c>
      <c r="M822" s="11" t="n"/>
      <c r="N822" s="153" t="n">
        <v>13893.74</v>
      </c>
      <c r="O822" s="11" t="n"/>
      <c r="P822" s="11" t="n"/>
      <c r="Q822" s="12" t="n"/>
      <c r="R822" s="11" t="n"/>
      <c r="S822" s="11" t="n"/>
      <c r="T822" s="11" t="n"/>
      <c r="U822" s="11" t="n"/>
      <c r="V822" s="154" t="n"/>
      <c r="W822" s="11" t="n"/>
      <c r="X822" s="13" t="n"/>
      <c r="Y822" s="13" t="n"/>
      <c r="Z822" s="13" t="n"/>
      <c r="AA822" s="13" t="n"/>
      <c r="AB822" s="13" t="n"/>
      <c r="AC822" s="13" t="n"/>
      <c r="AD822" s="13" t="n"/>
      <c r="AE822" s="13" t="n"/>
      <c r="AF822" s="13" t="n"/>
      <c r="AG822" s="13" t="n"/>
      <c r="AH822" s="13" t="n"/>
      <c r="AI822" s="13" t="n"/>
    </row>
    <row r="823">
      <c r="A823" s="14" t="n">
        <v>202505</v>
      </c>
      <c r="B823" s="15">
        <f>LEFT(creditcard[[#This Row],[YYYYMM]],4)</f>
        <v/>
      </c>
      <c r="C823" s="15">
        <f>RIGHT(creditcard[[#This Row],[YYYYMM]],2)</f>
        <v/>
      </c>
      <c r="D823" s="15">
        <f>IF(RIGHT(creditcard[[#This Row],[YYYYMM]],2)="--","--","Q"&amp;ROUNDUP(VALUE(RIGHT(creditcard[[#This Row],[YYYYMM]],2))/3,0))</f>
        <v/>
      </c>
      <c r="E823" s="15" t="n">
        <v>8</v>
      </c>
      <c r="F823" s="155" t="inlineStr">
        <is>
          <t>永豐</t>
        </is>
      </c>
      <c r="G823" s="156" t="inlineStr">
        <is>
          <t>08 永豐</t>
        </is>
      </c>
      <c r="H823" s="157" t="n">
        <v>2385042</v>
      </c>
      <c r="I823" s="157" t="n">
        <v>1502193</v>
      </c>
      <c r="J823" s="157" t="n">
        <v>19925</v>
      </c>
      <c r="K823" s="157" t="n">
        <v>5267</v>
      </c>
      <c r="L823" s="157" t="n">
        <v>3870.754</v>
      </c>
      <c r="M823" s="16" t="n"/>
      <c r="N823" s="157" t="n">
        <v>13911.95</v>
      </c>
      <c r="O823" s="16" t="n"/>
      <c r="P823" s="16" t="n"/>
      <c r="Q823" s="17" t="n"/>
      <c r="R823" s="16" t="n"/>
      <c r="S823" s="16" t="n"/>
      <c r="T823" s="16" t="n"/>
      <c r="U823" s="16" t="n"/>
      <c r="V823" s="158" t="n"/>
      <c r="W823" s="16" t="n"/>
      <c r="X823" s="18" t="n"/>
      <c r="Y823" s="18" t="n"/>
      <c r="Z823" s="18" t="n"/>
      <c r="AA823" s="18" t="n"/>
      <c r="AB823" s="18" t="n"/>
      <c r="AC823" s="18" t="n"/>
      <c r="AD823" s="18" t="n"/>
      <c r="AE823" s="18" t="n"/>
      <c r="AF823" s="18" t="n"/>
      <c r="AG823" s="18" t="n"/>
      <c r="AH823" s="18" t="n"/>
      <c r="AI823" s="18" t="n"/>
    </row>
    <row r="824">
      <c r="A824" s="9" t="n">
        <v>202505</v>
      </c>
      <c r="B824" s="10">
        <f>LEFT(creditcard[[#This Row],[YYYYMM]],4)</f>
        <v/>
      </c>
      <c r="C824" s="10">
        <f>RIGHT(creditcard[[#This Row],[YYYYMM]],2)</f>
        <v/>
      </c>
      <c r="D824" s="10">
        <f>IF(RIGHT(creditcard[[#This Row],[YYYYMM]],2)="--","--","Q"&amp;ROUNDUP(VALUE(RIGHT(creditcard[[#This Row],[YYYYMM]],2))/3,0))</f>
        <v/>
      </c>
      <c r="E824" s="10" t="n">
        <v>9</v>
      </c>
      <c r="F824" s="151" t="inlineStr">
        <is>
          <t>第一</t>
        </is>
      </c>
      <c r="G824" s="152" t="inlineStr">
        <is>
          <t>09 第一</t>
        </is>
      </c>
      <c r="H824" s="153" t="n">
        <v>1498099</v>
      </c>
      <c r="I824" s="153" t="n">
        <v>945445</v>
      </c>
      <c r="J824" s="153" t="n">
        <v>9891</v>
      </c>
      <c r="K824" s="153" t="n">
        <v>5663</v>
      </c>
      <c r="L824" s="153" t="n">
        <v>1729.179</v>
      </c>
      <c r="M824" s="11" t="n"/>
      <c r="N824" s="153" t="n">
        <v>6437.411</v>
      </c>
      <c r="O824" s="11" t="n"/>
      <c r="P824" s="11" t="n"/>
      <c r="Q824" s="12" t="n"/>
      <c r="R824" s="11" t="n"/>
      <c r="S824" s="11" t="n"/>
      <c r="T824" s="11" t="n"/>
      <c r="U824" s="11" t="n"/>
      <c r="V824" s="154" t="n"/>
      <c r="W824" s="11" t="n"/>
      <c r="X824" s="13" t="n"/>
      <c r="Y824" s="13" t="n"/>
      <c r="Z824" s="13" t="n"/>
      <c r="AA824" s="13" t="n"/>
      <c r="AB824" s="13" t="n"/>
      <c r="AC824" s="13" t="n"/>
      <c r="AD824" s="13" t="n"/>
      <c r="AE824" s="13" t="n"/>
      <c r="AF824" s="13" t="n"/>
      <c r="AG824" s="13" t="n"/>
      <c r="AH824" s="13" t="n"/>
      <c r="AI824" s="13" t="n"/>
    </row>
    <row r="825">
      <c r="A825" s="14" t="n">
        <v>202505</v>
      </c>
      <c r="B825" s="15">
        <f>LEFT(creditcard[[#This Row],[YYYYMM]],4)</f>
        <v/>
      </c>
      <c r="C825" s="15">
        <f>RIGHT(creditcard[[#This Row],[YYYYMM]],2)</f>
        <v/>
      </c>
      <c r="D825" s="15">
        <f>IF(RIGHT(creditcard[[#This Row],[YYYYMM]],2)="--","--","Q"&amp;ROUNDUP(VALUE(RIGHT(creditcard[[#This Row],[YYYYMM]],2))/3,0))</f>
        <v/>
      </c>
      <c r="E825" s="15" t="n">
        <v>10</v>
      </c>
      <c r="F825" s="155" t="inlineStr">
        <is>
          <t>遠東</t>
        </is>
      </c>
      <c r="G825" s="156" t="inlineStr">
        <is>
          <t>10 遠東</t>
        </is>
      </c>
      <c r="H825" s="157" t="n">
        <v>1360965</v>
      </c>
      <c r="I825" s="157" t="n">
        <v>942748</v>
      </c>
      <c r="J825" s="157" t="n">
        <v>8816</v>
      </c>
      <c r="K825" s="157" t="n">
        <v>7413</v>
      </c>
      <c r="L825" s="157" t="n">
        <v>3248.175</v>
      </c>
      <c r="M825" s="16" t="n"/>
      <c r="N825" s="157" t="n">
        <v>4074.317</v>
      </c>
      <c r="O825" s="16" t="n"/>
      <c r="P825" s="16" t="n"/>
      <c r="Q825" s="17" t="n"/>
      <c r="R825" s="16" t="n"/>
      <c r="S825" s="16" t="n"/>
      <c r="T825" s="16" t="n"/>
      <c r="U825" s="16" t="n"/>
      <c r="V825" s="158" t="n"/>
      <c r="W825" s="16" t="n"/>
      <c r="X825" s="18" t="n"/>
      <c r="Y825" s="18" t="n"/>
      <c r="Z825" s="18" t="n"/>
      <c r="AA825" s="18" t="n"/>
      <c r="AB825" s="18" t="n"/>
      <c r="AC825" s="18" t="n"/>
      <c r="AD825" s="18" t="n"/>
      <c r="AE825" s="18" t="n"/>
      <c r="AF825" s="18" t="n"/>
      <c r="AG825" s="18" t="n"/>
      <c r="AH825" s="18" t="n"/>
      <c r="AI825" s="18" t="n"/>
    </row>
    <row r="826">
      <c r="A826" s="9" t="n">
        <v>202505</v>
      </c>
      <c r="B826" s="10">
        <f>LEFT(creditcard[[#This Row],[YYYYMM]],4)</f>
        <v/>
      </c>
      <c r="C826" s="10">
        <f>RIGHT(creditcard[[#This Row],[YYYYMM]],2)</f>
        <v/>
      </c>
      <c r="D826" s="10">
        <f>IF(RIGHT(creditcard[[#This Row],[YYYYMM]],2)="--","--","Q"&amp;ROUNDUP(VALUE(RIGHT(creditcard[[#This Row],[YYYYMM]],2))/3,0))</f>
        <v/>
      </c>
      <c r="E826" s="10" t="n">
        <v>11</v>
      </c>
      <c r="F826" s="151" t="inlineStr">
        <is>
          <t>市場總計</t>
        </is>
      </c>
      <c r="G826" s="152" t="inlineStr">
        <is>
          <t>11 市場總計</t>
        </is>
      </c>
      <c r="H826" s="153" t="n">
        <v>59795907</v>
      </c>
      <c r="I826" s="153" t="n">
        <v>39542944</v>
      </c>
      <c r="J826" s="153" t="n">
        <v>770180</v>
      </c>
      <c r="K826" s="153" t="n">
        <v>376240</v>
      </c>
      <c r="L826" s="153" t="n">
        <v>113422.508</v>
      </c>
      <c r="M826" s="161" t="n">
        <v>156708.905</v>
      </c>
      <c r="N826" s="153" t="n">
        <v>371785.303</v>
      </c>
      <c r="O826" s="161" t="n">
        <v>1496.782</v>
      </c>
      <c r="P826" s="12" t="n">
        <v>0.002953712807749106</v>
      </c>
      <c r="Q826" s="12" t="n">
        <v>0.0004861973804103083</v>
      </c>
      <c r="R826" s="20" t="n">
        <v>4.515476708905346</v>
      </c>
      <c r="S826" s="161" t="n">
        <v>600.8440000000001</v>
      </c>
      <c r="T826" s="161" t="n">
        <v>3124.159</v>
      </c>
      <c r="U826" s="11" t="n"/>
      <c r="V826" s="154" t="n">
        <v>4.64</v>
      </c>
      <c r="W826" s="11">
        <f>SUMIFS(H:H,A:A,creditcard[[#This Row],[YYYYMM]],G:G,creditcard[[#This Row],[Item]])</f>
        <v/>
      </c>
      <c r="X826" s="4">
        <f>IFERROR(SUMIFS(H:H,A:A,creditcard[[#This Row],[YYYYMM]],E:E,"&lt;=5")/creditcard[[#This Row],[市場總計]],"")</f>
        <v/>
      </c>
      <c r="Y826" s="4">
        <f>IFERROR(SUMIFS(H:H,A:A,creditcard[[#This Row],[YYYYMM]],E:E,"&lt;=10")/creditcard[[#This Row],[市場總計]],"")</f>
        <v/>
      </c>
      <c r="Z826" s="4">
        <f>IFERROR(SUMIFS(I:I,A:A,creditcard[[#This Row],[YYYYMM]],E:E,"&lt;=5")/creditcard[[#This Row],[有效卡數]],"")</f>
        <v/>
      </c>
      <c r="AA826" s="4">
        <f>IFERROR(SUMIFS(I:I,A:A,creditcard[[#This Row],[YYYYMM]],E:E,"&lt;=10")/creditcard[[#This Row],[有效卡數]],"")</f>
        <v/>
      </c>
      <c r="AB826" s="4">
        <f>IFERROR(SUMIFS(J:J,A:A,creditcard[[#This Row],[YYYYMM]],E:E,"&lt;=5")/creditcard[[#This Row],[當月發卡數]],"")</f>
        <v/>
      </c>
      <c r="AC826" s="4">
        <f>IFERROR(SUMIFS(J:J,A:A,creditcard[[#This Row],[YYYYMM]],E:E,"&lt;=10")/creditcard[[#This Row],[當月發卡數]],"")</f>
        <v/>
      </c>
      <c r="AD826" s="4">
        <f>IFERROR(SUMIFS(K:K,A:A,creditcard[[#This Row],[YYYYMM]],E:E,"&lt;=5")/creditcard[[#This Row],[當月停卡數]],"")</f>
        <v/>
      </c>
      <c r="AE826" s="4">
        <f>IFERROR(SUMIFS(K:K,A:A,creditcard[[#This Row],[YYYYMM]],E:E,"&lt;=10")/creditcard[[#This Row],[當月停卡數]],"")</f>
        <v/>
      </c>
      <c r="AF826" s="4">
        <f>IFERROR(SUMIFS(L:L,A:A,creditcard[[#This Row],[YYYYMM]],E:E,"&lt;=5")/creditcard[[#This Row],[循環信用餘額]],"")</f>
        <v/>
      </c>
      <c r="AG826" s="4">
        <f>IFERROR(SUMIFS(L:L,A:A,creditcard[[#This Row],[YYYYMM]],E:E,"&lt;=10")/creditcard[[#This Row],[循環信用餘額]],"")</f>
        <v/>
      </c>
      <c r="AH826" s="4">
        <f>IFERROR(SUMIFS(N:N,A:A,creditcard[[#This Row],[YYYYMM]],E:E,"&lt;=5")/creditcard[[#This Row],[當月簽帳金額]],"")</f>
        <v/>
      </c>
      <c r="AI826" s="4">
        <f>IFERROR(SUMIFS(N:N,A:A,creditcard[[#This Row],[YYYYMM]],E:E,"&lt;=10")/creditcard[[#This Row],[當月簽帳金額]],"")</f>
        <v/>
      </c>
    </row>
    <row r="827">
      <c r="A827" s="14" t="n">
        <v>202506</v>
      </c>
      <c r="B827" s="15">
        <f>LEFT(creditcard[[#This Row],[YYYYMM]],4)</f>
        <v/>
      </c>
      <c r="C827" s="15">
        <f>RIGHT(creditcard[[#This Row],[YYYYMM]],2)</f>
        <v/>
      </c>
      <c r="D827" s="15">
        <f>IF(RIGHT(creditcard[[#This Row],[YYYYMM]],2)="--","--","Q"&amp;ROUNDUP(VALUE(RIGHT(creditcard[[#This Row],[YYYYMM]],2))/3,0))</f>
        <v/>
      </c>
      <c r="E827" s="15" t="n">
        <v>1</v>
      </c>
      <c r="F827" s="155" t="inlineStr">
        <is>
          <t>中信</t>
        </is>
      </c>
      <c r="G827" s="156" t="inlineStr">
        <is>
          <t>01 中信</t>
        </is>
      </c>
      <c r="H827" s="157" t="n">
        <v>9032991</v>
      </c>
      <c r="I827" s="157" t="n">
        <v>6062309</v>
      </c>
      <c r="J827" s="157" t="n">
        <v>83021</v>
      </c>
      <c r="K827" s="157" t="n">
        <v>139202</v>
      </c>
      <c r="L827" s="157" t="n">
        <v>17114.879</v>
      </c>
      <c r="M827" s="16" t="n"/>
      <c r="N827" s="157" t="n">
        <v>67106.145</v>
      </c>
      <c r="O827" s="16" t="n"/>
      <c r="P827" s="16" t="n"/>
      <c r="Q827" s="17" t="n"/>
      <c r="R827" s="16" t="n"/>
      <c r="S827" s="16" t="n"/>
      <c r="T827" s="16" t="n"/>
      <c r="U827" s="16" t="n"/>
      <c r="V827" s="158" t="n"/>
      <c r="W827" s="16" t="n"/>
      <c r="X827" s="18" t="n"/>
      <c r="Y827" s="18" t="n"/>
      <c r="Z827" s="18" t="n"/>
      <c r="AA827" s="18" t="n"/>
      <c r="AB827" s="18" t="n"/>
      <c r="AC827" s="18" t="n"/>
      <c r="AD827" s="18" t="n"/>
      <c r="AE827" s="18" t="n"/>
      <c r="AF827" s="18" t="n"/>
      <c r="AG827" s="18" t="n"/>
      <c r="AH827" s="18" t="n"/>
      <c r="AI827" s="18" t="n"/>
    </row>
    <row r="828">
      <c r="A828" s="9" t="n">
        <v>202506</v>
      </c>
      <c r="B828" s="10">
        <f>LEFT(creditcard[[#This Row],[YYYYMM]],4)</f>
        <v/>
      </c>
      <c r="C828" s="10">
        <f>RIGHT(creditcard[[#This Row],[YYYYMM]],2)</f>
        <v/>
      </c>
      <c r="D828" s="10">
        <f>IF(RIGHT(creditcard[[#This Row],[YYYYMM]],2)="--","--","Q"&amp;ROUNDUP(VALUE(RIGHT(creditcard[[#This Row],[YYYYMM]],2))/3,0))</f>
        <v/>
      </c>
      <c r="E828" s="10" t="n">
        <v>2</v>
      </c>
      <c r="F828" s="151" t="inlineStr">
        <is>
          <t>富邦</t>
        </is>
      </c>
      <c r="G828" s="152" t="inlineStr">
        <is>
          <t>02 富邦</t>
        </is>
      </c>
      <c r="H828" s="153" t="n">
        <v>7416412</v>
      </c>
      <c r="I828" s="153" t="n">
        <v>5766030</v>
      </c>
      <c r="J828" s="153" t="n">
        <v>40026</v>
      </c>
      <c r="K828" s="153" t="n">
        <v>81083</v>
      </c>
      <c r="L828" s="153" t="n">
        <v>10892.648</v>
      </c>
      <c r="M828" s="11" t="n"/>
      <c r="N828" s="153" t="n">
        <v>50976.41</v>
      </c>
      <c r="O828" s="11" t="n"/>
      <c r="P828" s="11" t="n"/>
      <c r="Q828" s="12" t="n"/>
      <c r="R828" s="11" t="n"/>
      <c r="S828" s="11" t="n"/>
      <c r="T828" s="11" t="n"/>
      <c r="U828" s="11" t="n"/>
      <c r="V828" s="154" t="n"/>
      <c r="W828" s="11" t="n"/>
      <c r="X828" s="13" t="n"/>
      <c r="Y828" s="13" t="n"/>
      <c r="Z828" s="13" t="n"/>
      <c r="AA828" s="13" t="n"/>
      <c r="AB828" s="13" t="n"/>
      <c r="AC828" s="13" t="n"/>
      <c r="AD828" s="13" t="n"/>
      <c r="AE828" s="13" t="n"/>
      <c r="AF828" s="13" t="n"/>
      <c r="AG828" s="13" t="n"/>
      <c r="AH828" s="13" t="n"/>
      <c r="AI828" s="13" t="n"/>
    </row>
    <row r="829">
      <c r="A829" s="14" t="n">
        <v>202506</v>
      </c>
      <c r="B829" s="15">
        <f>LEFT(creditcard[[#This Row],[YYYYMM]],4)</f>
        <v/>
      </c>
      <c r="C829" s="15">
        <f>RIGHT(creditcard[[#This Row],[YYYYMM]],2)</f>
        <v/>
      </c>
      <c r="D829" s="15">
        <f>IF(RIGHT(creditcard[[#This Row],[YYYYMM]],2)="--","--","Q"&amp;ROUNDUP(VALUE(RIGHT(creditcard[[#This Row],[YYYYMM]],2))/3,0))</f>
        <v/>
      </c>
      <c r="E829" s="15" t="n">
        <v>3</v>
      </c>
      <c r="F829" s="155" t="inlineStr">
        <is>
          <t>國泰</t>
        </is>
      </c>
      <c r="G829" s="156" t="inlineStr">
        <is>
          <t>03 國泰</t>
        </is>
      </c>
      <c r="H829" s="157" t="n">
        <v>7278354</v>
      </c>
      <c r="I829" s="157" t="n">
        <v>5097934</v>
      </c>
      <c r="J829" s="157" t="n">
        <v>47029</v>
      </c>
      <c r="K829" s="157" t="n">
        <v>25005</v>
      </c>
      <c r="L829" s="157" t="n">
        <v>21354.513</v>
      </c>
      <c r="M829" s="16" t="n"/>
      <c r="N829" s="157" t="n">
        <v>68536.269</v>
      </c>
      <c r="O829" s="16" t="n"/>
      <c r="P829" s="16" t="n"/>
      <c r="Q829" s="17" t="n"/>
      <c r="R829" s="16" t="n"/>
      <c r="S829" s="16" t="n"/>
      <c r="T829" s="16" t="n"/>
      <c r="U829" s="16" t="n"/>
      <c r="V829" s="158" t="n"/>
      <c r="W829" s="16" t="n"/>
      <c r="X829" s="18" t="n"/>
      <c r="Y829" s="18" t="n"/>
      <c r="Z829" s="18" t="n"/>
      <c r="AA829" s="18" t="n"/>
      <c r="AB829" s="18" t="n"/>
      <c r="AC829" s="18" t="n"/>
      <c r="AD829" s="18" t="n"/>
      <c r="AE829" s="18" t="n"/>
      <c r="AF829" s="18" t="n"/>
      <c r="AG829" s="18" t="n"/>
      <c r="AH829" s="18" t="n"/>
      <c r="AI829" s="18" t="n"/>
    </row>
    <row r="830">
      <c r="A830" s="9" t="n">
        <v>202506</v>
      </c>
      <c r="B830" s="10">
        <f>LEFT(creditcard[[#This Row],[YYYYMM]],4)</f>
        <v/>
      </c>
      <c r="C830" s="10">
        <f>RIGHT(creditcard[[#This Row],[YYYYMM]],2)</f>
        <v/>
      </c>
      <c r="D830" s="10">
        <f>IF(RIGHT(creditcard[[#This Row],[YYYYMM]],2)="--","--","Q"&amp;ROUNDUP(VALUE(RIGHT(creditcard[[#This Row],[YYYYMM]],2))/3,0))</f>
        <v/>
      </c>
      <c r="E830" s="10" t="n">
        <v>4</v>
      </c>
      <c r="F830" s="151" t="inlineStr">
        <is>
          <t>玉山</t>
        </is>
      </c>
      <c r="G830" s="152" t="inlineStr">
        <is>
          <t>04 玉山</t>
        </is>
      </c>
      <c r="H830" s="153" t="n">
        <v>8704463</v>
      </c>
      <c r="I830" s="153" t="n">
        <v>5294461</v>
      </c>
      <c r="J830" s="153" t="n">
        <v>187426</v>
      </c>
      <c r="K830" s="153" t="n">
        <v>61045</v>
      </c>
      <c r="L830" s="153" t="n">
        <v>18064.518</v>
      </c>
      <c r="M830" s="11" t="n"/>
      <c r="N830" s="153" t="n">
        <v>49495.494</v>
      </c>
      <c r="O830" s="11" t="n"/>
      <c r="P830" s="11" t="n"/>
      <c r="Q830" s="12" t="n"/>
      <c r="R830" s="11" t="n"/>
      <c r="S830" s="11" t="n"/>
      <c r="T830" s="11" t="n"/>
      <c r="U830" s="11" t="n"/>
      <c r="V830" s="154" t="n"/>
      <c r="W830" s="11" t="n"/>
      <c r="X830" s="13" t="n"/>
      <c r="Y830" s="13" t="n"/>
      <c r="Z830" s="13" t="n"/>
      <c r="AA830" s="13" t="n"/>
      <c r="AB830" s="13" t="n"/>
      <c r="AC830" s="13" t="n"/>
      <c r="AD830" s="13" t="n"/>
      <c r="AE830" s="13" t="n"/>
      <c r="AF830" s="13" t="n"/>
      <c r="AG830" s="13" t="n"/>
      <c r="AH830" s="13" t="n"/>
      <c r="AI830" s="13" t="n"/>
    </row>
    <row r="831">
      <c r="A831" s="14" t="n">
        <v>202506</v>
      </c>
      <c r="B831" s="15">
        <f>LEFT(creditcard[[#This Row],[YYYYMM]],4)</f>
        <v/>
      </c>
      <c r="C831" s="15">
        <f>RIGHT(creditcard[[#This Row],[YYYYMM]],2)</f>
        <v/>
      </c>
      <c r="D831" s="15">
        <f>IF(RIGHT(creditcard[[#This Row],[YYYYMM]],2)="--","--","Q"&amp;ROUNDUP(VALUE(RIGHT(creditcard[[#This Row],[YYYYMM]],2))/3,0))</f>
        <v/>
      </c>
      <c r="E831" s="15" t="n">
        <v>5</v>
      </c>
      <c r="F831" s="155" t="inlineStr">
        <is>
          <t>台新</t>
        </is>
      </c>
      <c r="G831" s="156" t="inlineStr">
        <is>
          <t>05 台新</t>
        </is>
      </c>
      <c r="H831" s="157" t="n">
        <v>6623906</v>
      </c>
      <c r="I831" s="157" t="n">
        <v>4874392</v>
      </c>
      <c r="J831" s="157" t="n">
        <v>42672</v>
      </c>
      <c r="K831" s="157" t="n">
        <v>38629</v>
      </c>
      <c r="L831" s="157" t="n">
        <v>10906.152</v>
      </c>
      <c r="M831" s="16" t="n"/>
      <c r="N831" s="157" t="n">
        <v>43848.944</v>
      </c>
      <c r="O831" s="16" t="n"/>
      <c r="P831" s="16" t="n"/>
      <c r="Q831" s="17" t="n"/>
      <c r="R831" s="16" t="n"/>
      <c r="S831" s="16" t="n"/>
      <c r="T831" s="16" t="n"/>
      <c r="U831" s="16" t="n"/>
      <c r="V831" s="158" t="n"/>
      <c r="W831" s="16" t="n"/>
      <c r="X831" s="18" t="n"/>
      <c r="Y831" s="18" t="n"/>
      <c r="Z831" s="18" t="n"/>
      <c r="AA831" s="18" t="n"/>
      <c r="AB831" s="18" t="n"/>
      <c r="AC831" s="18" t="n"/>
      <c r="AD831" s="18" t="n"/>
      <c r="AE831" s="18" t="n"/>
      <c r="AF831" s="18" t="n"/>
      <c r="AG831" s="18" t="n"/>
      <c r="AH831" s="18" t="n"/>
      <c r="AI831" s="18" t="n"/>
    </row>
    <row r="832">
      <c r="A832" s="9" t="n">
        <v>202506</v>
      </c>
      <c r="B832" s="10">
        <f>LEFT(creditcard[[#This Row],[YYYYMM]],4)</f>
        <v/>
      </c>
      <c r="C832" s="10">
        <f>RIGHT(creditcard[[#This Row],[YYYYMM]],2)</f>
        <v/>
      </c>
      <c r="D832" s="10">
        <f>IF(RIGHT(creditcard[[#This Row],[YYYYMM]],2)="--","--","Q"&amp;ROUNDUP(VALUE(RIGHT(creditcard[[#This Row],[YYYYMM]],2))/3,0))</f>
        <v/>
      </c>
      <c r="E832" s="10" t="n">
        <v>6</v>
      </c>
      <c r="F832" s="151" t="inlineStr">
        <is>
          <t>星展</t>
        </is>
      </c>
      <c r="G832" s="152" t="inlineStr">
        <is>
          <t>06 星展</t>
        </is>
      </c>
      <c r="H832" s="153" t="n">
        <v>3309685</v>
      </c>
      <c r="I832" s="153" t="n">
        <v>2031513</v>
      </c>
      <c r="J832" s="153" t="n">
        <v>12045</v>
      </c>
      <c r="K832" s="153" t="n">
        <v>17226</v>
      </c>
      <c r="L832" s="153" t="n">
        <v>8606.969999999999</v>
      </c>
      <c r="M832" s="11" t="n"/>
      <c r="N832" s="153" t="n">
        <v>21065.494</v>
      </c>
      <c r="O832" s="11" t="n"/>
      <c r="P832" s="11" t="n"/>
      <c r="Q832" s="12" t="n"/>
      <c r="R832" s="11" t="n"/>
      <c r="S832" s="11" t="n"/>
      <c r="T832" s="11" t="n"/>
      <c r="U832" s="11" t="n"/>
      <c r="V832" s="154" t="n"/>
      <c r="W832" s="11" t="n"/>
      <c r="X832" s="13" t="n"/>
      <c r="Y832" s="13" t="n"/>
      <c r="Z832" s="13" t="n"/>
      <c r="AA832" s="13" t="n"/>
      <c r="AB832" s="13" t="n"/>
      <c r="AC832" s="13" t="n"/>
      <c r="AD832" s="13" t="n"/>
      <c r="AE832" s="13" t="n"/>
      <c r="AF832" s="13" t="n"/>
      <c r="AG832" s="13" t="n"/>
      <c r="AH832" s="13" t="n"/>
      <c r="AI832" s="13" t="n"/>
    </row>
    <row r="833">
      <c r="A833" s="14" t="n">
        <v>202506</v>
      </c>
      <c r="B833" s="15">
        <f>LEFT(creditcard[[#This Row],[YYYYMM]],4)</f>
        <v/>
      </c>
      <c r="C833" s="15">
        <f>RIGHT(creditcard[[#This Row],[YYYYMM]],2)</f>
        <v/>
      </c>
      <c r="D833" s="15">
        <f>IF(RIGHT(creditcard[[#This Row],[YYYYMM]],2)="--","--","Q"&amp;ROUNDUP(VALUE(RIGHT(creditcard[[#This Row],[YYYYMM]],2))/3,0))</f>
        <v/>
      </c>
      <c r="E833" s="15" t="n">
        <v>7</v>
      </c>
      <c r="F833" s="155" t="inlineStr">
        <is>
          <t>聯邦</t>
        </is>
      </c>
      <c r="G833" s="156" t="inlineStr">
        <is>
          <t>07 聯邦</t>
        </is>
      </c>
      <c r="H833" s="157" t="n">
        <v>2752496</v>
      </c>
      <c r="I833" s="157" t="n">
        <v>1846699</v>
      </c>
      <c r="J833" s="157" t="n">
        <v>20754</v>
      </c>
      <c r="K833" s="157" t="n">
        <v>21665</v>
      </c>
      <c r="L833" s="157" t="n">
        <v>6396.39</v>
      </c>
      <c r="M833" s="16" t="n"/>
      <c r="N833" s="157" t="n">
        <v>14276.318</v>
      </c>
      <c r="O833" s="16" t="n"/>
      <c r="P833" s="16" t="n"/>
      <c r="Q833" s="17" t="n"/>
      <c r="R833" s="16" t="n"/>
      <c r="S833" s="16" t="n"/>
      <c r="T833" s="16" t="n"/>
      <c r="U833" s="16" t="n"/>
      <c r="V833" s="158" t="n"/>
      <c r="W833" s="16" t="n"/>
      <c r="X833" s="18" t="n"/>
      <c r="Y833" s="18" t="n"/>
      <c r="Z833" s="18" t="n"/>
      <c r="AA833" s="18" t="n"/>
      <c r="AB833" s="18" t="n"/>
      <c r="AC833" s="18" t="n"/>
      <c r="AD833" s="18" t="n"/>
      <c r="AE833" s="18" t="n"/>
      <c r="AF833" s="18" t="n"/>
      <c r="AG833" s="18" t="n"/>
      <c r="AH833" s="18" t="n"/>
      <c r="AI833" s="18" t="n"/>
    </row>
    <row r="834">
      <c r="A834" s="9" t="n">
        <v>202506</v>
      </c>
      <c r="B834" s="10">
        <f>LEFT(creditcard[[#This Row],[YYYYMM]],4)</f>
        <v/>
      </c>
      <c r="C834" s="10">
        <f>RIGHT(creditcard[[#This Row],[YYYYMM]],2)</f>
        <v/>
      </c>
      <c r="D834" s="10">
        <f>IF(RIGHT(creditcard[[#This Row],[YYYYMM]],2)="--","--","Q"&amp;ROUNDUP(VALUE(RIGHT(creditcard[[#This Row],[YYYYMM]],2))/3,0))</f>
        <v/>
      </c>
      <c r="E834" s="10" t="n">
        <v>8</v>
      </c>
      <c r="F834" s="151" t="inlineStr">
        <is>
          <t>永豐</t>
        </is>
      </c>
      <c r="G834" s="152" t="inlineStr">
        <is>
          <t>08 永豐</t>
        </is>
      </c>
      <c r="H834" s="153" t="n">
        <v>2398255</v>
      </c>
      <c r="I834" s="153" t="n">
        <v>1503827</v>
      </c>
      <c r="J834" s="153" t="n">
        <v>18675</v>
      </c>
      <c r="K834" s="153" t="n">
        <v>5046</v>
      </c>
      <c r="L834" s="153" t="n">
        <v>3868.65</v>
      </c>
      <c r="M834" s="11" t="n"/>
      <c r="N834" s="153" t="n">
        <v>14413.467</v>
      </c>
      <c r="O834" s="11" t="n"/>
      <c r="P834" s="11" t="n"/>
      <c r="Q834" s="12" t="n"/>
      <c r="R834" s="11" t="n"/>
      <c r="S834" s="11" t="n"/>
      <c r="T834" s="11" t="n"/>
      <c r="U834" s="11" t="n"/>
      <c r="V834" s="154" t="n"/>
      <c r="W834" s="11" t="n"/>
      <c r="X834" s="13" t="n"/>
      <c r="Y834" s="13" t="n"/>
      <c r="Z834" s="13" t="n"/>
      <c r="AA834" s="13" t="n"/>
      <c r="AB834" s="13" t="n"/>
      <c r="AC834" s="13" t="n"/>
      <c r="AD834" s="13" t="n"/>
      <c r="AE834" s="13" t="n"/>
      <c r="AF834" s="13" t="n"/>
      <c r="AG834" s="13" t="n"/>
      <c r="AH834" s="13" t="n"/>
      <c r="AI834" s="13" t="n"/>
    </row>
    <row r="835">
      <c r="A835" s="14" t="n">
        <v>202506</v>
      </c>
      <c r="B835" s="15">
        <f>LEFT(creditcard[[#This Row],[YYYYMM]],4)</f>
        <v/>
      </c>
      <c r="C835" s="15">
        <f>RIGHT(creditcard[[#This Row],[YYYYMM]],2)</f>
        <v/>
      </c>
      <c r="D835" s="15">
        <f>IF(RIGHT(creditcard[[#This Row],[YYYYMM]],2)="--","--","Q"&amp;ROUNDUP(VALUE(RIGHT(creditcard[[#This Row],[YYYYMM]],2))/3,0))</f>
        <v/>
      </c>
      <c r="E835" s="15" t="n">
        <v>9</v>
      </c>
      <c r="F835" s="155" t="inlineStr">
        <is>
          <t>第一</t>
        </is>
      </c>
      <c r="G835" s="156" t="inlineStr">
        <is>
          <t>09 第一</t>
        </is>
      </c>
      <c r="H835" s="157" t="n">
        <v>1502440</v>
      </c>
      <c r="I835" s="157" t="n">
        <v>946717</v>
      </c>
      <c r="J835" s="157" t="n">
        <v>9308</v>
      </c>
      <c r="K835" s="157" t="n">
        <v>5395</v>
      </c>
      <c r="L835" s="157" t="n">
        <v>1253.738</v>
      </c>
      <c r="M835" s="16" t="n"/>
      <c r="N835" s="157" t="n">
        <v>6620.35</v>
      </c>
      <c r="O835" s="16" t="n"/>
      <c r="P835" s="16" t="n"/>
      <c r="Q835" s="17" t="n"/>
      <c r="R835" s="16" t="n"/>
      <c r="S835" s="16" t="n"/>
      <c r="T835" s="16" t="n"/>
      <c r="U835" s="16" t="n"/>
      <c r="V835" s="158" t="n"/>
      <c r="W835" s="16" t="n"/>
      <c r="X835" s="18" t="n"/>
      <c r="Y835" s="18" t="n"/>
      <c r="Z835" s="18" t="n"/>
      <c r="AA835" s="18" t="n"/>
      <c r="AB835" s="18" t="n"/>
      <c r="AC835" s="18" t="n"/>
      <c r="AD835" s="18" t="n"/>
      <c r="AE835" s="18" t="n"/>
      <c r="AF835" s="18" t="n"/>
      <c r="AG835" s="18" t="n"/>
      <c r="AH835" s="18" t="n"/>
      <c r="AI835" s="18" t="n"/>
    </row>
    <row r="836">
      <c r="A836" s="9" t="n">
        <v>202506</v>
      </c>
      <c r="B836" s="10">
        <f>LEFT(creditcard[[#This Row],[YYYYMM]],4)</f>
        <v/>
      </c>
      <c r="C836" s="10">
        <f>RIGHT(creditcard[[#This Row],[YYYYMM]],2)</f>
        <v/>
      </c>
      <c r="D836" s="10">
        <f>IF(RIGHT(creditcard[[#This Row],[YYYYMM]],2)="--","--","Q"&amp;ROUNDUP(VALUE(RIGHT(creditcard[[#This Row],[YYYYMM]],2))/3,0))</f>
        <v/>
      </c>
      <c r="E836" s="10" t="n">
        <v>10</v>
      </c>
      <c r="F836" s="151" t="inlineStr">
        <is>
          <t>遠東</t>
        </is>
      </c>
      <c r="G836" s="152" t="inlineStr">
        <is>
          <t>10 遠東</t>
        </is>
      </c>
      <c r="H836" s="153" t="n">
        <v>1360053</v>
      </c>
      <c r="I836" s="153" t="n">
        <v>935241</v>
      </c>
      <c r="J836" s="153" t="n">
        <v>7187</v>
      </c>
      <c r="K836" s="153" t="n">
        <v>8122</v>
      </c>
      <c r="L836" s="153" t="n">
        <v>3218.499</v>
      </c>
      <c r="M836" s="11" t="n"/>
      <c r="N836" s="153" t="n">
        <v>4189.889</v>
      </c>
      <c r="O836" s="11" t="n"/>
      <c r="P836" s="11" t="n"/>
      <c r="Q836" s="12" t="n"/>
      <c r="R836" s="11" t="n"/>
      <c r="S836" s="11" t="n"/>
      <c r="T836" s="11" t="n"/>
      <c r="U836" s="11" t="n"/>
      <c r="V836" s="154" t="n"/>
      <c r="W836" s="11" t="n"/>
      <c r="X836" s="13" t="n"/>
      <c r="Y836" s="13" t="n"/>
      <c r="Z836" s="13" t="n"/>
      <c r="AA836" s="13" t="n"/>
      <c r="AB836" s="13" t="n"/>
      <c r="AC836" s="13" t="n"/>
      <c r="AD836" s="13" t="n"/>
      <c r="AE836" s="13" t="n"/>
      <c r="AF836" s="13" t="n"/>
      <c r="AG836" s="13" t="n"/>
      <c r="AH836" s="13" t="n"/>
      <c r="AI836" s="13" t="n"/>
    </row>
    <row r="837">
      <c r="A837" s="14" t="n">
        <v>202506</v>
      </c>
      <c r="B837" s="15">
        <f>LEFT(creditcard[[#This Row],[YYYYMM]],4)</f>
        <v/>
      </c>
      <c r="C837" s="15">
        <f>RIGHT(creditcard[[#This Row],[YYYYMM]],2)</f>
        <v/>
      </c>
      <c r="D837" s="15">
        <f>IF(RIGHT(creditcard[[#This Row],[YYYYMM]],2)="--","--","Q"&amp;ROUNDUP(VALUE(RIGHT(creditcard[[#This Row],[YYYYMM]],2))/3,0))</f>
        <v/>
      </c>
      <c r="E837" s="15" t="n">
        <v>11</v>
      </c>
      <c r="F837" s="155" t="inlineStr">
        <is>
          <t>市場總計</t>
        </is>
      </c>
      <c r="G837" s="156" t="inlineStr">
        <is>
          <t>11 市場總計</t>
        </is>
      </c>
      <c r="H837" s="157" t="n">
        <v>59869255</v>
      </c>
      <c r="I837" s="157" t="n">
        <v>39622444</v>
      </c>
      <c r="J837" s="157" t="n">
        <v>520101</v>
      </c>
      <c r="K837" s="157" t="n">
        <v>460380</v>
      </c>
      <c r="L837" s="157" t="n">
        <v>115449.666</v>
      </c>
      <c r="M837" s="160" t="n">
        <v>154904.018</v>
      </c>
      <c r="N837" s="157" t="n">
        <v>393715.829</v>
      </c>
      <c r="O837" s="160" t="n">
        <v>1581.758</v>
      </c>
      <c r="P837" s="17" t="n">
        <v>0.002921185608318617</v>
      </c>
      <c r="Q837" s="17" t="n">
        <v>0.0004660089919469209</v>
      </c>
      <c r="R837" s="19" t="n">
        <v>4.517427944525413</v>
      </c>
      <c r="S837" s="160" t="n">
        <v>617.225</v>
      </c>
      <c r="T837" s="160" t="n">
        <v>3741.384</v>
      </c>
      <c r="U837" s="16" t="n"/>
      <c r="V837" s="158" t="n">
        <v>4.64</v>
      </c>
      <c r="W837" s="16">
        <f>SUMIFS(H:H,A:A,creditcard[[#This Row],[YYYYMM]],G:G,creditcard[[#This Row],[Item]])</f>
        <v/>
      </c>
      <c r="X837" s="4">
        <f>IFERROR(SUMIFS(H:H,A:A,creditcard[[#This Row],[YYYYMM]],E:E,"&lt;=5")/creditcard[[#This Row],[市場總計]],"")</f>
        <v/>
      </c>
      <c r="Y837" s="4">
        <f>IFERROR(SUMIFS(H:H,A:A,creditcard[[#This Row],[YYYYMM]],E:E,"&lt;=10")/creditcard[[#This Row],[市場總計]],"")</f>
        <v/>
      </c>
      <c r="Z837" s="4">
        <f>IFERROR(SUMIFS(I:I,A:A,creditcard[[#This Row],[YYYYMM]],E:E,"&lt;=5")/creditcard[[#This Row],[有效卡數]],"")</f>
        <v/>
      </c>
      <c r="AA837" s="4">
        <f>IFERROR(SUMIFS(I:I,A:A,creditcard[[#This Row],[YYYYMM]],E:E,"&lt;=10")/creditcard[[#This Row],[有效卡數]],"")</f>
        <v/>
      </c>
      <c r="AB837" s="4">
        <f>IFERROR(SUMIFS(J:J,A:A,creditcard[[#This Row],[YYYYMM]],E:E,"&lt;=5")/creditcard[[#This Row],[當月發卡數]],"")</f>
        <v/>
      </c>
      <c r="AC837" s="4">
        <f>IFERROR(SUMIFS(J:J,A:A,creditcard[[#This Row],[YYYYMM]],E:E,"&lt;=10")/creditcard[[#This Row],[當月發卡數]],"")</f>
        <v/>
      </c>
      <c r="AD837" s="4">
        <f>IFERROR(SUMIFS(K:K,A:A,creditcard[[#This Row],[YYYYMM]],E:E,"&lt;=5")/creditcard[[#This Row],[當月停卡數]],"")</f>
        <v/>
      </c>
      <c r="AE837" s="4">
        <f>IFERROR(SUMIFS(K:K,A:A,creditcard[[#This Row],[YYYYMM]],E:E,"&lt;=10")/creditcard[[#This Row],[當月停卡數]],"")</f>
        <v/>
      </c>
      <c r="AF837" s="4">
        <f>IFERROR(SUMIFS(L:L,A:A,creditcard[[#This Row],[YYYYMM]],E:E,"&lt;=5")/creditcard[[#This Row],[循環信用餘額]],"")</f>
        <v/>
      </c>
      <c r="AG837" s="4">
        <f>IFERROR(SUMIFS(L:L,A:A,creditcard[[#This Row],[YYYYMM]],E:E,"&lt;=10")/creditcard[[#This Row],[循環信用餘額]],"")</f>
        <v/>
      </c>
      <c r="AH837" s="4">
        <f>IFERROR(SUMIFS(N:N,A:A,creditcard[[#This Row],[YYYYMM]],E:E,"&lt;=5")/creditcard[[#This Row],[當月簽帳金額]],"")</f>
        <v/>
      </c>
      <c r="AI837" s="4">
        <f>IFERROR(SUMIFS(N:N,A:A,creditcard[[#This Row],[YYYYMM]],E:E,"&lt;=10")/creditcard[[#This Row],[當月簽帳金額]],"")</f>
        <v/>
      </c>
    </row>
    <row r="838">
      <c r="A838" s="9" t="n">
        <v>202507</v>
      </c>
      <c r="B838" s="10">
        <f>LEFT(creditcard[[#This Row],[YYYYMM]],4)</f>
        <v/>
      </c>
      <c r="C838" s="10">
        <f>RIGHT(creditcard[[#This Row],[YYYYMM]],2)</f>
        <v/>
      </c>
      <c r="D838" s="10">
        <f>IF(RIGHT(creditcard[[#This Row],[YYYYMM]],2)="--","--","Q"&amp;ROUNDUP(VALUE(RIGHT(creditcard[[#This Row],[YYYYMM]],2))/3,0))</f>
        <v/>
      </c>
      <c r="E838" s="10" t="n">
        <v>1</v>
      </c>
      <c r="F838" s="151" t="inlineStr">
        <is>
          <t>中信</t>
        </is>
      </c>
      <c r="G838" s="152" t="inlineStr">
        <is>
          <t>01 中信</t>
        </is>
      </c>
      <c r="H838" s="153" t="n">
        <v>8989403</v>
      </c>
      <c r="I838" s="153" t="n">
        <v>6108991</v>
      </c>
      <c r="J838" s="153" t="n">
        <v>82553</v>
      </c>
      <c r="K838" s="153" t="n">
        <v>126141</v>
      </c>
      <c r="L838" s="153" t="n">
        <v>17294.253</v>
      </c>
      <c r="M838" s="11" t="n"/>
      <c r="N838" s="153" t="n">
        <v>125976.593</v>
      </c>
      <c r="O838" s="11" t="n"/>
      <c r="P838" s="11" t="n"/>
      <c r="Q838" s="12" t="n"/>
      <c r="R838" s="11" t="n"/>
      <c r="S838" s="11" t="n"/>
      <c r="T838" s="11" t="n"/>
      <c r="U838" s="11" t="n"/>
      <c r="V838" s="154" t="n"/>
      <c r="W838" s="11" t="n"/>
      <c r="X838" s="13" t="n"/>
      <c r="Y838" s="13" t="n"/>
      <c r="Z838" s="13" t="n"/>
      <c r="AA838" s="13" t="n"/>
      <c r="AB838" s="13" t="n"/>
      <c r="AC838" s="13" t="n"/>
      <c r="AD838" s="13" t="n"/>
      <c r="AE838" s="13" t="n"/>
      <c r="AF838" s="13" t="n"/>
      <c r="AG838" s="13" t="n"/>
      <c r="AH838" s="13" t="n"/>
      <c r="AI838" s="13" t="n"/>
    </row>
    <row r="839">
      <c r="A839" s="14" t="n">
        <v>202507</v>
      </c>
      <c r="B839" s="15">
        <f>LEFT(creditcard[[#This Row],[YYYYMM]],4)</f>
        <v/>
      </c>
      <c r="C839" s="15">
        <f>RIGHT(creditcard[[#This Row],[YYYYMM]],2)</f>
        <v/>
      </c>
      <c r="D839" s="15">
        <f>IF(RIGHT(creditcard[[#This Row],[YYYYMM]],2)="--","--","Q"&amp;ROUNDUP(VALUE(RIGHT(creditcard[[#This Row],[YYYYMM]],2))/3,0))</f>
        <v/>
      </c>
      <c r="E839" s="15" t="n">
        <v>2</v>
      </c>
      <c r="F839" s="155" t="inlineStr">
        <is>
          <t>富邦</t>
        </is>
      </c>
      <c r="G839" s="156" t="inlineStr">
        <is>
          <t>02 富邦</t>
        </is>
      </c>
      <c r="H839" s="157" t="n">
        <v>7441214</v>
      </c>
      <c r="I839" s="157" t="n">
        <v>5796909</v>
      </c>
      <c r="J839" s="157" t="n">
        <v>41160</v>
      </c>
      <c r="K839" s="157" t="n">
        <v>16358</v>
      </c>
      <c r="L839" s="157" t="n">
        <v>10918.708</v>
      </c>
      <c r="M839" s="16" t="n"/>
      <c r="N839" s="157" t="n">
        <v>70997.069</v>
      </c>
      <c r="O839" s="16" t="n"/>
      <c r="P839" s="16" t="n"/>
      <c r="Q839" s="17" t="n"/>
      <c r="R839" s="16" t="n"/>
      <c r="S839" s="16" t="n"/>
      <c r="T839" s="16" t="n"/>
      <c r="U839" s="16" t="n"/>
      <c r="V839" s="158" t="n"/>
      <c r="W839" s="16" t="n"/>
      <c r="X839" s="18" t="n"/>
      <c r="Y839" s="18" t="n"/>
      <c r="Z839" s="18" t="n"/>
      <c r="AA839" s="18" t="n"/>
      <c r="AB839" s="18" t="n"/>
      <c r="AC839" s="18" t="n"/>
      <c r="AD839" s="18" t="n"/>
      <c r="AE839" s="18" t="n"/>
      <c r="AF839" s="18" t="n"/>
      <c r="AG839" s="18" t="n"/>
      <c r="AH839" s="18" t="n"/>
      <c r="AI839" s="18" t="n"/>
    </row>
    <row r="840">
      <c r="A840" s="9" t="n">
        <v>202507</v>
      </c>
      <c r="B840" s="10">
        <f>LEFT(creditcard[[#This Row],[YYYYMM]],4)</f>
        <v/>
      </c>
      <c r="C840" s="10">
        <f>RIGHT(creditcard[[#This Row],[YYYYMM]],2)</f>
        <v/>
      </c>
      <c r="D840" s="10">
        <f>IF(RIGHT(creditcard[[#This Row],[YYYYMM]],2)="--","--","Q"&amp;ROUNDUP(VALUE(RIGHT(creditcard[[#This Row],[YYYYMM]],2))/3,0))</f>
        <v/>
      </c>
      <c r="E840" s="10" t="n">
        <v>3</v>
      </c>
      <c r="F840" s="151" t="inlineStr">
        <is>
          <t>國泰</t>
        </is>
      </c>
      <c r="G840" s="152" t="inlineStr">
        <is>
          <t>03 國泰</t>
        </is>
      </c>
      <c r="H840" s="153" t="n">
        <v>7300676</v>
      </c>
      <c r="I840" s="153" t="n">
        <v>5127114</v>
      </c>
      <c r="J840" s="153" t="n">
        <v>46299</v>
      </c>
      <c r="K840" s="153" t="n">
        <v>23977</v>
      </c>
      <c r="L840" s="153" t="n">
        <v>21498.691</v>
      </c>
      <c r="M840" s="11" t="n"/>
      <c r="N840" s="153" t="n">
        <v>101706.31</v>
      </c>
      <c r="O840" s="11" t="n"/>
      <c r="P840" s="11" t="n"/>
      <c r="Q840" s="12" t="n"/>
      <c r="R840" s="11" t="n"/>
      <c r="S840" s="11" t="n"/>
      <c r="T840" s="11" t="n"/>
      <c r="U840" s="11" t="n"/>
      <c r="V840" s="154" t="n"/>
      <c r="W840" s="11" t="n"/>
      <c r="X840" s="13" t="n"/>
      <c r="Y840" s="13" t="n"/>
      <c r="Z840" s="13" t="n"/>
      <c r="AA840" s="13" t="n"/>
      <c r="AB840" s="13" t="n"/>
      <c r="AC840" s="13" t="n"/>
      <c r="AD840" s="13" t="n"/>
      <c r="AE840" s="13" t="n"/>
      <c r="AF840" s="13" t="n"/>
      <c r="AG840" s="13" t="n"/>
      <c r="AH840" s="13" t="n"/>
      <c r="AI840" s="13" t="n"/>
    </row>
    <row r="841">
      <c r="A841" s="14" t="n">
        <v>202507</v>
      </c>
      <c r="B841" s="15">
        <f>LEFT(creditcard[[#This Row],[YYYYMM]],4)</f>
        <v/>
      </c>
      <c r="C841" s="15">
        <f>RIGHT(creditcard[[#This Row],[YYYYMM]],2)</f>
        <v/>
      </c>
      <c r="D841" s="15">
        <f>IF(RIGHT(creditcard[[#This Row],[YYYYMM]],2)="--","--","Q"&amp;ROUNDUP(VALUE(RIGHT(creditcard[[#This Row],[YYYYMM]],2))/3,0))</f>
        <v/>
      </c>
      <c r="E841" s="15" t="n">
        <v>4</v>
      </c>
      <c r="F841" s="155" t="inlineStr">
        <is>
          <t>玉山</t>
        </is>
      </c>
      <c r="G841" s="156" t="inlineStr">
        <is>
          <t>04 玉山</t>
        </is>
      </c>
      <c r="H841" s="157" t="n">
        <v>8735888</v>
      </c>
      <c r="I841" s="157" t="n">
        <v>5403271</v>
      </c>
      <c r="J841" s="157" t="n">
        <v>110939</v>
      </c>
      <c r="K841" s="157" t="n">
        <v>79514</v>
      </c>
      <c r="L841" s="157" t="n">
        <v>16742.064</v>
      </c>
      <c r="M841" s="16" t="n"/>
      <c r="N841" s="157" t="n">
        <v>121150.605</v>
      </c>
      <c r="O841" s="16" t="n"/>
      <c r="P841" s="16" t="n"/>
      <c r="Q841" s="17" t="n"/>
      <c r="R841" s="16" t="n"/>
      <c r="S841" s="16" t="n"/>
      <c r="T841" s="16" t="n"/>
      <c r="U841" s="16" t="n"/>
      <c r="V841" s="158" t="n"/>
      <c r="W841" s="16" t="n"/>
      <c r="X841" s="18" t="n"/>
      <c r="Y841" s="18" t="n"/>
      <c r="Z841" s="18" t="n"/>
      <c r="AA841" s="18" t="n"/>
      <c r="AB841" s="18" t="n"/>
      <c r="AC841" s="18" t="n"/>
      <c r="AD841" s="18" t="n"/>
      <c r="AE841" s="18" t="n"/>
      <c r="AF841" s="18" t="n"/>
      <c r="AG841" s="18" t="n"/>
      <c r="AH841" s="18" t="n"/>
      <c r="AI841" s="18" t="n"/>
    </row>
    <row r="842">
      <c r="A842" s="9" t="n">
        <v>202507</v>
      </c>
      <c r="B842" s="10">
        <f>LEFT(creditcard[[#This Row],[YYYYMM]],4)</f>
        <v/>
      </c>
      <c r="C842" s="10">
        <f>RIGHT(creditcard[[#This Row],[YYYYMM]],2)</f>
        <v/>
      </c>
      <c r="D842" s="10">
        <f>IF(RIGHT(creditcard[[#This Row],[YYYYMM]],2)="--","--","Q"&amp;ROUNDUP(VALUE(RIGHT(creditcard[[#This Row],[YYYYMM]],2))/3,0))</f>
        <v/>
      </c>
      <c r="E842" s="10" t="n">
        <v>5</v>
      </c>
      <c r="F842" s="151" t="inlineStr">
        <is>
          <t>台新</t>
        </is>
      </c>
      <c r="G842" s="152" t="inlineStr">
        <is>
          <t>05 台新</t>
        </is>
      </c>
      <c r="H842" s="153" t="n">
        <v>6625635</v>
      </c>
      <c r="I842" s="153" t="n">
        <v>4873151</v>
      </c>
      <c r="J842" s="153" t="n">
        <v>50054</v>
      </c>
      <c r="K842" s="153" t="n">
        <v>48325</v>
      </c>
      <c r="L842" s="153" t="n">
        <v>10977.018</v>
      </c>
      <c r="M842" s="11" t="n"/>
      <c r="N842" s="153" t="n">
        <v>63003.868</v>
      </c>
      <c r="O842" s="11" t="n"/>
      <c r="P842" s="11" t="n"/>
      <c r="Q842" s="12" t="n"/>
      <c r="R842" s="11" t="n"/>
      <c r="S842" s="11" t="n"/>
      <c r="T842" s="11" t="n"/>
      <c r="U842" s="11" t="n"/>
      <c r="V842" s="154" t="n"/>
      <c r="W842" s="11" t="n"/>
      <c r="X842" s="13" t="n"/>
      <c r="Y842" s="13" t="n"/>
      <c r="Z842" s="13" t="n"/>
      <c r="AA842" s="13" t="n"/>
      <c r="AB842" s="13" t="n"/>
      <c r="AC842" s="13" t="n"/>
      <c r="AD842" s="13" t="n"/>
      <c r="AE842" s="13" t="n"/>
      <c r="AF842" s="13" t="n"/>
      <c r="AG842" s="13" t="n"/>
      <c r="AH842" s="13" t="n"/>
      <c r="AI842" s="13" t="n"/>
    </row>
    <row r="843">
      <c r="A843" s="14" t="n">
        <v>202507</v>
      </c>
      <c r="B843" s="15">
        <f>LEFT(creditcard[[#This Row],[YYYYMM]],4)</f>
        <v/>
      </c>
      <c r="C843" s="15">
        <f>RIGHT(creditcard[[#This Row],[YYYYMM]],2)</f>
        <v/>
      </c>
      <c r="D843" s="15">
        <f>IF(RIGHT(creditcard[[#This Row],[YYYYMM]],2)="--","--","Q"&amp;ROUNDUP(VALUE(RIGHT(creditcard[[#This Row],[YYYYMM]],2))/3,0))</f>
        <v/>
      </c>
      <c r="E843" s="15" t="n">
        <v>6</v>
      </c>
      <c r="F843" s="155" t="inlineStr">
        <is>
          <t>星展</t>
        </is>
      </c>
      <c r="G843" s="156" t="inlineStr">
        <is>
          <t>06 星展</t>
        </is>
      </c>
      <c r="H843" s="157" t="n">
        <v>3314136</v>
      </c>
      <c r="I843" s="157" t="n">
        <v>2035831</v>
      </c>
      <c r="J843" s="157" t="n">
        <v>14597</v>
      </c>
      <c r="K843" s="157" t="n">
        <v>18348</v>
      </c>
      <c r="L843" s="157" t="n">
        <v>8605.492</v>
      </c>
      <c r="M843" s="16" t="n"/>
      <c r="N843" s="157" t="n">
        <v>31221.428</v>
      </c>
      <c r="O843" s="16" t="n"/>
      <c r="P843" s="16" t="n"/>
      <c r="Q843" s="17" t="n"/>
      <c r="R843" s="16" t="n"/>
      <c r="S843" s="16" t="n"/>
      <c r="T843" s="16" t="n"/>
      <c r="U843" s="16" t="n"/>
      <c r="V843" s="158" t="n"/>
      <c r="W843" s="16" t="n"/>
      <c r="X843" s="18" t="n"/>
      <c r="Y843" s="18" t="n"/>
      <c r="Z843" s="18" t="n"/>
      <c r="AA843" s="18" t="n"/>
      <c r="AB843" s="18" t="n"/>
      <c r="AC843" s="18" t="n"/>
      <c r="AD843" s="18" t="n"/>
      <c r="AE843" s="18" t="n"/>
      <c r="AF843" s="18" t="n"/>
      <c r="AG843" s="18" t="n"/>
      <c r="AH843" s="18" t="n"/>
      <c r="AI843" s="18" t="n"/>
    </row>
    <row r="844">
      <c r="A844" s="9" t="n">
        <v>202507</v>
      </c>
      <c r="B844" s="10">
        <f>LEFT(creditcard[[#This Row],[YYYYMM]],4)</f>
        <v/>
      </c>
      <c r="C844" s="10">
        <f>RIGHT(creditcard[[#This Row],[YYYYMM]],2)</f>
        <v/>
      </c>
      <c r="D844" s="10">
        <f>IF(RIGHT(creditcard[[#This Row],[YYYYMM]],2)="--","--","Q"&amp;ROUNDUP(VALUE(RIGHT(creditcard[[#This Row],[YYYYMM]],2))/3,0))</f>
        <v/>
      </c>
      <c r="E844" s="10" t="n">
        <v>7</v>
      </c>
      <c r="F844" s="151" t="inlineStr">
        <is>
          <t>聯邦</t>
        </is>
      </c>
      <c r="G844" s="152" t="inlineStr">
        <is>
          <t>07 聯邦</t>
        </is>
      </c>
      <c r="H844" s="153" t="n">
        <v>2759560</v>
      </c>
      <c r="I844" s="153" t="n">
        <v>1842667</v>
      </c>
      <c r="J844" s="153" t="n">
        <v>30833</v>
      </c>
      <c r="K844" s="153" t="n">
        <v>23769</v>
      </c>
      <c r="L844" s="153" t="n">
        <v>6462.121</v>
      </c>
      <c r="M844" s="11" t="n"/>
      <c r="N844" s="153" t="n">
        <v>23142.116</v>
      </c>
      <c r="O844" s="11" t="n"/>
      <c r="P844" s="11" t="n"/>
      <c r="Q844" s="12" t="n"/>
      <c r="R844" s="11" t="n"/>
      <c r="S844" s="11" t="n"/>
      <c r="T844" s="11" t="n"/>
      <c r="U844" s="11" t="n"/>
      <c r="V844" s="154" t="n"/>
      <c r="W844" s="11" t="n"/>
      <c r="X844" s="13" t="n"/>
      <c r="Y844" s="13" t="n"/>
      <c r="Z844" s="13" t="n"/>
      <c r="AA844" s="13" t="n"/>
      <c r="AB844" s="13" t="n"/>
      <c r="AC844" s="13" t="n"/>
      <c r="AD844" s="13" t="n"/>
      <c r="AE844" s="13" t="n"/>
      <c r="AF844" s="13" t="n"/>
      <c r="AG844" s="13" t="n"/>
      <c r="AH844" s="13" t="n"/>
      <c r="AI844" s="13" t="n"/>
    </row>
    <row r="845">
      <c r="A845" s="14" t="n">
        <v>202507</v>
      </c>
      <c r="B845" s="15">
        <f>LEFT(creditcard[[#This Row],[YYYYMM]],4)</f>
        <v/>
      </c>
      <c r="C845" s="15">
        <f>RIGHT(creditcard[[#This Row],[YYYYMM]],2)</f>
        <v/>
      </c>
      <c r="D845" s="15">
        <f>IF(RIGHT(creditcard[[#This Row],[YYYYMM]],2)="--","--","Q"&amp;ROUNDUP(VALUE(RIGHT(creditcard[[#This Row],[YYYYMM]],2))/3,0))</f>
        <v/>
      </c>
      <c r="E845" s="15" t="n">
        <v>8</v>
      </c>
      <c r="F845" s="155" t="inlineStr">
        <is>
          <t>永豐</t>
        </is>
      </c>
      <c r="G845" s="156" t="inlineStr">
        <is>
          <t>08 永豐</t>
        </is>
      </c>
      <c r="H845" s="157" t="n">
        <v>2417555</v>
      </c>
      <c r="I845" s="157" t="n">
        <v>1522570</v>
      </c>
      <c r="J845" s="157" t="n">
        <v>25593</v>
      </c>
      <c r="K845" s="157" t="n">
        <v>5971</v>
      </c>
      <c r="L845" s="157" t="n">
        <v>3798.2</v>
      </c>
      <c r="M845" s="16" t="n"/>
      <c r="N845" s="157" t="n">
        <v>21083.593</v>
      </c>
      <c r="O845" s="16" t="n"/>
      <c r="P845" s="16" t="n"/>
      <c r="Q845" s="17" t="n"/>
      <c r="R845" s="16" t="n"/>
      <c r="S845" s="16" t="n"/>
      <c r="T845" s="16" t="n"/>
      <c r="U845" s="16" t="n"/>
      <c r="V845" s="158" t="n"/>
      <c r="W845" s="16" t="n"/>
      <c r="X845" s="18" t="n"/>
      <c r="Y845" s="18" t="n"/>
      <c r="Z845" s="18" t="n"/>
      <c r="AA845" s="18" t="n"/>
      <c r="AB845" s="18" t="n"/>
      <c r="AC845" s="18" t="n"/>
      <c r="AD845" s="18" t="n"/>
      <c r="AE845" s="18" t="n"/>
      <c r="AF845" s="18" t="n"/>
      <c r="AG845" s="18" t="n"/>
      <c r="AH845" s="18" t="n"/>
      <c r="AI845" s="18" t="n"/>
    </row>
    <row r="846">
      <c r="A846" s="9" t="n">
        <v>202507</v>
      </c>
      <c r="B846" s="10">
        <f>LEFT(creditcard[[#This Row],[YYYYMM]],4)</f>
        <v/>
      </c>
      <c r="C846" s="10">
        <f>RIGHT(creditcard[[#This Row],[YYYYMM]],2)</f>
        <v/>
      </c>
      <c r="D846" s="10">
        <f>IF(RIGHT(creditcard[[#This Row],[YYYYMM]],2)="--","--","Q"&amp;ROUNDUP(VALUE(RIGHT(creditcard[[#This Row],[YYYYMM]],2))/3,0))</f>
        <v/>
      </c>
      <c r="E846" s="10" t="n">
        <v>9</v>
      </c>
      <c r="F846" s="151" t="inlineStr">
        <is>
          <t>第一</t>
        </is>
      </c>
      <c r="G846" s="152" t="inlineStr">
        <is>
          <t>09 第一</t>
        </is>
      </c>
      <c r="H846" s="153" t="n">
        <v>1508990</v>
      </c>
      <c r="I846" s="153" t="n">
        <v>952237</v>
      </c>
      <c r="J846" s="153" t="n">
        <v>12130</v>
      </c>
      <c r="K846" s="153" t="n">
        <v>6051</v>
      </c>
      <c r="L846" s="153" t="n">
        <v>1255.89</v>
      </c>
      <c r="M846" s="11" t="n"/>
      <c r="N846" s="153" t="n">
        <v>10410.441</v>
      </c>
      <c r="O846" s="11" t="n"/>
      <c r="P846" s="11" t="n"/>
      <c r="Q846" s="12" t="n"/>
      <c r="R846" s="11" t="n"/>
      <c r="S846" s="11" t="n"/>
      <c r="T846" s="11" t="n"/>
      <c r="U846" s="11" t="n"/>
      <c r="V846" s="154" t="n"/>
      <c r="W846" s="11" t="n"/>
      <c r="X846" s="13" t="n"/>
      <c r="Y846" s="13" t="n"/>
      <c r="Z846" s="13" t="n"/>
      <c r="AA846" s="13" t="n"/>
      <c r="AB846" s="13" t="n"/>
      <c r="AC846" s="13" t="n"/>
      <c r="AD846" s="13" t="n"/>
      <c r="AE846" s="13" t="n"/>
      <c r="AF846" s="13" t="n"/>
      <c r="AG846" s="13" t="n"/>
      <c r="AH846" s="13" t="n"/>
      <c r="AI846" s="13" t="n"/>
    </row>
    <row r="847">
      <c r="A847" s="14" t="n">
        <v>202507</v>
      </c>
      <c r="B847" s="15">
        <f>LEFT(creditcard[[#This Row],[YYYYMM]],4)</f>
        <v/>
      </c>
      <c r="C847" s="15">
        <f>RIGHT(creditcard[[#This Row],[YYYYMM]],2)</f>
        <v/>
      </c>
      <c r="D847" s="15">
        <f>IF(RIGHT(creditcard[[#This Row],[YYYYMM]],2)="--","--","Q"&amp;ROUNDUP(VALUE(RIGHT(creditcard[[#This Row],[YYYYMM]],2))/3,0))</f>
        <v/>
      </c>
      <c r="E847" s="15" t="n">
        <v>10</v>
      </c>
      <c r="F847" s="155" t="inlineStr">
        <is>
          <t>遠東</t>
        </is>
      </c>
      <c r="G847" s="156" t="inlineStr">
        <is>
          <t>10 遠東</t>
        </is>
      </c>
      <c r="H847" s="157" t="n">
        <v>1361053</v>
      </c>
      <c r="I847" s="157" t="n">
        <v>934831</v>
      </c>
      <c r="J847" s="157" t="n">
        <v>8711</v>
      </c>
      <c r="K847" s="157" t="n">
        <v>7739</v>
      </c>
      <c r="L847" s="157" t="n">
        <v>3152.668</v>
      </c>
      <c r="M847" s="16" t="n"/>
      <c r="N847" s="157" t="n">
        <v>5171.054</v>
      </c>
      <c r="O847" s="16" t="n"/>
      <c r="P847" s="16" t="n"/>
      <c r="Q847" s="17" t="n"/>
      <c r="R847" s="16" t="n"/>
      <c r="S847" s="16" t="n"/>
      <c r="T847" s="16" t="n"/>
      <c r="U847" s="16" t="n"/>
      <c r="V847" s="158" t="n"/>
      <c r="W847" s="16" t="n"/>
      <c r="X847" s="18" t="n"/>
      <c r="Y847" s="18" t="n"/>
      <c r="Z847" s="18" t="n"/>
      <c r="AA847" s="18" t="n"/>
      <c r="AB847" s="18" t="n"/>
      <c r="AC847" s="18" t="n"/>
      <c r="AD847" s="18" t="n"/>
      <c r="AE847" s="18" t="n"/>
      <c r="AF847" s="18" t="n"/>
      <c r="AG847" s="18" t="n"/>
      <c r="AH847" s="18" t="n"/>
      <c r="AI847" s="18" t="n"/>
    </row>
    <row r="848">
      <c r="A848" s="9" t="n">
        <v>202507</v>
      </c>
      <c r="B848" s="10">
        <f>LEFT(creditcard[[#This Row],[YYYYMM]],4)</f>
        <v/>
      </c>
      <c r="C848" s="10">
        <f>RIGHT(creditcard[[#This Row],[YYYYMM]],2)</f>
        <v/>
      </c>
      <c r="D848" s="10">
        <f>IF(RIGHT(creditcard[[#This Row],[YYYYMM]],2)="--","--","Q"&amp;ROUNDUP(VALUE(RIGHT(creditcard[[#This Row],[YYYYMM]],2))/3,0))</f>
        <v/>
      </c>
      <c r="E848" s="10" t="n">
        <v>11</v>
      </c>
      <c r="F848" s="151" t="inlineStr">
        <is>
          <t>市場總計</t>
        </is>
      </c>
      <c r="G848" s="152" t="inlineStr">
        <is>
          <t>11 市場總計</t>
        </is>
      </c>
      <c r="H848" s="153" t="n">
        <v>59947219</v>
      </c>
      <c r="I848" s="153" t="n">
        <v>39861195</v>
      </c>
      <c r="J848" s="153" t="n">
        <v>486815</v>
      </c>
      <c r="K848" s="153" t="n">
        <v>420921</v>
      </c>
      <c r="L848" s="153" t="n">
        <v>114459.143</v>
      </c>
      <c r="M848" s="161" t="n">
        <v>241120.341</v>
      </c>
      <c r="N848" s="153" t="n">
        <v>653264.628</v>
      </c>
      <c r="O848" s="161" t="n">
        <v>1639.179</v>
      </c>
      <c r="P848" s="12" t="n">
        <v>0.002254938151775783</v>
      </c>
      <c r="Q848" s="12" t="n">
        <v>0.0003644454320567146</v>
      </c>
      <c r="R848" s="20" t="n">
        <v>4.61103253985086</v>
      </c>
      <c r="S848" s="161" t="n">
        <v>589.078</v>
      </c>
      <c r="T848" s="161" t="n">
        <v>4330.462</v>
      </c>
      <c r="U848" s="11" t="n"/>
      <c r="V848" s="154" t="n">
        <v>4.63</v>
      </c>
      <c r="W848" s="11">
        <f>SUMIFS(H:H,A:A,creditcard[[#This Row],[YYYYMM]],G:G,creditcard[[#This Row],[Item]])</f>
        <v/>
      </c>
      <c r="X848" s="4">
        <f>IFERROR(SUMIFS(H:H,A:A,creditcard[[#This Row],[YYYYMM]],E:E,"&lt;=5")/creditcard[[#This Row],[市場總計]],"")</f>
        <v/>
      </c>
      <c r="Y848" s="4">
        <f>IFERROR(SUMIFS(H:H,A:A,creditcard[[#This Row],[YYYYMM]],E:E,"&lt;=10")/creditcard[[#This Row],[市場總計]],"")</f>
        <v/>
      </c>
      <c r="Z848" s="4">
        <f>IFERROR(SUMIFS(I:I,A:A,creditcard[[#This Row],[YYYYMM]],E:E,"&lt;=5")/creditcard[[#This Row],[有效卡數]],"")</f>
        <v/>
      </c>
      <c r="AA848" s="4">
        <f>IFERROR(SUMIFS(I:I,A:A,creditcard[[#This Row],[YYYYMM]],E:E,"&lt;=10")/creditcard[[#This Row],[有效卡數]],"")</f>
        <v/>
      </c>
      <c r="AB848" s="4">
        <f>IFERROR(SUMIFS(J:J,A:A,creditcard[[#This Row],[YYYYMM]],E:E,"&lt;=5")/creditcard[[#This Row],[當月發卡數]],"")</f>
        <v/>
      </c>
      <c r="AC848" s="4">
        <f>IFERROR(SUMIFS(J:J,A:A,creditcard[[#This Row],[YYYYMM]],E:E,"&lt;=10")/creditcard[[#This Row],[當月發卡數]],"")</f>
        <v/>
      </c>
      <c r="AD848" s="4">
        <f>IFERROR(SUMIFS(K:K,A:A,creditcard[[#This Row],[YYYYMM]],E:E,"&lt;=5")/creditcard[[#This Row],[當月停卡數]],"")</f>
        <v/>
      </c>
      <c r="AE848" s="4">
        <f>IFERROR(SUMIFS(K:K,A:A,creditcard[[#This Row],[YYYYMM]],E:E,"&lt;=10")/creditcard[[#This Row],[當月停卡數]],"")</f>
        <v/>
      </c>
      <c r="AF848" s="4">
        <f>IFERROR(SUMIFS(L:L,A:A,creditcard[[#This Row],[YYYYMM]],E:E,"&lt;=5")/creditcard[[#This Row],[循環信用餘額]],"")</f>
        <v/>
      </c>
      <c r="AG848" s="4">
        <f>IFERROR(SUMIFS(L:L,A:A,creditcard[[#This Row],[YYYYMM]],E:E,"&lt;=10")/creditcard[[#This Row],[循環信用餘額]],"")</f>
        <v/>
      </c>
      <c r="AH848" s="4">
        <f>IFERROR(SUMIFS(N:N,A:A,creditcard[[#This Row],[YYYYMM]],E:E,"&lt;=5")/creditcard[[#This Row],[當月簽帳金額]],"")</f>
        <v/>
      </c>
      <c r="AI848" s="4">
        <f>IFERROR(SUMIFS(N:N,A:A,creditcard[[#This Row],[YYYYMM]],E:E,"&lt;=10")/creditcard[[#This Row],[當月簽帳金額]],"")</f>
        <v/>
      </c>
    </row>
    <row r="849">
      <c r="A849" s="14" t="n">
        <v>202508</v>
      </c>
      <c r="B849" s="15">
        <f>LEFT(creditcard[[#This Row],[YYYYMM]],4)</f>
        <v/>
      </c>
      <c r="C849" s="15">
        <f>RIGHT(creditcard[[#This Row],[YYYYMM]],2)</f>
        <v/>
      </c>
      <c r="D849" s="15">
        <f>IF(RIGHT(creditcard[[#This Row],[YYYYMM]],2)="--","--","Q"&amp;ROUNDUP(VALUE(RIGHT(creditcard[[#This Row],[YYYYMM]],2))/3,0))</f>
        <v/>
      </c>
      <c r="E849" s="15" t="n">
        <v>1</v>
      </c>
      <c r="F849" s="155" t="inlineStr">
        <is>
          <t>中信</t>
        </is>
      </c>
      <c r="G849" s="156" t="inlineStr">
        <is>
          <t>01 中信</t>
        </is>
      </c>
      <c r="H849" s="157" t="n">
        <v>9106827</v>
      </c>
      <c r="I849" s="157" t="n">
        <v>6131466</v>
      </c>
      <c r="J849" s="157" t="n">
        <v>225162</v>
      </c>
      <c r="K849" s="157" t="n">
        <v>107738</v>
      </c>
      <c r="L849" s="157" t="n">
        <v>17382.24</v>
      </c>
      <c r="M849" s="16" t="n"/>
      <c r="N849" s="157" t="n">
        <v>66950.018</v>
      </c>
      <c r="O849" s="16" t="n"/>
      <c r="P849" s="16" t="n"/>
      <c r="Q849" s="17" t="n"/>
      <c r="R849" s="16" t="n"/>
      <c r="S849" s="16" t="n"/>
      <c r="T849" s="16" t="n"/>
      <c r="U849" s="16" t="n"/>
      <c r="V849" s="158" t="n"/>
      <c r="W849" s="16" t="n"/>
      <c r="X849" s="18" t="n"/>
      <c r="Y849" s="18" t="n"/>
      <c r="Z849" s="18" t="n"/>
      <c r="AA849" s="18" t="n"/>
      <c r="AB849" s="18" t="n"/>
      <c r="AC849" s="18" t="n"/>
      <c r="AD849" s="18" t="n"/>
      <c r="AE849" s="18" t="n"/>
      <c r="AF849" s="18" t="n"/>
      <c r="AG849" s="18" t="n"/>
      <c r="AH849" s="18" t="n"/>
      <c r="AI849" s="18" t="n"/>
    </row>
    <row r="850">
      <c r="A850" s="9" t="n">
        <v>202508</v>
      </c>
      <c r="B850" s="10">
        <f>LEFT(creditcard[[#This Row],[YYYYMM]],4)</f>
        <v/>
      </c>
      <c r="C850" s="10">
        <f>RIGHT(creditcard[[#This Row],[YYYYMM]],2)</f>
        <v/>
      </c>
      <c r="D850" s="10">
        <f>IF(RIGHT(creditcard[[#This Row],[YYYYMM]],2)="--","--","Q"&amp;ROUNDUP(VALUE(RIGHT(creditcard[[#This Row],[YYYYMM]],2))/3,0))</f>
        <v/>
      </c>
      <c r="E850" s="10" t="n">
        <v>2</v>
      </c>
      <c r="F850" s="151" t="inlineStr">
        <is>
          <t>富邦</t>
        </is>
      </c>
      <c r="G850" s="152" t="inlineStr">
        <is>
          <t>02 富邦</t>
        </is>
      </c>
      <c r="H850" s="153" t="n">
        <v>7466246</v>
      </c>
      <c r="I850" s="153" t="n">
        <v>5799168</v>
      </c>
      <c r="J850" s="153" t="n">
        <v>38579</v>
      </c>
      <c r="K850" s="153" t="n">
        <v>13547</v>
      </c>
      <c r="L850" s="153" t="n">
        <v>11136.559</v>
      </c>
      <c r="M850" s="11" t="n"/>
      <c r="N850" s="153" t="n">
        <v>47355.858</v>
      </c>
      <c r="O850" s="11" t="n"/>
      <c r="P850" s="11" t="n"/>
      <c r="Q850" s="12" t="n"/>
      <c r="R850" s="11" t="n"/>
      <c r="S850" s="11" t="n"/>
      <c r="T850" s="11" t="n"/>
      <c r="U850" s="11" t="n"/>
      <c r="V850" s="154" t="n"/>
      <c r="W850" s="11" t="n"/>
      <c r="X850" s="13" t="n"/>
      <c r="Y850" s="13" t="n"/>
      <c r="Z850" s="13" t="n"/>
      <c r="AA850" s="13" t="n"/>
      <c r="AB850" s="13" t="n"/>
      <c r="AC850" s="13" t="n"/>
      <c r="AD850" s="13" t="n"/>
      <c r="AE850" s="13" t="n"/>
      <c r="AF850" s="13" t="n"/>
      <c r="AG850" s="13" t="n"/>
      <c r="AH850" s="13" t="n"/>
      <c r="AI850" s="13" t="n"/>
    </row>
    <row r="851">
      <c r="A851" s="14" t="n">
        <v>202508</v>
      </c>
      <c r="B851" s="15">
        <f>LEFT(creditcard[[#This Row],[YYYYMM]],4)</f>
        <v/>
      </c>
      <c r="C851" s="15">
        <f>RIGHT(creditcard[[#This Row],[YYYYMM]],2)</f>
        <v/>
      </c>
      <c r="D851" s="15">
        <f>IF(RIGHT(creditcard[[#This Row],[YYYYMM]],2)="--","--","Q"&amp;ROUNDUP(VALUE(RIGHT(creditcard[[#This Row],[YYYYMM]],2))/3,0))</f>
        <v/>
      </c>
      <c r="E851" s="15" t="n">
        <v>3</v>
      </c>
      <c r="F851" s="155" t="inlineStr">
        <is>
          <t>國泰</t>
        </is>
      </c>
      <c r="G851" s="156" t="inlineStr">
        <is>
          <t>03 國泰</t>
        </is>
      </c>
      <c r="H851" s="157" t="n">
        <v>7315782</v>
      </c>
      <c r="I851" s="157" t="n">
        <v>5140127</v>
      </c>
      <c r="J851" s="157" t="n">
        <v>43658</v>
      </c>
      <c r="K851" s="157" t="n">
        <v>28552</v>
      </c>
      <c r="L851" s="157" t="n">
        <v>21731.907</v>
      </c>
      <c r="M851" s="16" t="n"/>
      <c r="N851" s="157" t="n">
        <v>65055.781</v>
      </c>
      <c r="O851" s="16" t="n"/>
      <c r="P851" s="16" t="n"/>
      <c r="Q851" s="17" t="n"/>
      <c r="R851" s="16" t="n"/>
      <c r="S851" s="16" t="n"/>
      <c r="T851" s="16" t="n"/>
      <c r="U851" s="16" t="n"/>
      <c r="V851" s="158" t="n"/>
      <c r="W851" s="16" t="n"/>
      <c r="X851" s="18" t="n"/>
      <c r="Y851" s="18" t="n"/>
      <c r="Z851" s="18" t="n"/>
      <c r="AA851" s="18" t="n"/>
      <c r="AB851" s="18" t="n"/>
      <c r="AC851" s="18" t="n"/>
      <c r="AD851" s="18" t="n"/>
      <c r="AE851" s="18" t="n"/>
      <c r="AF851" s="18" t="n"/>
      <c r="AG851" s="18" t="n"/>
      <c r="AH851" s="18" t="n"/>
      <c r="AI851" s="18" t="n"/>
    </row>
    <row r="852">
      <c r="A852" s="9" t="n">
        <v>202508</v>
      </c>
      <c r="B852" s="10">
        <f>LEFT(creditcard[[#This Row],[YYYYMM]],4)</f>
        <v/>
      </c>
      <c r="C852" s="10">
        <f>RIGHT(creditcard[[#This Row],[YYYYMM]],2)</f>
        <v/>
      </c>
      <c r="D852" s="10">
        <f>IF(RIGHT(creditcard[[#This Row],[YYYYMM]],2)="--","--","Q"&amp;ROUNDUP(VALUE(RIGHT(creditcard[[#This Row],[YYYYMM]],2))/3,0))</f>
        <v/>
      </c>
      <c r="E852" s="10" t="n">
        <v>4</v>
      </c>
      <c r="F852" s="151" t="inlineStr">
        <is>
          <t>玉山</t>
        </is>
      </c>
      <c r="G852" s="152" t="inlineStr">
        <is>
          <t>04 玉山</t>
        </is>
      </c>
      <c r="H852" s="153" t="n">
        <v>8804641</v>
      </c>
      <c r="I852" s="153" t="n">
        <v>5429148</v>
      </c>
      <c r="J852" s="153" t="n">
        <v>133762</v>
      </c>
      <c r="K852" s="153" t="n">
        <v>65009</v>
      </c>
      <c r="L852" s="153" t="n">
        <v>16199.399</v>
      </c>
      <c r="M852" s="11" t="n"/>
      <c r="N852" s="153" t="n">
        <v>47848.33</v>
      </c>
      <c r="O852" s="11" t="n"/>
      <c r="P852" s="11" t="n"/>
      <c r="Q852" s="12" t="n"/>
      <c r="R852" s="11" t="n"/>
      <c r="S852" s="11" t="n"/>
      <c r="T852" s="11" t="n"/>
      <c r="U852" s="11" t="n"/>
      <c r="V852" s="154" t="n"/>
      <c r="W852" s="11" t="n"/>
      <c r="X852" s="13" t="n"/>
      <c r="Y852" s="13" t="n"/>
      <c r="Z852" s="13" t="n"/>
      <c r="AA852" s="13" t="n"/>
      <c r="AB852" s="13" t="n"/>
      <c r="AC852" s="13" t="n"/>
      <c r="AD852" s="13" t="n"/>
      <c r="AE852" s="13" t="n"/>
      <c r="AF852" s="13" t="n"/>
      <c r="AG852" s="13" t="n"/>
      <c r="AH852" s="13" t="n"/>
      <c r="AI852" s="13" t="n"/>
    </row>
    <row r="853">
      <c r="A853" s="14" t="n">
        <v>202508</v>
      </c>
      <c r="B853" s="15">
        <f>LEFT(creditcard[[#This Row],[YYYYMM]],4)</f>
        <v/>
      </c>
      <c r="C853" s="15">
        <f>RIGHT(creditcard[[#This Row],[YYYYMM]],2)</f>
        <v/>
      </c>
      <c r="D853" s="15">
        <f>IF(RIGHT(creditcard[[#This Row],[YYYYMM]],2)="--","--","Q"&amp;ROUNDUP(VALUE(RIGHT(creditcard[[#This Row],[YYYYMM]],2))/3,0))</f>
        <v/>
      </c>
      <c r="E853" s="15" t="n">
        <v>5</v>
      </c>
      <c r="F853" s="155" t="inlineStr">
        <is>
          <t>台新</t>
        </is>
      </c>
      <c r="G853" s="156" t="inlineStr">
        <is>
          <t>05 台新</t>
        </is>
      </c>
      <c r="H853" s="157" t="n">
        <v>6628129</v>
      </c>
      <c r="I853" s="157" t="n">
        <v>4875411</v>
      </c>
      <c r="J853" s="157" t="n">
        <v>38737</v>
      </c>
      <c r="K853" s="157" t="n">
        <v>36243</v>
      </c>
      <c r="L853" s="157" t="n">
        <v>11058.63</v>
      </c>
      <c r="M853" s="16" t="n"/>
      <c r="N853" s="157" t="n">
        <v>39021.829</v>
      </c>
      <c r="O853" s="16" t="n"/>
      <c r="P853" s="16" t="n"/>
      <c r="Q853" s="17" t="n"/>
      <c r="R853" s="16" t="n"/>
      <c r="S853" s="16" t="n"/>
      <c r="T853" s="16" t="n"/>
      <c r="U853" s="16" t="n"/>
      <c r="V853" s="158" t="n"/>
      <c r="W853" s="16" t="n"/>
      <c r="X853" s="18" t="n"/>
      <c r="Y853" s="18" t="n"/>
      <c r="Z853" s="18" t="n"/>
      <c r="AA853" s="18" t="n"/>
      <c r="AB853" s="18" t="n"/>
      <c r="AC853" s="18" t="n"/>
      <c r="AD853" s="18" t="n"/>
      <c r="AE853" s="18" t="n"/>
      <c r="AF853" s="18" t="n"/>
      <c r="AG853" s="18" t="n"/>
      <c r="AH853" s="18" t="n"/>
      <c r="AI853" s="18" t="n"/>
    </row>
    <row r="854">
      <c r="A854" s="9" t="n">
        <v>202508</v>
      </c>
      <c r="B854" s="10">
        <f>LEFT(creditcard[[#This Row],[YYYYMM]],4)</f>
        <v/>
      </c>
      <c r="C854" s="10">
        <f>RIGHT(creditcard[[#This Row],[YYYYMM]],2)</f>
        <v/>
      </c>
      <c r="D854" s="10">
        <f>IF(RIGHT(creditcard[[#This Row],[YYYYMM]],2)="--","--","Q"&amp;ROUNDUP(VALUE(RIGHT(creditcard[[#This Row],[YYYYMM]],2))/3,0))</f>
        <v/>
      </c>
      <c r="E854" s="10" t="n">
        <v>6</v>
      </c>
      <c r="F854" s="151" t="inlineStr">
        <is>
          <t>星展</t>
        </is>
      </c>
      <c r="G854" s="152" t="inlineStr">
        <is>
          <t>06 星展</t>
        </is>
      </c>
      <c r="H854" s="153" t="n">
        <v>3319504</v>
      </c>
      <c r="I854" s="153" t="n">
        <v>2047205</v>
      </c>
      <c r="J854" s="153" t="n">
        <v>14733</v>
      </c>
      <c r="K854" s="153" t="n">
        <v>19156</v>
      </c>
      <c r="L854" s="153" t="n">
        <v>8725.605</v>
      </c>
      <c r="M854" s="11" t="n"/>
      <c r="N854" s="153" t="n">
        <v>20453.867</v>
      </c>
      <c r="O854" s="11" t="n"/>
      <c r="P854" s="11" t="n"/>
      <c r="Q854" s="12" t="n"/>
      <c r="R854" s="11" t="n"/>
      <c r="S854" s="11" t="n"/>
      <c r="T854" s="11" t="n"/>
      <c r="U854" s="11" t="n"/>
      <c r="V854" s="154" t="n"/>
      <c r="W854" s="11" t="n"/>
      <c r="X854" s="13" t="n"/>
      <c r="Y854" s="13" t="n"/>
      <c r="Z854" s="13" t="n"/>
      <c r="AA854" s="13" t="n"/>
      <c r="AB854" s="13" t="n"/>
      <c r="AC854" s="13" t="n"/>
      <c r="AD854" s="13" t="n"/>
      <c r="AE854" s="13" t="n"/>
      <c r="AF854" s="13" t="n"/>
      <c r="AG854" s="13" t="n"/>
      <c r="AH854" s="13" t="n"/>
      <c r="AI854" s="13" t="n"/>
    </row>
    <row r="855">
      <c r="A855" s="14" t="n">
        <v>202508</v>
      </c>
      <c r="B855" s="15">
        <f>LEFT(creditcard[[#This Row],[YYYYMM]],4)</f>
        <v/>
      </c>
      <c r="C855" s="15">
        <f>RIGHT(creditcard[[#This Row],[YYYYMM]],2)</f>
        <v/>
      </c>
      <c r="D855" s="15">
        <f>IF(RIGHT(creditcard[[#This Row],[YYYYMM]],2)="--","--","Q"&amp;ROUNDUP(VALUE(RIGHT(creditcard[[#This Row],[YYYYMM]],2))/3,0))</f>
        <v/>
      </c>
      <c r="E855" s="15" t="n">
        <v>7</v>
      </c>
      <c r="F855" s="155" t="inlineStr">
        <is>
          <t>聯邦</t>
        </is>
      </c>
      <c r="G855" s="156" t="inlineStr">
        <is>
          <t>07 聯邦</t>
        </is>
      </c>
      <c r="H855" s="157" t="n">
        <v>2759352</v>
      </c>
      <c r="I855" s="157" t="n">
        <v>1846922</v>
      </c>
      <c r="J855" s="157" t="n">
        <v>23065</v>
      </c>
      <c r="K855" s="157" t="n">
        <v>23273</v>
      </c>
      <c r="L855" s="157" t="n">
        <v>6473.412</v>
      </c>
      <c r="M855" s="16" t="n"/>
      <c r="N855" s="157" t="n">
        <v>14375.683</v>
      </c>
      <c r="O855" s="16" t="n"/>
      <c r="P855" s="16" t="n"/>
      <c r="Q855" s="17" t="n"/>
      <c r="R855" s="16" t="n"/>
      <c r="S855" s="16" t="n"/>
      <c r="T855" s="16" t="n"/>
      <c r="U855" s="16" t="n"/>
      <c r="V855" s="158" t="n"/>
      <c r="W855" s="16" t="n"/>
      <c r="X855" s="18" t="n"/>
      <c r="Y855" s="18" t="n"/>
      <c r="Z855" s="18" t="n"/>
      <c r="AA855" s="18" t="n"/>
      <c r="AB855" s="18" t="n"/>
      <c r="AC855" s="18" t="n"/>
      <c r="AD855" s="18" t="n"/>
      <c r="AE855" s="18" t="n"/>
      <c r="AF855" s="18" t="n"/>
      <c r="AG855" s="18" t="n"/>
      <c r="AH855" s="18" t="n"/>
      <c r="AI855" s="18" t="n"/>
    </row>
    <row r="856">
      <c r="A856" s="9" t="n">
        <v>202508</v>
      </c>
      <c r="B856" s="10">
        <f>LEFT(creditcard[[#This Row],[YYYYMM]],4)</f>
        <v/>
      </c>
      <c r="C856" s="10">
        <f>RIGHT(creditcard[[#This Row],[YYYYMM]],2)</f>
        <v/>
      </c>
      <c r="D856" s="10">
        <f>IF(RIGHT(creditcard[[#This Row],[YYYYMM]],2)="--","--","Q"&amp;ROUNDUP(VALUE(RIGHT(creditcard[[#This Row],[YYYYMM]],2))/3,0))</f>
        <v/>
      </c>
      <c r="E856" s="10" t="n">
        <v>8</v>
      </c>
      <c r="F856" s="151" t="inlineStr">
        <is>
          <t>永豐</t>
        </is>
      </c>
      <c r="G856" s="152" t="inlineStr">
        <is>
          <t>08 永豐</t>
        </is>
      </c>
      <c r="H856" s="153" t="n">
        <v>2432150</v>
      </c>
      <c r="I856" s="153" t="n">
        <v>1525417</v>
      </c>
      <c r="J856" s="153" t="n">
        <v>20756</v>
      </c>
      <c r="K856" s="153" t="n">
        <v>5769</v>
      </c>
      <c r="L856" s="153" t="n">
        <v>3949.911</v>
      </c>
      <c r="M856" s="11" t="n"/>
      <c r="N856" s="153" t="n">
        <v>13856.226</v>
      </c>
      <c r="O856" s="11" t="n"/>
      <c r="P856" s="11" t="n"/>
      <c r="Q856" s="12" t="n"/>
      <c r="R856" s="11" t="n"/>
      <c r="S856" s="11" t="n"/>
      <c r="T856" s="11" t="n"/>
      <c r="U856" s="11" t="n"/>
      <c r="V856" s="154" t="n"/>
      <c r="W856" s="11" t="n"/>
      <c r="X856" s="13" t="n"/>
      <c r="Y856" s="13" t="n"/>
      <c r="Z856" s="13" t="n"/>
      <c r="AA856" s="13" t="n"/>
      <c r="AB856" s="13" t="n"/>
      <c r="AC856" s="13" t="n"/>
      <c r="AD856" s="13" t="n"/>
      <c r="AE856" s="13" t="n"/>
      <c r="AF856" s="13" t="n"/>
      <c r="AG856" s="13" t="n"/>
      <c r="AH856" s="13" t="n"/>
      <c r="AI856" s="13" t="n"/>
    </row>
    <row r="857">
      <c r="A857" s="14" t="n">
        <v>202508</v>
      </c>
      <c r="B857" s="15">
        <f>LEFT(creditcard[[#This Row],[YYYYMM]],4)</f>
        <v/>
      </c>
      <c r="C857" s="15">
        <f>RIGHT(creditcard[[#This Row],[YYYYMM]],2)</f>
        <v/>
      </c>
      <c r="D857" s="15">
        <f>IF(RIGHT(creditcard[[#This Row],[YYYYMM]],2)="--","--","Q"&amp;ROUNDUP(VALUE(RIGHT(creditcard[[#This Row],[YYYYMM]],2))/3,0))</f>
        <v/>
      </c>
      <c r="E857" s="15" t="n">
        <v>9</v>
      </c>
      <c r="F857" s="155" t="inlineStr">
        <is>
          <t>第一</t>
        </is>
      </c>
      <c r="G857" s="156" t="inlineStr">
        <is>
          <t>09 第一</t>
        </is>
      </c>
      <c r="H857" s="157" t="n">
        <v>1515684</v>
      </c>
      <c r="I857" s="157" t="n">
        <v>950546</v>
      </c>
      <c r="J857" s="157" t="n">
        <v>11461</v>
      </c>
      <c r="K857" s="157" t="n">
        <v>5222</v>
      </c>
      <c r="L857" s="157" t="n">
        <v>1263.947</v>
      </c>
      <c r="M857" s="16" t="n"/>
      <c r="N857" s="157" t="n">
        <v>6450.972</v>
      </c>
      <c r="O857" s="16" t="n"/>
      <c r="P857" s="16" t="n"/>
      <c r="Q857" s="17" t="n"/>
      <c r="R857" s="16" t="n"/>
      <c r="S857" s="16" t="n"/>
      <c r="T857" s="16" t="n"/>
      <c r="U857" s="16" t="n"/>
      <c r="V857" s="158" t="n"/>
      <c r="W857" s="16" t="n"/>
      <c r="X857" s="18" t="n"/>
      <c r="Y857" s="18" t="n"/>
      <c r="Z857" s="18" t="n"/>
      <c r="AA857" s="18" t="n"/>
      <c r="AB857" s="18" t="n"/>
      <c r="AC857" s="18" t="n"/>
      <c r="AD857" s="18" t="n"/>
      <c r="AE857" s="18" t="n"/>
      <c r="AF857" s="18" t="n"/>
      <c r="AG857" s="18" t="n"/>
      <c r="AH857" s="18" t="n"/>
      <c r="AI857" s="18" t="n"/>
    </row>
    <row r="858">
      <c r="A858" s="9" t="n">
        <v>202508</v>
      </c>
      <c r="B858" s="10">
        <f>LEFT(creditcard[[#This Row],[YYYYMM]],4)</f>
        <v/>
      </c>
      <c r="C858" s="10">
        <f>RIGHT(creditcard[[#This Row],[YYYYMM]],2)</f>
        <v/>
      </c>
      <c r="D858" s="10">
        <f>IF(RIGHT(creditcard[[#This Row],[YYYYMM]],2)="--","--","Q"&amp;ROUNDUP(VALUE(RIGHT(creditcard[[#This Row],[YYYYMM]],2))/3,0))</f>
        <v/>
      </c>
      <c r="E858" s="10" t="n">
        <v>10</v>
      </c>
      <c r="F858" s="151" t="inlineStr">
        <is>
          <t>遠東</t>
        </is>
      </c>
      <c r="G858" s="152" t="inlineStr">
        <is>
          <t>10 遠東</t>
        </is>
      </c>
      <c r="H858" s="153" t="n">
        <v>1294859</v>
      </c>
      <c r="I858" s="153" t="n">
        <v>926739</v>
      </c>
      <c r="J858" s="153" t="n">
        <v>7637</v>
      </c>
      <c r="K858" s="153" t="n">
        <v>73883</v>
      </c>
      <c r="L858" s="153" t="n">
        <v>3249.738</v>
      </c>
      <c r="M858" s="11" t="n"/>
      <c r="N858" s="153" t="n">
        <v>3934.188</v>
      </c>
      <c r="O858" s="11" t="n"/>
      <c r="P858" s="11" t="n"/>
      <c r="Q858" s="12" t="n"/>
      <c r="R858" s="11" t="n"/>
      <c r="S858" s="11" t="n"/>
      <c r="T858" s="11" t="n"/>
      <c r="U858" s="11" t="n"/>
      <c r="V858" s="154" t="n"/>
      <c r="W858" s="11" t="n"/>
      <c r="X858" s="13" t="n"/>
      <c r="Y858" s="13" t="n"/>
      <c r="Z858" s="13" t="n"/>
      <c r="AA858" s="13" t="n"/>
      <c r="AB858" s="13" t="n"/>
      <c r="AC858" s="13" t="n"/>
      <c r="AD858" s="13" t="n"/>
      <c r="AE858" s="13" t="n"/>
      <c r="AF858" s="13" t="n"/>
      <c r="AG858" s="13" t="n"/>
      <c r="AH858" s="13" t="n"/>
      <c r="AI858" s="13" t="n"/>
    </row>
    <row r="859">
      <c r="A859" s="14" t="n">
        <v>202508</v>
      </c>
      <c r="B859" s="15">
        <f>LEFT(creditcard[[#This Row],[YYYYMM]],4)</f>
        <v/>
      </c>
      <c r="C859" s="15">
        <f>RIGHT(creditcard[[#This Row],[YYYYMM]],2)</f>
        <v/>
      </c>
      <c r="D859" s="15">
        <f>IF(RIGHT(creditcard[[#This Row],[YYYYMM]],2)="--","--","Q"&amp;ROUNDUP(VALUE(RIGHT(creditcard[[#This Row],[YYYYMM]],2))/3,0))</f>
        <v/>
      </c>
      <c r="E859" s="15" t="n">
        <v>11</v>
      </c>
      <c r="F859" s="155" t="inlineStr">
        <is>
          <t>市場總計</t>
        </is>
      </c>
      <c r="G859" s="156" t="inlineStr">
        <is>
          <t>11 市場總計</t>
        </is>
      </c>
      <c r="H859" s="157" t="n">
        <v>60149284</v>
      </c>
      <c r="I859" s="157" t="n">
        <v>39931101</v>
      </c>
      <c r="J859" s="157" t="n">
        <v>624107</v>
      </c>
      <c r="K859" s="157" t="n">
        <v>437907</v>
      </c>
      <c r="L859" s="157" t="n">
        <v>115041.324</v>
      </c>
      <c r="M859" s="160" t="n">
        <v>233074.998</v>
      </c>
      <c r="N859" s="157" t="n">
        <v>376250.456</v>
      </c>
      <c r="O859" s="160" t="n">
        <v>1468.012</v>
      </c>
      <c r="P859" s="17" t="n">
        <v>0.002530164872590752</v>
      </c>
      <c r="Q859" s="17" t="n">
        <v>0.0003787804140964427</v>
      </c>
      <c r="R859" s="19" t="n">
        <v>4.65907864409299</v>
      </c>
      <c r="S859" s="160" t="n">
        <v>572.496</v>
      </c>
      <c r="T859" s="160" t="n">
        <v>4902.958</v>
      </c>
      <c r="U859" s="16" t="n"/>
      <c r="V859" s="158" t="n">
        <v>4.64</v>
      </c>
      <c r="W859" s="16">
        <f>SUMIFS(H:H,A:A,creditcard[[#This Row],[YYYYMM]],G:G,creditcard[[#This Row],[Item]])</f>
        <v/>
      </c>
      <c r="X859" s="4">
        <f>IFERROR(SUMIFS(H:H,A:A,creditcard[[#This Row],[YYYYMM]],E:E,"&lt;=5")/creditcard[[#This Row],[市場總計]],"")</f>
        <v/>
      </c>
      <c r="Y859" s="4">
        <f>IFERROR(SUMIFS(H:H,A:A,creditcard[[#This Row],[YYYYMM]],E:E,"&lt;=10")/creditcard[[#This Row],[市場總計]],"")</f>
        <v/>
      </c>
      <c r="Z859" s="4">
        <f>IFERROR(SUMIFS(I:I,A:A,creditcard[[#This Row],[YYYYMM]],E:E,"&lt;=5")/creditcard[[#This Row],[有效卡數]],"")</f>
        <v/>
      </c>
      <c r="AA859" s="4">
        <f>IFERROR(SUMIFS(I:I,A:A,creditcard[[#This Row],[YYYYMM]],E:E,"&lt;=10")/creditcard[[#This Row],[有效卡數]],"")</f>
        <v/>
      </c>
      <c r="AB859" s="4">
        <f>IFERROR(SUMIFS(J:J,A:A,creditcard[[#This Row],[YYYYMM]],E:E,"&lt;=5")/creditcard[[#This Row],[當月發卡數]],"")</f>
        <v/>
      </c>
      <c r="AC859" s="4">
        <f>IFERROR(SUMIFS(J:J,A:A,creditcard[[#This Row],[YYYYMM]],E:E,"&lt;=10")/creditcard[[#This Row],[當月發卡數]],"")</f>
        <v/>
      </c>
      <c r="AD859" s="4">
        <f>IFERROR(SUMIFS(K:K,A:A,creditcard[[#This Row],[YYYYMM]],E:E,"&lt;=5")/creditcard[[#This Row],[當月停卡數]],"")</f>
        <v/>
      </c>
      <c r="AE859" s="4">
        <f>IFERROR(SUMIFS(K:K,A:A,creditcard[[#This Row],[YYYYMM]],E:E,"&lt;=10")/creditcard[[#This Row],[當月停卡數]],"")</f>
        <v/>
      </c>
      <c r="AF859" s="4">
        <f>IFERROR(SUMIFS(L:L,A:A,creditcard[[#This Row],[YYYYMM]],E:E,"&lt;=5")/creditcard[[#This Row],[循環信用餘額]],"")</f>
        <v/>
      </c>
      <c r="AG859" s="4">
        <f>IFERROR(SUMIFS(L:L,A:A,creditcard[[#This Row],[YYYYMM]],E:E,"&lt;=10")/creditcard[[#This Row],[循環信用餘額]],"")</f>
        <v/>
      </c>
      <c r="AH859" s="4">
        <f>IFERROR(SUMIFS(N:N,A:A,creditcard[[#This Row],[YYYYMM]],E:E,"&lt;=5")/creditcard[[#This Row],[當月簽帳金額]],"")</f>
        <v/>
      </c>
      <c r="AI859" s="4">
        <f>IFERROR(SUMIFS(N:N,A:A,creditcard[[#This Row],[YYYYMM]],E:E,"&lt;=10")/creditcard[[#This Row],[當月簽帳金額]],"")</f>
        <v/>
      </c>
    </row>
    <row r="860">
      <c r="A860" s="9" t="n">
        <v>202509</v>
      </c>
      <c r="B860" s="10">
        <f>LEFT(creditcard[[#This Row],[YYYYMM]],4)</f>
        <v/>
      </c>
      <c r="C860" s="10">
        <f>RIGHT(creditcard[[#This Row],[YYYYMM]],2)</f>
        <v/>
      </c>
      <c r="D860" s="10">
        <f>IF(RIGHT(creditcard[[#This Row],[YYYYMM]],2)="--","--","Q"&amp;ROUNDUP(VALUE(RIGHT(creditcard[[#This Row],[YYYYMM]],2))/3,0))</f>
        <v/>
      </c>
      <c r="E860" s="10" t="n">
        <v>1</v>
      </c>
      <c r="F860" s="151" t="inlineStr">
        <is>
          <t>中信</t>
        </is>
      </c>
      <c r="G860" s="152" t="inlineStr">
        <is>
          <t>01 中信</t>
        </is>
      </c>
      <c r="H860" s="153" t="n">
        <v>9305508</v>
      </c>
      <c r="I860" s="153" t="n">
        <v>6629102</v>
      </c>
      <c r="J860" s="153" t="n">
        <v>330062</v>
      </c>
      <c r="K860" s="153" t="n">
        <v>131381</v>
      </c>
      <c r="L860" s="153" t="n">
        <v>17442.113</v>
      </c>
      <c r="M860" s="11" t="n"/>
      <c r="N860" s="153" t="n">
        <v>73733.664</v>
      </c>
      <c r="O860" s="11" t="n"/>
      <c r="P860" s="11" t="n"/>
      <c r="Q860" s="12" t="n"/>
      <c r="R860" s="11" t="n"/>
      <c r="S860" s="11" t="n"/>
      <c r="T860" s="11" t="n"/>
      <c r="U860" s="11" t="n"/>
      <c r="V860" s="154" t="n"/>
      <c r="W860" s="11" t="n"/>
      <c r="X860" s="13" t="n"/>
      <c r="Y860" s="13" t="n"/>
      <c r="Z860" s="13" t="n"/>
      <c r="AA860" s="13" t="n"/>
      <c r="AB860" s="13" t="n"/>
      <c r="AC860" s="13" t="n"/>
      <c r="AD860" s="13" t="n"/>
      <c r="AE860" s="13" t="n"/>
      <c r="AF860" s="13" t="n"/>
      <c r="AG860" s="13" t="n"/>
      <c r="AH860" s="13" t="n"/>
      <c r="AI860" s="13" t="n"/>
    </row>
    <row r="861">
      <c r="A861" s="14" t="n">
        <v>202509</v>
      </c>
      <c r="B861" s="15">
        <f>LEFT(creditcard[[#This Row],[YYYYMM]],4)</f>
        <v/>
      </c>
      <c r="C861" s="15">
        <f>RIGHT(creditcard[[#This Row],[YYYYMM]],2)</f>
        <v/>
      </c>
      <c r="D861" s="15">
        <f>IF(RIGHT(creditcard[[#This Row],[YYYYMM]],2)="--","--","Q"&amp;ROUNDUP(VALUE(RIGHT(creditcard[[#This Row],[YYYYMM]],2))/3,0))</f>
        <v/>
      </c>
      <c r="E861" s="15" t="n">
        <v>2</v>
      </c>
      <c r="F861" s="155" t="inlineStr">
        <is>
          <t>富邦</t>
        </is>
      </c>
      <c r="G861" s="156" t="inlineStr">
        <is>
          <t>02 富邦</t>
        </is>
      </c>
      <c r="H861" s="157" t="n">
        <v>7488656</v>
      </c>
      <c r="I861" s="157" t="n">
        <v>5803191</v>
      </c>
      <c r="J861" s="157" t="n">
        <v>38593</v>
      </c>
      <c r="K861" s="157" t="n">
        <v>16183</v>
      </c>
      <c r="L861" s="157" t="n">
        <v>11389.102</v>
      </c>
      <c r="M861" s="16" t="n"/>
      <c r="N861" s="157" t="n">
        <v>48349.084</v>
      </c>
      <c r="O861" s="16" t="n"/>
      <c r="P861" s="16" t="n"/>
      <c r="Q861" s="17" t="n"/>
      <c r="R861" s="16" t="n"/>
      <c r="S861" s="16" t="n"/>
      <c r="T861" s="16" t="n"/>
      <c r="U861" s="16" t="n"/>
      <c r="V861" s="158" t="n"/>
      <c r="W861" s="16" t="n"/>
      <c r="X861" s="18" t="n"/>
      <c r="Y861" s="18" t="n"/>
      <c r="Z861" s="18" t="n"/>
      <c r="AA861" s="18" t="n"/>
      <c r="AB861" s="18" t="n"/>
      <c r="AC861" s="18" t="n"/>
      <c r="AD861" s="18" t="n"/>
      <c r="AE861" s="18" t="n"/>
      <c r="AF861" s="18" t="n"/>
      <c r="AG861" s="18" t="n"/>
      <c r="AH861" s="18" t="n"/>
      <c r="AI861" s="18" t="n"/>
    </row>
    <row r="862">
      <c r="A862" s="9" t="n">
        <v>202509</v>
      </c>
      <c r="B862" s="10">
        <f>LEFT(creditcard[[#This Row],[YYYYMM]],4)</f>
        <v/>
      </c>
      <c r="C862" s="10">
        <f>RIGHT(creditcard[[#This Row],[YYYYMM]],2)</f>
        <v/>
      </c>
      <c r="D862" s="10">
        <f>IF(RIGHT(creditcard[[#This Row],[YYYYMM]],2)="--","--","Q"&amp;ROUNDUP(VALUE(RIGHT(creditcard[[#This Row],[YYYYMM]],2))/3,0))</f>
        <v/>
      </c>
      <c r="E862" s="10" t="n">
        <v>3</v>
      </c>
      <c r="F862" s="151" t="inlineStr">
        <is>
          <t>國泰</t>
        </is>
      </c>
      <c r="G862" s="152" t="inlineStr">
        <is>
          <t>03 國泰</t>
        </is>
      </c>
      <c r="H862" s="153" t="n">
        <v>7333465</v>
      </c>
      <c r="I862" s="153" t="n">
        <v>5169904</v>
      </c>
      <c r="J862" s="153" t="n">
        <v>49438</v>
      </c>
      <c r="K862" s="153" t="n">
        <v>31750</v>
      </c>
      <c r="L862" s="153" t="n">
        <v>21005.803</v>
      </c>
      <c r="M862" s="11" t="n"/>
      <c r="N862" s="153" t="n">
        <v>71463.253</v>
      </c>
      <c r="O862" s="11" t="n"/>
      <c r="P862" s="11" t="n"/>
      <c r="Q862" s="12" t="n"/>
      <c r="R862" s="11" t="n"/>
      <c r="S862" s="11" t="n"/>
      <c r="T862" s="11" t="n"/>
      <c r="U862" s="11" t="n"/>
      <c r="V862" s="154" t="n"/>
      <c r="W862" s="11" t="n"/>
      <c r="X862" s="13" t="n"/>
      <c r="Y862" s="13" t="n"/>
      <c r="Z862" s="13" t="n"/>
      <c r="AA862" s="13" t="n"/>
      <c r="AB862" s="13" t="n"/>
      <c r="AC862" s="13" t="n"/>
      <c r="AD862" s="13" t="n"/>
      <c r="AE862" s="13" t="n"/>
      <c r="AF862" s="13" t="n"/>
      <c r="AG862" s="13" t="n"/>
      <c r="AH862" s="13" t="n"/>
      <c r="AI862" s="13" t="n"/>
    </row>
    <row r="863">
      <c r="A863" s="14" t="n">
        <v>202509</v>
      </c>
      <c r="B863" s="15">
        <f>LEFT(creditcard[[#This Row],[YYYYMM]],4)</f>
        <v/>
      </c>
      <c r="C863" s="15">
        <f>RIGHT(creditcard[[#This Row],[YYYYMM]],2)</f>
        <v/>
      </c>
      <c r="D863" s="15">
        <f>IF(RIGHT(creditcard[[#This Row],[YYYYMM]],2)="--","--","Q"&amp;ROUNDUP(VALUE(RIGHT(creditcard[[#This Row],[YYYYMM]],2))/3,0))</f>
        <v/>
      </c>
      <c r="E863" s="15" t="n">
        <v>4</v>
      </c>
      <c r="F863" s="155" t="inlineStr">
        <is>
          <t>玉山</t>
        </is>
      </c>
      <c r="G863" s="156" t="inlineStr">
        <is>
          <t>04 玉山</t>
        </is>
      </c>
      <c r="H863" s="157" t="n">
        <v>8752377</v>
      </c>
      <c r="I863" s="157" t="n">
        <v>5437724</v>
      </c>
      <c r="J863" s="157" t="n">
        <v>64162</v>
      </c>
      <c r="K863" s="157" t="n">
        <v>116426</v>
      </c>
      <c r="L863" s="157" t="n">
        <v>18455.493</v>
      </c>
      <c r="M863" s="16" t="n"/>
      <c r="N863" s="157" t="n">
        <v>51251.681</v>
      </c>
      <c r="O863" s="16" t="n"/>
      <c r="P863" s="16" t="n"/>
      <c r="Q863" s="17" t="n"/>
      <c r="R863" s="16" t="n"/>
      <c r="S863" s="16" t="n"/>
      <c r="T863" s="16" t="n"/>
      <c r="U863" s="16" t="n"/>
      <c r="V863" s="158" t="n"/>
      <c r="W863" s="16" t="n"/>
      <c r="X863" s="18" t="n"/>
      <c r="Y863" s="18" t="n"/>
      <c r="Z863" s="18" t="n"/>
      <c r="AA863" s="18" t="n"/>
      <c r="AB863" s="18" t="n"/>
      <c r="AC863" s="18" t="n"/>
      <c r="AD863" s="18" t="n"/>
      <c r="AE863" s="18" t="n"/>
      <c r="AF863" s="18" t="n"/>
      <c r="AG863" s="18" t="n"/>
      <c r="AH863" s="18" t="n"/>
      <c r="AI863" s="18" t="n"/>
    </row>
    <row r="864">
      <c r="A864" s="9" t="n">
        <v>202509</v>
      </c>
      <c r="B864" s="10">
        <f>LEFT(creditcard[[#This Row],[YYYYMM]],4)</f>
        <v/>
      </c>
      <c r="C864" s="10">
        <f>RIGHT(creditcard[[#This Row],[YYYYMM]],2)</f>
        <v/>
      </c>
      <c r="D864" s="10">
        <f>IF(RIGHT(creditcard[[#This Row],[YYYYMM]],2)="--","--","Q"&amp;ROUNDUP(VALUE(RIGHT(creditcard[[#This Row],[YYYYMM]],2))/3,0))</f>
        <v/>
      </c>
      <c r="E864" s="10" t="n">
        <v>5</v>
      </c>
      <c r="F864" s="151" t="inlineStr">
        <is>
          <t>台新</t>
        </is>
      </c>
      <c r="G864" s="152" t="inlineStr">
        <is>
          <t>05 台新</t>
        </is>
      </c>
      <c r="H864" s="153" t="n">
        <v>6629102</v>
      </c>
      <c r="I864" s="153" t="n">
        <v>4844510</v>
      </c>
      <c r="J864" s="153" t="n">
        <v>65893</v>
      </c>
      <c r="K864" s="153" t="n">
        <v>64920</v>
      </c>
      <c r="L864" s="153" t="n">
        <v>11120.714</v>
      </c>
      <c r="M864" s="11" t="n"/>
      <c r="N864" s="153" t="n">
        <v>43935.514</v>
      </c>
      <c r="O864" s="11" t="n"/>
      <c r="P864" s="11" t="n"/>
      <c r="Q864" s="12" t="n"/>
      <c r="R864" s="11" t="n"/>
      <c r="S864" s="11" t="n"/>
      <c r="T864" s="11" t="n"/>
      <c r="U864" s="11" t="n"/>
      <c r="V864" s="154" t="n"/>
      <c r="W864" s="11" t="n"/>
      <c r="X864" s="13" t="n"/>
      <c r="Y864" s="13" t="n"/>
      <c r="Z864" s="13" t="n"/>
      <c r="AA864" s="13" t="n"/>
      <c r="AB864" s="13" t="n"/>
      <c r="AC864" s="13" t="n"/>
      <c r="AD864" s="13" t="n"/>
      <c r="AE864" s="13" t="n"/>
      <c r="AF864" s="13" t="n"/>
      <c r="AG864" s="13" t="n"/>
      <c r="AH864" s="13" t="n"/>
      <c r="AI864" s="13" t="n"/>
    </row>
    <row r="865">
      <c r="A865" s="14" t="n">
        <v>202509</v>
      </c>
      <c r="B865" s="15">
        <f>LEFT(creditcard[[#This Row],[YYYYMM]],4)</f>
        <v/>
      </c>
      <c r="C865" s="15">
        <f>RIGHT(creditcard[[#This Row],[YYYYMM]],2)</f>
        <v/>
      </c>
      <c r="D865" s="15">
        <f>IF(RIGHT(creditcard[[#This Row],[YYYYMM]],2)="--","--","Q"&amp;ROUNDUP(VALUE(RIGHT(creditcard[[#This Row],[YYYYMM]],2))/3,0))</f>
        <v/>
      </c>
      <c r="E865" s="15" t="n">
        <v>6</v>
      </c>
      <c r="F865" s="155" t="inlineStr">
        <is>
          <t>星展</t>
        </is>
      </c>
      <c r="G865" s="156" t="inlineStr">
        <is>
          <t>06 星展</t>
        </is>
      </c>
      <c r="H865" s="157" t="n">
        <v>3316008</v>
      </c>
      <c r="I865" s="157" t="n">
        <v>2046800</v>
      </c>
      <c r="J865" s="157" t="n">
        <v>11701</v>
      </c>
      <c r="K865" s="157" t="n">
        <v>25670</v>
      </c>
      <c r="L865" s="157" t="n">
        <v>8781.277</v>
      </c>
      <c r="M865" s="16" t="n"/>
      <c r="N865" s="157" t="n">
        <v>21394.753</v>
      </c>
      <c r="O865" s="16" t="n"/>
      <c r="P865" s="16" t="n"/>
      <c r="Q865" s="17" t="n"/>
      <c r="R865" s="16" t="n"/>
      <c r="S865" s="16" t="n"/>
      <c r="T865" s="16" t="n"/>
      <c r="U865" s="16" t="n"/>
      <c r="V865" s="158" t="n"/>
      <c r="W865" s="16" t="n"/>
      <c r="X865" s="18" t="n"/>
      <c r="Y865" s="18" t="n"/>
      <c r="Z865" s="18" t="n"/>
      <c r="AA865" s="18" t="n"/>
      <c r="AB865" s="18" t="n"/>
      <c r="AC865" s="18" t="n"/>
      <c r="AD865" s="18" t="n"/>
      <c r="AE865" s="18" t="n"/>
      <c r="AF865" s="18" t="n"/>
      <c r="AG865" s="18" t="n"/>
      <c r="AH865" s="18" t="n"/>
      <c r="AI865" s="18" t="n"/>
    </row>
    <row r="866">
      <c r="A866" s="9" t="n">
        <v>202509</v>
      </c>
      <c r="B866" s="10">
        <f>LEFT(creditcard[[#This Row],[YYYYMM]],4)</f>
        <v/>
      </c>
      <c r="C866" s="10">
        <f>RIGHT(creditcard[[#This Row],[YYYYMM]],2)</f>
        <v/>
      </c>
      <c r="D866" s="10">
        <f>IF(RIGHT(creditcard[[#This Row],[YYYYMM]],2)="--","--","Q"&amp;ROUNDUP(VALUE(RIGHT(creditcard[[#This Row],[YYYYMM]],2))/3,0))</f>
        <v/>
      </c>
      <c r="E866" s="10" t="n">
        <v>7</v>
      </c>
      <c r="F866" s="151" t="inlineStr">
        <is>
          <t>聯邦</t>
        </is>
      </c>
      <c r="G866" s="152" t="inlineStr">
        <is>
          <t>07 聯邦</t>
        </is>
      </c>
      <c r="H866" s="153" t="n">
        <v>2756495</v>
      </c>
      <c r="I866" s="153" t="n">
        <v>1850898</v>
      </c>
      <c r="J866" s="153" t="n">
        <v>21314</v>
      </c>
      <c r="K866" s="153" t="n">
        <v>24171</v>
      </c>
      <c r="L866" s="153" t="n">
        <v>6529.968</v>
      </c>
      <c r="M866" s="11" t="n"/>
      <c r="N866" s="153" t="n">
        <v>14540.278</v>
      </c>
      <c r="O866" s="11" t="n"/>
      <c r="P866" s="11" t="n"/>
      <c r="Q866" s="12" t="n"/>
      <c r="R866" s="11" t="n"/>
      <c r="S866" s="11" t="n"/>
      <c r="T866" s="11" t="n"/>
      <c r="U866" s="11" t="n"/>
      <c r="V866" s="154" t="n"/>
      <c r="W866" s="11" t="n"/>
      <c r="X866" s="13" t="n"/>
      <c r="Y866" s="13" t="n"/>
      <c r="Z866" s="13" t="n"/>
      <c r="AA866" s="13" t="n"/>
      <c r="AB866" s="13" t="n"/>
      <c r="AC866" s="13" t="n"/>
      <c r="AD866" s="13" t="n"/>
      <c r="AE866" s="13" t="n"/>
      <c r="AF866" s="13" t="n"/>
      <c r="AG866" s="13" t="n"/>
      <c r="AH866" s="13" t="n"/>
      <c r="AI866" s="13" t="n"/>
    </row>
    <row r="867">
      <c r="A867" s="14" t="n">
        <v>202509</v>
      </c>
      <c r="B867" s="15">
        <f>LEFT(creditcard[[#This Row],[YYYYMM]],4)</f>
        <v/>
      </c>
      <c r="C867" s="15">
        <f>RIGHT(creditcard[[#This Row],[YYYYMM]],2)</f>
        <v/>
      </c>
      <c r="D867" s="15">
        <f>IF(RIGHT(creditcard[[#This Row],[YYYYMM]],2)="--","--","Q"&amp;ROUNDUP(VALUE(RIGHT(creditcard[[#This Row],[YYYYMM]],2))/3,0))</f>
        <v/>
      </c>
      <c r="E867" s="15" t="n">
        <v>8</v>
      </c>
      <c r="F867" s="155" t="inlineStr">
        <is>
          <t>永豐</t>
        </is>
      </c>
      <c r="G867" s="156" t="inlineStr">
        <is>
          <t>08 永豐</t>
        </is>
      </c>
      <c r="H867" s="157" t="n">
        <v>2446109</v>
      </c>
      <c r="I867" s="157" t="n">
        <v>1528884</v>
      </c>
      <c r="J867" s="157" t="n">
        <v>20809</v>
      </c>
      <c r="K867" s="157" t="n">
        <v>6392</v>
      </c>
      <c r="L867" s="157" t="n">
        <v>4045.805</v>
      </c>
      <c r="M867" s="16" t="n"/>
      <c r="N867" s="157" t="n">
        <v>14139.555</v>
      </c>
      <c r="O867" s="16" t="n"/>
      <c r="P867" s="16" t="n"/>
      <c r="Q867" s="17" t="n"/>
      <c r="R867" s="16" t="n"/>
      <c r="S867" s="16" t="n"/>
      <c r="T867" s="16" t="n"/>
      <c r="U867" s="16" t="n"/>
      <c r="V867" s="158" t="n"/>
      <c r="W867" s="16" t="n"/>
      <c r="X867" s="18" t="n"/>
      <c r="Y867" s="18" t="n"/>
      <c r="Z867" s="18" t="n"/>
      <c r="AA867" s="18" t="n"/>
      <c r="AB867" s="18" t="n"/>
      <c r="AC867" s="18" t="n"/>
      <c r="AD867" s="18" t="n"/>
      <c r="AE867" s="18" t="n"/>
      <c r="AF867" s="18" t="n"/>
      <c r="AG867" s="18" t="n"/>
      <c r="AH867" s="18" t="n"/>
      <c r="AI867" s="18" t="n"/>
    </row>
    <row r="868">
      <c r="A868" s="9" t="n">
        <v>202509</v>
      </c>
      <c r="B868" s="10">
        <f>LEFT(creditcard[[#This Row],[YYYYMM]],4)</f>
        <v/>
      </c>
      <c r="C868" s="10">
        <f>RIGHT(creditcard[[#This Row],[YYYYMM]],2)</f>
        <v/>
      </c>
      <c r="D868" s="10">
        <f>IF(RIGHT(creditcard[[#This Row],[YYYYMM]],2)="--","--","Q"&amp;ROUNDUP(VALUE(RIGHT(creditcard[[#This Row],[YYYYMM]],2))/3,0))</f>
        <v/>
      </c>
      <c r="E868" s="10" t="n">
        <v>9</v>
      </c>
      <c r="F868" s="151" t="inlineStr">
        <is>
          <t>第一</t>
        </is>
      </c>
      <c r="G868" s="152" t="inlineStr">
        <is>
          <t>09 第一</t>
        </is>
      </c>
      <c r="H868" s="153" t="n">
        <v>1521089</v>
      </c>
      <c r="I868" s="153" t="n">
        <v>948177</v>
      </c>
      <c r="J868" s="153" t="n">
        <v>11293</v>
      </c>
      <c r="K868" s="153" t="n">
        <v>6273</v>
      </c>
      <c r="L868" s="153" t="n">
        <v>1293.714</v>
      </c>
      <c r="M868" s="11" t="n"/>
      <c r="N868" s="153" t="n">
        <v>6574.397</v>
      </c>
      <c r="O868" s="11" t="n"/>
      <c r="P868" s="11" t="n"/>
      <c r="Q868" s="12" t="n"/>
      <c r="R868" s="11" t="n"/>
      <c r="S868" s="11" t="n"/>
      <c r="T868" s="11" t="n"/>
      <c r="U868" s="11" t="n"/>
      <c r="V868" s="154" t="n"/>
      <c r="W868" s="11" t="n"/>
      <c r="X868" s="13" t="n"/>
      <c r="Y868" s="13" t="n"/>
      <c r="Z868" s="13" t="n"/>
      <c r="AA868" s="13" t="n"/>
      <c r="AB868" s="13" t="n"/>
      <c r="AC868" s="13" t="n"/>
      <c r="AD868" s="13" t="n"/>
      <c r="AE868" s="13" t="n"/>
      <c r="AF868" s="13" t="n"/>
      <c r="AG868" s="13" t="n"/>
      <c r="AH868" s="13" t="n"/>
      <c r="AI868" s="13" t="n"/>
    </row>
    <row r="869">
      <c r="A869" s="14" t="n">
        <v>202509</v>
      </c>
      <c r="B869" s="15">
        <f>LEFT(creditcard[[#This Row],[YYYYMM]],4)</f>
        <v/>
      </c>
      <c r="C869" s="15">
        <f>RIGHT(creditcard[[#This Row],[YYYYMM]],2)</f>
        <v/>
      </c>
      <c r="D869" s="15">
        <f>IF(RIGHT(creditcard[[#This Row],[YYYYMM]],2)="--","--","Q"&amp;ROUNDUP(VALUE(RIGHT(creditcard[[#This Row],[YYYYMM]],2))/3,0))</f>
        <v/>
      </c>
      <c r="E869" s="15" t="n">
        <v>10</v>
      </c>
      <c r="F869" s="155" t="inlineStr">
        <is>
          <t>遠東</t>
        </is>
      </c>
      <c r="G869" s="156" t="inlineStr">
        <is>
          <t>10 遠東</t>
        </is>
      </c>
      <c r="H869" s="157" t="n">
        <v>1294614</v>
      </c>
      <c r="I869" s="157" t="n">
        <v>919975</v>
      </c>
      <c r="J869" s="157" t="n">
        <v>7476</v>
      </c>
      <c r="K869" s="157" t="n">
        <v>7754</v>
      </c>
      <c r="L869" s="157" t="n">
        <v>3254.115</v>
      </c>
      <c r="M869" s="16" t="n"/>
      <c r="N869" s="157" t="n">
        <v>4252.474</v>
      </c>
      <c r="O869" s="16" t="n"/>
      <c r="P869" s="16" t="n"/>
      <c r="Q869" s="17" t="n"/>
      <c r="R869" s="16" t="n"/>
      <c r="S869" s="16" t="n"/>
      <c r="T869" s="16" t="n"/>
      <c r="U869" s="16" t="n"/>
      <c r="V869" s="158" t="n"/>
      <c r="W869" s="16" t="n"/>
      <c r="X869" s="18" t="n"/>
      <c r="Y869" s="18" t="n"/>
      <c r="Z869" s="18" t="n"/>
      <c r="AA869" s="18" t="n"/>
      <c r="AB869" s="18" t="n"/>
      <c r="AC869" s="18" t="n"/>
      <c r="AD869" s="18" t="n"/>
      <c r="AE869" s="18" t="n"/>
      <c r="AF869" s="18" t="n"/>
      <c r="AG869" s="18" t="n"/>
      <c r="AH869" s="18" t="n"/>
      <c r="AI869" s="18" t="n"/>
    </row>
    <row r="870">
      <c r="A870" s="9" t="n">
        <v>202509</v>
      </c>
      <c r="B870" s="10">
        <f>LEFT(creditcard[[#This Row],[YYYYMM]],4)</f>
        <v/>
      </c>
      <c r="C870" s="10">
        <f>RIGHT(creditcard[[#This Row],[YYYYMM]],2)</f>
        <v/>
      </c>
      <c r="D870" s="10">
        <f>IF(RIGHT(creditcard[[#This Row],[YYYYMM]],2)="--","--","Q"&amp;ROUNDUP(VALUE(RIGHT(creditcard[[#This Row],[YYYYMM]],2))/3,0))</f>
        <v/>
      </c>
      <c r="E870" s="10" t="n">
        <v>11</v>
      </c>
      <c r="F870" s="151" t="inlineStr">
        <is>
          <t>市場總計</t>
        </is>
      </c>
      <c r="G870" s="152" t="inlineStr">
        <is>
          <t>11 市場總計</t>
        </is>
      </c>
      <c r="H870" s="153" t="n">
        <v>60354497</v>
      </c>
      <c r="I870" s="153" t="n">
        <v>40185047</v>
      </c>
      <c r="J870" s="153" t="n">
        <v>686004</v>
      </c>
      <c r="K870" s="153" t="n">
        <v>498235</v>
      </c>
      <c r="L870" s="153" t="n">
        <v>117177.201</v>
      </c>
      <c r="M870" s="161" t="n">
        <v>220486.934</v>
      </c>
      <c r="N870" s="153" t="n">
        <v>403174.279</v>
      </c>
      <c r="O870" s="161" t="n">
        <v>1584.839</v>
      </c>
      <c r="P870" s="12" t="n">
        <v>0.002416493156634285</v>
      </c>
      <c r="Q870" s="12" t="n">
        <v>0.0003798574842191405</v>
      </c>
      <c r="R870" s="20" t="n">
        <v>4.680974736736984</v>
      </c>
      <c r="S870" s="161" t="n">
        <v>632.705</v>
      </c>
      <c r="T870" s="161" t="n">
        <v>5535.663</v>
      </c>
      <c r="U870" s="11" t="n"/>
      <c r="V870" s="154" t="n">
        <v>4.65</v>
      </c>
      <c r="W870" s="11">
        <f>SUMIFS(H:H,A:A,creditcard[[#This Row],[YYYYMM]],G:G,creditcard[[#This Row],[Item]])</f>
        <v/>
      </c>
      <c r="X870" s="4">
        <f>IFERROR(SUMIFS(H:H,A:A,creditcard[[#This Row],[YYYYMM]],E:E,"&lt;=5")/creditcard[[#This Row],[市場總計]],"")</f>
        <v/>
      </c>
      <c r="Y870" s="4">
        <f>IFERROR(SUMIFS(H:H,A:A,creditcard[[#This Row],[YYYYMM]],E:E,"&lt;=10")/creditcard[[#This Row],[市場總計]],"")</f>
        <v/>
      </c>
      <c r="Z870" s="4">
        <f>IFERROR(SUMIFS(I:I,A:A,creditcard[[#This Row],[YYYYMM]],E:E,"&lt;=5")/creditcard[[#This Row],[有效卡數]],"")</f>
        <v/>
      </c>
      <c r="AA870" s="4">
        <f>IFERROR(SUMIFS(I:I,A:A,creditcard[[#This Row],[YYYYMM]],E:E,"&lt;=10")/creditcard[[#This Row],[有效卡數]],"")</f>
        <v/>
      </c>
      <c r="AB870" s="4">
        <f>IFERROR(SUMIFS(J:J,A:A,creditcard[[#This Row],[YYYYMM]],E:E,"&lt;=5")/creditcard[[#This Row],[當月發卡數]],"")</f>
        <v/>
      </c>
      <c r="AC870" s="4">
        <f>IFERROR(SUMIFS(J:J,A:A,creditcard[[#This Row],[YYYYMM]],E:E,"&lt;=10")/creditcard[[#This Row],[當月發卡數]],"")</f>
        <v/>
      </c>
      <c r="AD870" s="4">
        <f>IFERROR(SUMIFS(K:K,A:A,creditcard[[#This Row],[YYYYMM]],E:E,"&lt;=5")/creditcard[[#This Row],[當月停卡數]],"")</f>
        <v/>
      </c>
      <c r="AE870" s="4">
        <f>IFERROR(SUMIFS(K:K,A:A,creditcard[[#This Row],[YYYYMM]],E:E,"&lt;=10")/creditcard[[#This Row],[當月停卡數]],"")</f>
        <v/>
      </c>
      <c r="AF870" s="4">
        <f>IFERROR(SUMIFS(L:L,A:A,creditcard[[#This Row],[YYYYMM]],E:E,"&lt;=5")/creditcard[[#This Row],[循環信用餘額]],"")</f>
        <v/>
      </c>
      <c r="AG870" s="4">
        <f>IFERROR(SUMIFS(L:L,A:A,creditcard[[#This Row],[YYYYMM]],E:E,"&lt;=10")/creditcard[[#This Row],[循環信用餘額]],"")</f>
        <v/>
      </c>
      <c r="AH870" s="4">
        <f>IFERROR(SUMIFS(N:N,A:A,creditcard[[#This Row],[YYYYMM]],E:E,"&lt;=5")/creditcard[[#This Row],[當月簽帳金額]],"")</f>
        <v/>
      </c>
      <c r="AI870" s="4">
        <f>IFERROR(SUMIFS(N:N,A:A,creditcard[[#This Row],[YYYYMM]],E:E,"&lt;=10")/creditcard[[#This Row],[當月簽帳金額]],"")</f>
        <v/>
      </c>
    </row>
    <row r="871">
      <c r="A871" s="14" t="n">
        <v>202510</v>
      </c>
      <c r="B871" s="15">
        <f>LEFT(creditcard[[#This Row],[YYYYMM]],4)</f>
        <v/>
      </c>
      <c r="C871" s="15">
        <f>RIGHT(creditcard[[#This Row],[YYYYMM]],2)</f>
        <v/>
      </c>
      <c r="D871" s="15">
        <f>IF(RIGHT(creditcard[[#This Row],[YYYYMM]],2)="--","--","Q"&amp;ROUNDUP(VALUE(RIGHT(creditcard[[#This Row],[YYYYMM]],2))/3,0))</f>
        <v/>
      </c>
      <c r="E871" s="15" t="n">
        <v>1</v>
      </c>
      <c r="F871" s="155" t="inlineStr">
        <is>
          <t>中信</t>
        </is>
      </c>
      <c r="G871" s="156" t="inlineStr">
        <is>
          <t>01 中信</t>
        </is>
      </c>
      <c r="H871" s="157" t="n">
        <v>9362580</v>
      </c>
      <c r="I871" s="157" t="n">
        <v>6521624</v>
      </c>
      <c r="J871" s="157" t="n">
        <v>168834</v>
      </c>
      <c r="K871" s="157" t="n">
        <v>111762</v>
      </c>
      <c r="L871" s="157" t="n">
        <v>17767.469</v>
      </c>
      <c r="M871" s="16" t="n"/>
      <c r="N871" s="157" t="n">
        <v>80096.712</v>
      </c>
      <c r="O871" s="16" t="n"/>
      <c r="P871" s="16" t="n"/>
      <c r="Q871" s="17" t="n"/>
      <c r="R871" s="16" t="n"/>
      <c r="S871" s="16" t="n"/>
      <c r="T871" s="16" t="n"/>
      <c r="U871" s="16" t="n"/>
      <c r="V871" s="158" t="n"/>
      <c r="W871" s="16" t="n"/>
      <c r="X871" s="18" t="n"/>
      <c r="Y871" s="18" t="n"/>
      <c r="Z871" s="18" t="n"/>
      <c r="AA871" s="18" t="n"/>
      <c r="AB871" s="18" t="n"/>
      <c r="AC871" s="18" t="n"/>
      <c r="AD871" s="18" t="n"/>
      <c r="AE871" s="18" t="n"/>
      <c r="AF871" s="18" t="n"/>
      <c r="AG871" s="18" t="n"/>
      <c r="AH871" s="18" t="n"/>
      <c r="AI871" s="18" t="n"/>
    </row>
    <row r="872">
      <c r="A872" s="9" t="n">
        <v>202510</v>
      </c>
      <c r="B872" s="10">
        <f>LEFT(creditcard[[#This Row],[YYYYMM]],4)</f>
        <v/>
      </c>
      <c r="C872" s="10">
        <f>RIGHT(creditcard[[#This Row],[YYYYMM]],2)</f>
        <v/>
      </c>
      <c r="D872" s="10">
        <f>IF(RIGHT(creditcard[[#This Row],[YYYYMM]],2)="--","--","Q"&amp;ROUNDUP(VALUE(RIGHT(creditcard[[#This Row],[YYYYMM]],2))/3,0))</f>
        <v/>
      </c>
      <c r="E872" s="10" t="n">
        <v>2</v>
      </c>
      <c r="F872" s="151" t="inlineStr">
        <is>
          <t>富邦</t>
        </is>
      </c>
      <c r="G872" s="152" t="inlineStr">
        <is>
          <t>02 富邦</t>
        </is>
      </c>
      <c r="H872" s="153" t="n">
        <v>7491291</v>
      </c>
      <c r="I872" s="153" t="n">
        <v>5807168</v>
      </c>
      <c r="J872" s="153" t="n">
        <v>37104</v>
      </c>
      <c r="K872" s="153" t="n">
        <v>34469</v>
      </c>
      <c r="L872" s="153" t="n">
        <v>11229.397</v>
      </c>
      <c r="M872" s="11" t="n"/>
      <c r="N872" s="153" t="n">
        <v>56553.764</v>
      </c>
      <c r="O872" s="11" t="n"/>
      <c r="P872" s="11" t="n"/>
      <c r="Q872" s="12" t="n"/>
      <c r="R872" s="11" t="n"/>
      <c r="S872" s="11" t="n"/>
      <c r="T872" s="11" t="n"/>
      <c r="U872" s="11" t="n"/>
      <c r="V872" s="154" t="n"/>
      <c r="W872" s="11" t="n"/>
      <c r="X872" s="13" t="n"/>
      <c r="Y872" s="13" t="n"/>
      <c r="Z872" s="13" t="n"/>
      <c r="AA872" s="13" t="n"/>
      <c r="AB872" s="13" t="n"/>
      <c r="AC872" s="13" t="n"/>
      <c r="AD872" s="13" t="n"/>
      <c r="AE872" s="13" t="n"/>
      <c r="AF872" s="13" t="n"/>
      <c r="AG872" s="13" t="n"/>
      <c r="AH872" s="13" t="n"/>
      <c r="AI872" s="13" t="n"/>
    </row>
    <row r="873">
      <c r="A873" s="14" t="n">
        <v>202510</v>
      </c>
      <c r="B873" s="15">
        <f>LEFT(creditcard[[#This Row],[YYYYMM]],4)</f>
        <v/>
      </c>
      <c r="C873" s="15">
        <f>RIGHT(creditcard[[#This Row],[YYYYMM]],2)</f>
        <v/>
      </c>
      <c r="D873" s="15">
        <f>IF(RIGHT(creditcard[[#This Row],[YYYYMM]],2)="--","--","Q"&amp;ROUNDUP(VALUE(RIGHT(creditcard[[#This Row],[YYYYMM]],2))/3,0))</f>
        <v/>
      </c>
      <c r="E873" s="15" t="n">
        <v>3</v>
      </c>
      <c r="F873" s="155" t="inlineStr">
        <is>
          <t>國泰</t>
        </is>
      </c>
      <c r="G873" s="156" t="inlineStr">
        <is>
          <t>03 國泰</t>
        </is>
      </c>
      <c r="H873" s="157" t="n">
        <v>7347244</v>
      </c>
      <c r="I873" s="157" t="n">
        <v>5186971</v>
      </c>
      <c r="J873" s="157" t="n">
        <v>42223</v>
      </c>
      <c r="K873" s="157" t="n">
        <v>28449</v>
      </c>
      <c r="L873" s="157" t="n">
        <v>22203.076</v>
      </c>
      <c r="M873" s="16" t="n"/>
      <c r="N873" s="157" t="n">
        <v>79077.303</v>
      </c>
      <c r="O873" s="16" t="n"/>
      <c r="P873" s="16" t="n"/>
      <c r="Q873" s="17" t="n"/>
      <c r="R873" s="16" t="n"/>
      <c r="S873" s="16" t="n"/>
      <c r="T873" s="16" t="n"/>
      <c r="U873" s="16" t="n"/>
      <c r="V873" s="158" t="n"/>
      <c r="W873" s="16" t="n"/>
      <c r="X873" s="18" t="n"/>
      <c r="Y873" s="18" t="n"/>
      <c r="Z873" s="18" t="n"/>
      <c r="AA873" s="18" t="n"/>
      <c r="AB873" s="18" t="n"/>
      <c r="AC873" s="18" t="n"/>
      <c r="AD873" s="18" t="n"/>
      <c r="AE873" s="18" t="n"/>
      <c r="AF873" s="18" t="n"/>
      <c r="AG873" s="18" t="n"/>
      <c r="AH873" s="18" t="n"/>
      <c r="AI873" s="18" t="n"/>
    </row>
    <row r="874">
      <c r="A874" s="9" t="n">
        <v>202510</v>
      </c>
      <c r="B874" s="10">
        <f>LEFT(creditcard[[#This Row],[YYYYMM]],4)</f>
        <v/>
      </c>
      <c r="C874" s="10">
        <f>RIGHT(creditcard[[#This Row],[YYYYMM]],2)</f>
        <v/>
      </c>
      <c r="D874" s="10">
        <f>IF(RIGHT(creditcard[[#This Row],[YYYYMM]],2)="--","--","Q"&amp;ROUNDUP(VALUE(RIGHT(creditcard[[#This Row],[YYYYMM]],2))/3,0))</f>
        <v/>
      </c>
      <c r="E874" s="10" t="n">
        <v>4</v>
      </c>
      <c r="F874" s="151" t="inlineStr">
        <is>
          <t>玉山</t>
        </is>
      </c>
      <c r="G874" s="152" t="inlineStr">
        <is>
          <t>04 玉山</t>
        </is>
      </c>
      <c r="H874" s="153" t="n">
        <v>8732871</v>
      </c>
      <c r="I874" s="153" t="n">
        <v>5420952</v>
      </c>
      <c r="J874" s="153" t="n">
        <v>62591</v>
      </c>
      <c r="K874" s="153" t="n">
        <v>82097</v>
      </c>
      <c r="L874" s="153" t="n">
        <v>17838.41</v>
      </c>
      <c r="M874" s="11" t="n"/>
      <c r="N874" s="153" t="n">
        <v>63826.907</v>
      </c>
      <c r="O874" s="11" t="n"/>
      <c r="P874" s="11" t="n"/>
      <c r="Q874" s="12" t="n"/>
      <c r="R874" s="11" t="n"/>
      <c r="S874" s="11" t="n"/>
      <c r="T874" s="11" t="n"/>
      <c r="U874" s="11" t="n"/>
      <c r="V874" s="154" t="n"/>
      <c r="W874" s="11" t="n"/>
      <c r="X874" s="13" t="n"/>
      <c r="Y874" s="13" t="n"/>
      <c r="Z874" s="13" t="n"/>
      <c r="AA874" s="13" t="n"/>
      <c r="AB874" s="13" t="n"/>
      <c r="AC874" s="13" t="n"/>
      <c r="AD874" s="13" t="n"/>
      <c r="AE874" s="13" t="n"/>
      <c r="AF874" s="13" t="n"/>
      <c r="AG874" s="13" t="n"/>
      <c r="AH874" s="13" t="n"/>
      <c r="AI874" s="13" t="n"/>
    </row>
    <row r="875">
      <c r="A875" s="14" t="n">
        <v>202510</v>
      </c>
      <c r="B875" s="15">
        <f>LEFT(creditcard[[#This Row],[YYYYMM]],4)</f>
        <v/>
      </c>
      <c r="C875" s="15">
        <f>RIGHT(creditcard[[#This Row],[YYYYMM]],2)</f>
        <v/>
      </c>
      <c r="D875" s="15">
        <f>IF(RIGHT(creditcard[[#This Row],[YYYYMM]],2)="--","--","Q"&amp;ROUNDUP(VALUE(RIGHT(creditcard[[#This Row],[YYYYMM]],2))/3,0))</f>
        <v/>
      </c>
      <c r="E875" s="15" t="n">
        <v>5</v>
      </c>
      <c r="F875" s="155" t="inlineStr">
        <is>
          <t>台新</t>
        </is>
      </c>
      <c r="G875" s="156" t="inlineStr">
        <is>
          <t>05 台新</t>
        </is>
      </c>
      <c r="H875" s="157" t="n">
        <v>6631624</v>
      </c>
      <c r="I875" s="157" t="n">
        <v>4861994</v>
      </c>
      <c r="J875" s="157" t="n">
        <v>51185</v>
      </c>
      <c r="K875" s="157" t="n">
        <v>48663</v>
      </c>
      <c r="L875" s="157" t="n">
        <v>11208.334</v>
      </c>
      <c r="M875" s="16" t="n"/>
      <c r="N875" s="157" t="n">
        <v>48769.248</v>
      </c>
      <c r="O875" s="16" t="n"/>
      <c r="P875" s="16" t="n"/>
      <c r="Q875" s="17" t="n"/>
      <c r="R875" s="16" t="n"/>
      <c r="S875" s="16" t="n"/>
      <c r="T875" s="16" t="n"/>
      <c r="U875" s="16" t="n"/>
      <c r="V875" s="158" t="n"/>
      <c r="W875" s="16" t="n"/>
      <c r="X875" s="18" t="n"/>
      <c r="Y875" s="18" t="n"/>
      <c r="Z875" s="18" t="n"/>
      <c r="AA875" s="18" t="n"/>
      <c r="AB875" s="18" t="n"/>
      <c r="AC875" s="18" t="n"/>
      <c r="AD875" s="18" t="n"/>
      <c r="AE875" s="18" t="n"/>
      <c r="AF875" s="18" t="n"/>
      <c r="AG875" s="18" t="n"/>
      <c r="AH875" s="18" t="n"/>
      <c r="AI875" s="18" t="n"/>
    </row>
    <row r="876">
      <c r="A876" s="9" t="n">
        <v>202510</v>
      </c>
      <c r="B876" s="10">
        <f>LEFT(creditcard[[#This Row],[YYYYMM]],4)</f>
        <v/>
      </c>
      <c r="C876" s="10">
        <f>RIGHT(creditcard[[#This Row],[YYYYMM]],2)</f>
        <v/>
      </c>
      <c r="D876" s="10">
        <f>IF(RIGHT(creditcard[[#This Row],[YYYYMM]],2)="--","--","Q"&amp;ROUNDUP(VALUE(RIGHT(creditcard[[#This Row],[YYYYMM]],2))/3,0))</f>
        <v/>
      </c>
      <c r="E876" s="10" t="n">
        <v>6</v>
      </c>
      <c r="F876" s="151" t="inlineStr">
        <is>
          <t>星展</t>
        </is>
      </c>
      <c r="G876" s="152" t="inlineStr">
        <is>
          <t>06 星展</t>
        </is>
      </c>
      <c r="H876" s="153" t="n">
        <v>3345537</v>
      </c>
      <c r="I876" s="153" t="n">
        <v>2066047</v>
      </c>
      <c r="J876" s="153" t="n">
        <v>38079</v>
      </c>
      <c r="K876" s="153" t="n">
        <v>17745</v>
      </c>
      <c r="L876" s="153" t="n">
        <v>8828.768</v>
      </c>
      <c r="M876" s="11" t="n"/>
      <c r="N876" s="153" t="n">
        <v>25239.05</v>
      </c>
      <c r="O876" s="11" t="n"/>
      <c r="P876" s="11" t="n"/>
      <c r="Q876" s="12" t="n"/>
      <c r="R876" s="11" t="n"/>
      <c r="S876" s="11" t="n"/>
      <c r="T876" s="11" t="n"/>
      <c r="U876" s="11" t="n"/>
      <c r="V876" s="154" t="n"/>
      <c r="W876" s="11" t="n"/>
      <c r="X876" s="13" t="n"/>
      <c r="Y876" s="13" t="n"/>
      <c r="Z876" s="13" t="n"/>
      <c r="AA876" s="13" t="n"/>
      <c r="AB876" s="13" t="n"/>
      <c r="AC876" s="13" t="n"/>
      <c r="AD876" s="13" t="n"/>
      <c r="AE876" s="13" t="n"/>
      <c r="AF876" s="13" t="n"/>
      <c r="AG876" s="13" t="n"/>
      <c r="AH876" s="13" t="n"/>
      <c r="AI876" s="13" t="n"/>
    </row>
    <row r="877">
      <c r="A877" s="14" t="n">
        <v>202510</v>
      </c>
      <c r="B877" s="15">
        <f>LEFT(creditcard[[#This Row],[YYYYMM]],4)</f>
        <v/>
      </c>
      <c r="C877" s="15">
        <f>RIGHT(creditcard[[#This Row],[YYYYMM]],2)</f>
        <v/>
      </c>
      <c r="D877" s="15">
        <f>IF(RIGHT(creditcard[[#This Row],[YYYYMM]],2)="--","--","Q"&amp;ROUNDUP(VALUE(RIGHT(creditcard[[#This Row],[YYYYMM]],2))/3,0))</f>
        <v/>
      </c>
      <c r="E877" s="15" t="n">
        <v>7</v>
      </c>
      <c r="F877" s="155" t="inlineStr">
        <is>
          <t>聯邦</t>
        </is>
      </c>
      <c r="G877" s="156" t="inlineStr">
        <is>
          <t>07 聯邦</t>
        </is>
      </c>
      <c r="H877" s="157" t="n">
        <v>2752053</v>
      </c>
      <c r="I877" s="157" t="n">
        <v>1849732</v>
      </c>
      <c r="J877" s="157" t="n">
        <v>19370</v>
      </c>
      <c r="K877" s="157" t="n">
        <v>23812</v>
      </c>
      <c r="L877" s="157" t="n">
        <v>6565.629</v>
      </c>
      <c r="M877" s="16" t="n"/>
      <c r="N877" s="157" t="n">
        <v>14412.897</v>
      </c>
      <c r="O877" s="16" t="n"/>
      <c r="P877" s="16" t="n"/>
      <c r="Q877" s="17" t="n"/>
      <c r="R877" s="16" t="n"/>
      <c r="S877" s="16" t="n"/>
      <c r="T877" s="16" t="n"/>
      <c r="U877" s="16" t="n"/>
      <c r="V877" s="158" t="n"/>
      <c r="W877" s="16" t="n"/>
      <c r="X877" s="18" t="n"/>
      <c r="Y877" s="18" t="n"/>
      <c r="Z877" s="18" t="n"/>
      <c r="AA877" s="18" t="n"/>
      <c r="AB877" s="18" t="n"/>
      <c r="AC877" s="18" t="n"/>
      <c r="AD877" s="18" t="n"/>
      <c r="AE877" s="18" t="n"/>
      <c r="AF877" s="18" t="n"/>
      <c r="AG877" s="18" t="n"/>
      <c r="AH877" s="18" t="n"/>
      <c r="AI877" s="18" t="n"/>
    </row>
    <row r="878">
      <c r="A878" s="9" t="n">
        <v>202510</v>
      </c>
      <c r="B878" s="10">
        <f>LEFT(creditcard[[#This Row],[YYYYMM]],4)</f>
        <v/>
      </c>
      <c r="C878" s="10">
        <f>RIGHT(creditcard[[#This Row],[YYYYMM]],2)</f>
        <v/>
      </c>
      <c r="D878" s="10">
        <f>IF(RIGHT(creditcard[[#This Row],[YYYYMM]],2)="--","--","Q"&amp;ROUNDUP(VALUE(RIGHT(creditcard[[#This Row],[YYYYMM]],2))/3,0))</f>
        <v/>
      </c>
      <c r="E878" s="10" t="n">
        <v>8</v>
      </c>
      <c r="F878" s="151" t="inlineStr">
        <is>
          <t>永豐</t>
        </is>
      </c>
      <c r="G878" s="152" t="inlineStr">
        <is>
          <t>08 永豐</t>
        </is>
      </c>
      <c r="H878" s="153" t="n">
        <v>2458266</v>
      </c>
      <c r="I878" s="153" t="n">
        <v>1538563</v>
      </c>
      <c r="J878" s="153" t="n">
        <v>18894</v>
      </c>
      <c r="K878" s="153" t="n">
        <v>6341</v>
      </c>
      <c r="L878" s="153" t="n">
        <v>3865.865</v>
      </c>
      <c r="M878" s="11" t="n"/>
      <c r="N878" s="153" t="n">
        <v>16090.748</v>
      </c>
      <c r="O878" s="11" t="n"/>
      <c r="P878" s="11" t="n"/>
      <c r="Q878" s="12" t="n"/>
      <c r="R878" s="11" t="n"/>
      <c r="S878" s="11" t="n"/>
      <c r="T878" s="11" t="n"/>
      <c r="U878" s="11" t="n"/>
      <c r="V878" s="154" t="n"/>
      <c r="W878" s="11" t="n"/>
      <c r="X878" s="13" t="n"/>
      <c r="Y878" s="13" t="n"/>
      <c r="Z878" s="13" t="n"/>
      <c r="AA878" s="13" t="n"/>
      <c r="AB878" s="13" t="n"/>
      <c r="AC878" s="13" t="n"/>
      <c r="AD878" s="13" t="n"/>
      <c r="AE878" s="13" t="n"/>
      <c r="AF878" s="13" t="n"/>
      <c r="AG878" s="13" t="n"/>
      <c r="AH878" s="13" t="n"/>
      <c r="AI878" s="13" t="n"/>
    </row>
    <row r="879">
      <c r="A879" s="14" t="n">
        <v>202510</v>
      </c>
      <c r="B879" s="15">
        <f>LEFT(creditcard[[#This Row],[YYYYMM]],4)</f>
        <v/>
      </c>
      <c r="C879" s="15">
        <f>RIGHT(creditcard[[#This Row],[YYYYMM]],2)</f>
        <v/>
      </c>
      <c r="D879" s="15">
        <f>IF(RIGHT(creditcard[[#This Row],[YYYYMM]],2)="--","--","Q"&amp;ROUNDUP(VALUE(RIGHT(creditcard[[#This Row],[YYYYMM]],2))/3,0))</f>
        <v/>
      </c>
      <c r="E879" s="15" t="n">
        <v>9</v>
      </c>
      <c r="F879" s="155" t="inlineStr">
        <is>
          <t>第一</t>
        </is>
      </c>
      <c r="G879" s="156" t="inlineStr">
        <is>
          <t>09 第一</t>
        </is>
      </c>
      <c r="H879" s="157" t="n">
        <v>1525439</v>
      </c>
      <c r="I879" s="157" t="n">
        <v>946353</v>
      </c>
      <c r="J879" s="157" t="n">
        <v>9415</v>
      </c>
      <c r="K879" s="157" t="n">
        <v>5517</v>
      </c>
      <c r="L879" s="157" t="n">
        <v>1299.237</v>
      </c>
      <c r="M879" s="16" t="n"/>
      <c r="N879" s="157" t="n">
        <v>7618.009</v>
      </c>
      <c r="O879" s="16" t="n"/>
      <c r="P879" s="16" t="n"/>
      <c r="Q879" s="17" t="n"/>
      <c r="R879" s="16" t="n"/>
      <c r="S879" s="16" t="n"/>
      <c r="T879" s="16" t="n"/>
      <c r="U879" s="16" t="n"/>
      <c r="V879" s="158" t="n"/>
      <c r="W879" s="16" t="n"/>
      <c r="X879" s="18" t="n"/>
      <c r="Y879" s="18" t="n"/>
      <c r="Z879" s="18" t="n"/>
      <c r="AA879" s="18" t="n"/>
      <c r="AB879" s="18" t="n"/>
      <c r="AC879" s="18" t="n"/>
      <c r="AD879" s="18" t="n"/>
      <c r="AE879" s="18" t="n"/>
      <c r="AF879" s="18" t="n"/>
      <c r="AG879" s="18" t="n"/>
      <c r="AH879" s="18" t="n"/>
      <c r="AI879" s="18" t="n"/>
    </row>
    <row r="880">
      <c r="A880" s="9" t="n">
        <v>202510</v>
      </c>
      <c r="B880" s="10">
        <f>LEFT(creditcard[[#This Row],[YYYYMM]],4)</f>
        <v/>
      </c>
      <c r="C880" s="10">
        <f>RIGHT(creditcard[[#This Row],[YYYYMM]],2)</f>
        <v/>
      </c>
      <c r="D880" s="10">
        <f>IF(RIGHT(creditcard[[#This Row],[YYYYMM]],2)="--","--","Q"&amp;ROUNDUP(VALUE(RIGHT(creditcard[[#This Row],[YYYYMM]],2))/3,0))</f>
        <v/>
      </c>
      <c r="E880" s="10" t="n">
        <v>10</v>
      </c>
      <c r="F880" s="151" t="inlineStr">
        <is>
          <t>遠東</t>
        </is>
      </c>
      <c r="G880" s="152" t="inlineStr">
        <is>
          <t>10 遠東</t>
        </is>
      </c>
      <c r="H880" s="153" t="n">
        <v>1293778</v>
      </c>
      <c r="I880" s="153" t="n">
        <v>915673</v>
      </c>
      <c r="J880" s="153" t="n">
        <v>7184</v>
      </c>
      <c r="K880" s="153" t="n">
        <v>8078</v>
      </c>
      <c r="L880" s="153" t="n">
        <v>3177.73</v>
      </c>
      <c r="M880" s="11" t="n"/>
      <c r="N880" s="153" t="n">
        <v>4597.573</v>
      </c>
      <c r="O880" s="11" t="n"/>
      <c r="P880" s="11" t="n"/>
      <c r="Q880" s="12" t="n"/>
      <c r="R880" s="11" t="n"/>
      <c r="S880" s="11" t="n"/>
      <c r="T880" s="11" t="n"/>
      <c r="U880" s="11" t="n"/>
      <c r="V880" s="154" t="n"/>
      <c r="W880" s="11" t="n"/>
      <c r="X880" s="13" t="n"/>
      <c r="Y880" s="13" t="n"/>
      <c r="Z880" s="13" t="n"/>
      <c r="AA880" s="13" t="n"/>
      <c r="AB880" s="13" t="n"/>
      <c r="AC880" s="13" t="n"/>
      <c r="AD880" s="13" t="n"/>
      <c r="AE880" s="13" t="n"/>
      <c r="AF880" s="13" t="n"/>
      <c r="AG880" s="13" t="n"/>
      <c r="AH880" s="13" t="n"/>
      <c r="AI880" s="13" t="n"/>
    </row>
    <row r="881">
      <c r="A881" s="14" t="n">
        <v>202510</v>
      </c>
      <c r="B881" s="15">
        <f>LEFT(creditcard[[#This Row],[YYYYMM]],4)</f>
        <v/>
      </c>
      <c r="C881" s="15">
        <f>RIGHT(creditcard[[#This Row],[YYYYMM]],2)</f>
        <v/>
      </c>
      <c r="D881" s="15">
        <f>IF(RIGHT(creditcard[[#This Row],[YYYYMM]],2)="--","--","Q"&amp;ROUNDUP(VALUE(RIGHT(creditcard[[#This Row],[YYYYMM]],2))/3,0))</f>
        <v/>
      </c>
      <c r="E881" s="15" t="n">
        <v>11</v>
      </c>
      <c r="F881" s="155" t="inlineStr">
        <is>
          <t>市場總計</t>
        </is>
      </c>
      <c r="G881" s="156" t="inlineStr">
        <is>
          <t>11 市場總計</t>
        </is>
      </c>
      <c r="H881" s="157" t="n">
        <v>60479206</v>
      </c>
      <c r="I881" s="157" t="n">
        <v>40376943</v>
      </c>
      <c r="J881" s="157" t="n">
        <v>547476</v>
      </c>
      <c r="K881" s="157" t="n">
        <v>438541</v>
      </c>
      <c r="L881" s="157" t="n">
        <v>117913.037</v>
      </c>
      <c r="M881" s="160" t="n">
        <v>211561.948</v>
      </c>
      <c r="N881" s="157" t="n">
        <v>453412.126</v>
      </c>
      <c r="O881" s="160" t="n">
        <v>1674.385</v>
      </c>
      <c r="P881" s="17" t="n">
        <v>0.002475348190120061</v>
      </c>
      <c r="Q881" s="17" t="n">
        <v>0.0003799014006788303</v>
      </c>
      <c r="R881" s="19" t="n">
        <v>4.648994218569282</v>
      </c>
      <c r="S881" s="160" t="n">
        <v>623.8150000000001</v>
      </c>
      <c r="T881" s="160" t="n">
        <v>6159.478</v>
      </c>
      <c r="U881" s="16" t="n"/>
      <c r="V881" s="158" t="n">
        <v>4.66</v>
      </c>
      <c r="W881" s="16">
        <f>SUMIFS(H:H,A:A,creditcard[[#This Row],[YYYYMM]],G:G,creditcard[[#This Row],[Item]])</f>
        <v/>
      </c>
      <c r="X881" s="4">
        <f>IFERROR(SUMIFS(H:H,A:A,creditcard[[#This Row],[YYYYMM]],E:E,"&lt;=5")/creditcard[[#This Row],[市場總計]],"")</f>
        <v/>
      </c>
      <c r="Y881" s="4">
        <f>IFERROR(SUMIFS(H:H,A:A,creditcard[[#This Row],[YYYYMM]],E:E,"&lt;=10")/creditcard[[#This Row],[市場總計]],"")</f>
        <v/>
      </c>
      <c r="Z881" s="4">
        <f>IFERROR(SUMIFS(I:I,A:A,creditcard[[#This Row],[YYYYMM]],E:E,"&lt;=5")/creditcard[[#This Row],[有效卡數]],"")</f>
        <v/>
      </c>
      <c r="AA881" s="4">
        <f>IFERROR(SUMIFS(I:I,A:A,creditcard[[#This Row],[YYYYMM]],E:E,"&lt;=10")/creditcard[[#This Row],[有效卡數]],"")</f>
        <v/>
      </c>
      <c r="AB881" s="4">
        <f>IFERROR(SUMIFS(J:J,A:A,creditcard[[#This Row],[YYYYMM]],E:E,"&lt;=5")/creditcard[[#This Row],[當月發卡數]],"")</f>
        <v/>
      </c>
      <c r="AC881" s="4">
        <f>IFERROR(SUMIFS(J:J,A:A,creditcard[[#This Row],[YYYYMM]],E:E,"&lt;=10")/creditcard[[#This Row],[當月發卡數]],"")</f>
        <v/>
      </c>
      <c r="AD881" s="4">
        <f>IFERROR(SUMIFS(K:K,A:A,creditcard[[#This Row],[YYYYMM]],E:E,"&lt;=5")/creditcard[[#This Row],[當月停卡數]],"")</f>
        <v/>
      </c>
      <c r="AE881" s="4">
        <f>IFERROR(SUMIFS(K:K,A:A,creditcard[[#This Row],[YYYYMM]],E:E,"&lt;=10")/creditcard[[#This Row],[當月停卡數]],"")</f>
        <v/>
      </c>
      <c r="AF881" s="4">
        <f>IFERROR(SUMIFS(L:L,A:A,creditcard[[#This Row],[YYYYMM]],E:E,"&lt;=5")/creditcard[[#This Row],[循環信用餘額]],"")</f>
        <v/>
      </c>
      <c r="AG881" s="4">
        <f>IFERROR(SUMIFS(L:L,A:A,creditcard[[#This Row],[YYYYMM]],E:E,"&lt;=10")/creditcard[[#This Row],[循環信用餘額]],"")</f>
        <v/>
      </c>
      <c r="AH881" s="4">
        <f>IFERROR(SUMIFS(N:N,A:A,creditcard[[#This Row],[YYYYMM]],E:E,"&lt;=5")/creditcard[[#This Row],[當月簽帳金額]],"")</f>
        <v/>
      </c>
      <c r="AI881" s="4">
        <f>IFERROR(SUMIFS(N:N,A:A,creditcard[[#This Row],[YYYYMM]],E:E,"&lt;=10")/creditcard[[#This Row],[當月簽帳金額]],"")</f>
        <v/>
      </c>
    </row>
    <row r="882">
      <c r="A882" s="9" t="n">
        <v>202511</v>
      </c>
      <c r="B882" s="10">
        <f>LEFT(creditcard[[#This Row],[YYYYMM]],4)</f>
        <v/>
      </c>
      <c r="C882" s="10">
        <f>RIGHT(creditcard[[#This Row],[YYYYMM]],2)</f>
        <v/>
      </c>
      <c r="D882" s="10">
        <f>IF(RIGHT(creditcard[[#This Row],[YYYYMM]],2)="--","--","Q"&amp;ROUNDUP(VALUE(RIGHT(creditcard[[#This Row],[YYYYMM]],2))/3,0))</f>
        <v/>
      </c>
      <c r="E882" s="10" t="n">
        <v>1</v>
      </c>
      <c r="F882" s="151" t="inlineStr">
        <is>
          <t>中信</t>
        </is>
      </c>
      <c r="G882" s="152" t="inlineStr">
        <is>
          <t>01 中信</t>
        </is>
      </c>
      <c r="H882" s="153" t="n">
        <v>9403362</v>
      </c>
      <c r="I882" s="153" t="n">
        <v>6601383</v>
      </c>
      <c r="J882" s="153" t="n">
        <v>132555</v>
      </c>
      <c r="K882" s="153" t="n">
        <v>91773</v>
      </c>
      <c r="L882" s="153" t="n">
        <v>17601.608</v>
      </c>
      <c r="M882" s="11" t="n"/>
      <c r="N882" s="153" t="n">
        <v>72454.17</v>
      </c>
      <c r="O882" s="11" t="n"/>
      <c r="P882" s="11" t="n"/>
      <c r="Q882" s="12" t="n"/>
      <c r="R882" s="11" t="n"/>
      <c r="S882" s="11" t="n"/>
      <c r="T882" s="11" t="n"/>
      <c r="U882" s="11" t="n"/>
      <c r="V882" s="154" t="n"/>
      <c r="W882" s="11" t="n"/>
      <c r="X882" s="13" t="n"/>
      <c r="Y882" s="13" t="n"/>
      <c r="Z882" s="13" t="n"/>
      <c r="AA882" s="13" t="n"/>
      <c r="AB882" s="13" t="n"/>
      <c r="AC882" s="13" t="n"/>
      <c r="AD882" s="13" t="n"/>
      <c r="AE882" s="13" t="n"/>
      <c r="AF882" s="13" t="n"/>
      <c r="AG882" s="13" t="n"/>
      <c r="AH882" s="13" t="n"/>
      <c r="AI882" s="13" t="n"/>
    </row>
    <row r="883">
      <c r="A883" s="14" t="n">
        <v>202511</v>
      </c>
      <c r="B883" s="15">
        <f>LEFT(creditcard[[#This Row],[YYYYMM]],4)</f>
        <v/>
      </c>
      <c r="C883" s="15">
        <f>RIGHT(creditcard[[#This Row],[YYYYMM]],2)</f>
        <v/>
      </c>
      <c r="D883" s="15">
        <f>IF(RIGHT(creditcard[[#This Row],[YYYYMM]],2)="--","--","Q"&amp;ROUNDUP(VALUE(RIGHT(creditcard[[#This Row],[YYYYMM]],2))/3,0))</f>
        <v/>
      </c>
      <c r="E883" s="15" t="n">
        <v>2</v>
      </c>
      <c r="F883" s="155" t="inlineStr">
        <is>
          <t>富邦</t>
        </is>
      </c>
      <c r="G883" s="156" t="inlineStr">
        <is>
          <t>02 富邦</t>
        </is>
      </c>
      <c r="H883" s="157" t="n">
        <v>7368864</v>
      </c>
      <c r="I883" s="157" t="n">
        <v>5827933</v>
      </c>
      <c r="J883" s="157" t="n">
        <v>36148</v>
      </c>
      <c r="K883" s="157" t="n">
        <v>158575</v>
      </c>
      <c r="L883" s="157" t="n">
        <v>11517.715</v>
      </c>
      <c r="M883" s="16" t="n"/>
      <c r="N883" s="157" t="n">
        <v>51145.814</v>
      </c>
      <c r="O883" s="16" t="n"/>
      <c r="P883" s="16" t="n"/>
      <c r="Q883" s="17" t="n"/>
      <c r="R883" s="16" t="n"/>
      <c r="S883" s="16" t="n"/>
      <c r="T883" s="16" t="n"/>
      <c r="U883" s="16" t="n"/>
      <c r="V883" s="158" t="n"/>
      <c r="W883" s="16" t="n"/>
      <c r="X883" s="18" t="n"/>
      <c r="Y883" s="18" t="n"/>
      <c r="Z883" s="18" t="n"/>
      <c r="AA883" s="18" t="n"/>
      <c r="AB883" s="18" t="n"/>
      <c r="AC883" s="18" t="n"/>
      <c r="AD883" s="18" t="n"/>
      <c r="AE883" s="18" t="n"/>
      <c r="AF883" s="18" t="n"/>
      <c r="AG883" s="18" t="n"/>
      <c r="AH883" s="18" t="n"/>
      <c r="AI883" s="18" t="n"/>
    </row>
    <row r="884">
      <c r="A884" s="9" t="n">
        <v>202511</v>
      </c>
      <c r="B884" s="10">
        <f>LEFT(creditcard[[#This Row],[YYYYMM]],4)</f>
        <v/>
      </c>
      <c r="C884" s="10">
        <f>RIGHT(creditcard[[#This Row],[YYYYMM]],2)</f>
        <v/>
      </c>
      <c r="D884" s="10">
        <f>IF(RIGHT(creditcard[[#This Row],[YYYYMM]],2)="--","--","Q"&amp;ROUNDUP(VALUE(RIGHT(creditcard[[#This Row],[YYYYMM]],2))/3,0))</f>
        <v/>
      </c>
      <c r="E884" s="10" t="n">
        <v>3</v>
      </c>
      <c r="F884" s="151" t="inlineStr">
        <is>
          <t>國泰</t>
        </is>
      </c>
      <c r="G884" s="152" t="inlineStr">
        <is>
          <t>03 國泰</t>
        </is>
      </c>
      <c r="H884" s="153" t="n">
        <v>7378552</v>
      </c>
      <c r="I884" s="153" t="n">
        <v>5207744</v>
      </c>
      <c r="J884" s="153" t="n">
        <v>59075</v>
      </c>
      <c r="K884" s="153" t="n">
        <v>27766</v>
      </c>
      <c r="L884" s="153" t="n">
        <v>22402.903</v>
      </c>
      <c r="M884" s="11" t="n"/>
      <c r="N884" s="153" t="n">
        <v>69309.87300000001</v>
      </c>
      <c r="O884" s="11" t="n"/>
      <c r="P884" s="11" t="n"/>
      <c r="Q884" s="12" t="n"/>
      <c r="R884" s="11" t="n"/>
      <c r="S884" s="11" t="n"/>
      <c r="T884" s="11" t="n"/>
      <c r="U884" s="11" t="n"/>
      <c r="V884" s="154" t="n"/>
      <c r="W884" s="11" t="n"/>
      <c r="X884" s="13" t="n"/>
      <c r="Y884" s="13" t="n"/>
      <c r="Z884" s="13" t="n"/>
      <c r="AA884" s="13" t="n"/>
      <c r="AB884" s="13" t="n"/>
      <c r="AC884" s="13" t="n"/>
      <c r="AD884" s="13" t="n"/>
      <c r="AE884" s="13" t="n"/>
      <c r="AF884" s="13" t="n"/>
      <c r="AG884" s="13" t="n"/>
      <c r="AH884" s="13" t="n"/>
      <c r="AI884" s="13" t="n"/>
    </row>
    <row r="885">
      <c r="A885" s="14" t="n">
        <v>202511</v>
      </c>
      <c r="B885" s="15">
        <f>LEFT(creditcard[[#This Row],[YYYYMM]],4)</f>
        <v/>
      </c>
      <c r="C885" s="15">
        <f>RIGHT(creditcard[[#This Row],[YYYYMM]],2)</f>
        <v/>
      </c>
      <c r="D885" s="15">
        <f>IF(RIGHT(creditcard[[#This Row],[YYYYMM]],2)="--","--","Q"&amp;ROUNDUP(VALUE(RIGHT(creditcard[[#This Row],[YYYYMM]],2))/3,0))</f>
        <v/>
      </c>
      <c r="E885" s="15" t="n">
        <v>4</v>
      </c>
      <c r="F885" s="155" t="inlineStr">
        <is>
          <t>玉山</t>
        </is>
      </c>
      <c r="G885" s="156" t="inlineStr">
        <is>
          <t>04 玉山</t>
        </is>
      </c>
      <c r="H885" s="157" t="n">
        <v>8706607</v>
      </c>
      <c r="I885" s="157" t="n">
        <v>5387478</v>
      </c>
      <c r="J885" s="157" t="n">
        <v>52421</v>
      </c>
      <c r="K885" s="157" t="n">
        <v>78685</v>
      </c>
      <c r="L885" s="157" t="n">
        <v>16967.594</v>
      </c>
      <c r="M885" s="16" t="n"/>
      <c r="N885" s="157" t="n">
        <v>48431.125</v>
      </c>
      <c r="O885" s="16" t="n"/>
      <c r="P885" s="16" t="n"/>
      <c r="Q885" s="17" t="n"/>
      <c r="R885" s="16" t="n"/>
      <c r="S885" s="16" t="n"/>
      <c r="T885" s="16" t="n"/>
      <c r="U885" s="16" t="n"/>
      <c r="V885" s="158" t="n"/>
      <c r="W885" s="16" t="n"/>
      <c r="X885" s="18" t="n"/>
      <c r="Y885" s="18" t="n"/>
      <c r="Z885" s="18" t="n"/>
      <c r="AA885" s="18" t="n"/>
      <c r="AB885" s="18" t="n"/>
      <c r="AC885" s="18" t="n"/>
      <c r="AD885" s="18" t="n"/>
      <c r="AE885" s="18" t="n"/>
      <c r="AF885" s="18" t="n"/>
      <c r="AG885" s="18" t="n"/>
      <c r="AH885" s="18" t="n"/>
      <c r="AI885" s="18" t="n"/>
    </row>
    <row r="886">
      <c r="A886" s="9" t="n">
        <v>202511</v>
      </c>
      <c r="B886" s="10">
        <f>LEFT(creditcard[[#This Row],[YYYYMM]],4)</f>
        <v/>
      </c>
      <c r="C886" s="10">
        <f>RIGHT(creditcard[[#This Row],[YYYYMM]],2)</f>
        <v/>
      </c>
      <c r="D886" s="10">
        <f>IF(RIGHT(creditcard[[#This Row],[YYYYMM]],2)="--","--","Q"&amp;ROUNDUP(VALUE(RIGHT(creditcard[[#This Row],[YYYYMM]],2))/3,0))</f>
        <v/>
      </c>
      <c r="E886" s="10" t="n">
        <v>5</v>
      </c>
      <c r="F886" s="151" t="inlineStr">
        <is>
          <t>台新</t>
        </is>
      </c>
      <c r="G886" s="152" t="inlineStr">
        <is>
          <t>05 台新</t>
        </is>
      </c>
      <c r="H886" s="153" t="n">
        <v>6633053</v>
      </c>
      <c r="I886" s="153" t="n">
        <v>4861181</v>
      </c>
      <c r="J886" s="153" t="n">
        <v>43518</v>
      </c>
      <c r="K886" s="153" t="n">
        <v>42089</v>
      </c>
      <c r="L886" s="153" t="n">
        <v>11256.633</v>
      </c>
      <c r="M886" s="11" t="n"/>
      <c r="N886" s="153" t="n">
        <v>43360.054</v>
      </c>
      <c r="O886" s="11" t="n"/>
      <c r="P886" s="11" t="n"/>
      <c r="Q886" s="12" t="n"/>
      <c r="R886" s="11" t="n"/>
      <c r="S886" s="11" t="n"/>
      <c r="T886" s="11" t="n"/>
      <c r="U886" s="11" t="n"/>
      <c r="V886" s="154" t="n"/>
      <c r="W886" s="11" t="n"/>
      <c r="X886" s="13" t="n"/>
      <c r="Y886" s="13" t="n"/>
      <c r="Z886" s="13" t="n"/>
      <c r="AA886" s="13" t="n"/>
      <c r="AB886" s="13" t="n"/>
      <c r="AC886" s="13" t="n"/>
      <c r="AD886" s="13" t="n"/>
      <c r="AE886" s="13" t="n"/>
      <c r="AF886" s="13" t="n"/>
      <c r="AG886" s="13" t="n"/>
      <c r="AH886" s="13" t="n"/>
      <c r="AI886" s="13" t="n"/>
    </row>
    <row r="887">
      <c r="A887" s="14" t="n">
        <v>202511</v>
      </c>
      <c r="B887" s="15">
        <f>LEFT(creditcard[[#This Row],[YYYYMM]],4)</f>
        <v/>
      </c>
      <c r="C887" s="15">
        <f>RIGHT(creditcard[[#This Row],[YYYYMM]],2)</f>
        <v/>
      </c>
      <c r="D887" s="15">
        <f>IF(RIGHT(creditcard[[#This Row],[YYYYMM]],2)="--","--","Q"&amp;ROUNDUP(VALUE(RIGHT(creditcard[[#This Row],[YYYYMM]],2))/3,0))</f>
        <v/>
      </c>
      <c r="E887" s="15" t="n">
        <v>6</v>
      </c>
      <c r="F887" s="155" t="inlineStr">
        <is>
          <t>星展</t>
        </is>
      </c>
      <c r="G887" s="156" t="inlineStr">
        <is>
          <t>06 星展</t>
        </is>
      </c>
      <c r="H887" s="157" t="n">
        <v>3356156</v>
      </c>
      <c r="I887" s="157" t="n">
        <v>2069869</v>
      </c>
      <c r="J887" s="157" t="n">
        <v>17786</v>
      </c>
      <c r="K887" s="157" t="n">
        <v>15750</v>
      </c>
      <c r="L887" s="157" t="n">
        <v>8899.477000000001</v>
      </c>
      <c r="M887" s="16" t="n"/>
      <c r="N887" s="157" t="n">
        <v>21161.538</v>
      </c>
      <c r="O887" s="16" t="n"/>
      <c r="P887" s="16" t="n"/>
      <c r="Q887" s="17" t="n"/>
      <c r="R887" s="16" t="n"/>
      <c r="S887" s="16" t="n"/>
      <c r="T887" s="16" t="n"/>
      <c r="U887" s="16" t="n"/>
      <c r="V887" s="158" t="n"/>
      <c r="W887" s="16" t="n"/>
      <c r="X887" s="18" t="n"/>
      <c r="Y887" s="18" t="n"/>
      <c r="Z887" s="18" t="n"/>
      <c r="AA887" s="18" t="n"/>
      <c r="AB887" s="18" t="n"/>
      <c r="AC887" s="18" t="n"/>
      <c r="AD887" s="18" t="n"/>
      <c r="AE887" s="18" t="n"/>
      <c r="AF887" s="18" t="n"/>
      <c r="AG887" s="18" t="n"/>
      <c r="AH887" s="18" t="n"/>
      <c r="AI887" s="18" t="n"/>
    </row>
    <row r="888">
      <c r="A888" s="9" t="n">
        <v>202511</v>
      </c>
      <c r="B888" s="10">
        <f>LEFT(creditcard[[#This Row],[YYYYMM]],4)</f>
        <v/>
      </c>
      <c r="C888" s="10">
        <f>RIGHT(creditcard[[#This Row],[YYYYMM]],2)</f>
        <v/>
      </c>
      <c r="D888" s="10">
        <f>IF(RIGHT(creditcard[[#This Row],[YYYYMM]],2)="--","--","Q"&amp;ROUNDUP(VALUE(RIGHT(creditcard[[#This Row],[YYYYMM]],2))/3,0))</f>
        <v/>
      </c>
      <c r="E888" s="10" t="n">
        <v>7</v>
      </c>
      <c r="F888" s="151" t="inlineStr">
        <is>
          <t>聯邦</t>
        </is>
      </c>
      <c r="G888" s="152" t="inlineStr">
        <is>
          <t>07 聯邦</t>
        </is>
      </c>
      <c r="H888" s="153" t="n">
        <v>2724426</v>
      </c>
      <c r="I888" s="153" t="n">
        <v>1851382</v>
      </c>
      <c r="J888" s="153" t="n">
        <v>17400</v>
      </c>
      <c r="K888" s="153" t="n">
        <v>45027</v>
      </c>
      <c r="L888" s="153" t="n">
        <v>6536.915</v>
      </c>
      <c r="M888" s="11" t="n"/>
      <c r="N888" s="153" t="n">
        <v>13967.54</v>
      </c>
      <c r="O888" s="11" t="n"/>
      <c r="P888" s="11" t="n"/>
      <c r="Q888" s="12" t="n"/>
      <c r="R888" s="11" t="n"/>
      <c r="S888" s="11" t="n"/>
      <c r="T888" s="11" t="n"/>
      <c r="U888" s="11" t="n"/>
      <c r="V888" s="154" t="n"/>
      <c r="W888" s="11" t="n"/>
      <c r="X888" s="13" t="n"/>
      <c r="Y888" s="13" t="n"/>
      <c r="Z888" s="13" t="n"/>
      <c r="AA888" s="13" t="n"/>
      <c r="AB888" s="13" t="n"/>
      <c r="AC888" s="13" t="n"/>
      <c r="AD888" s="13" t="n"/>
      <c r="AE888" s="13" t="n"/>
      <c r="AF888" s="13" t="n"/>
      <c r="AG888" s="13" t="n"/>
      <c r="AH888" s="13" t="n"/>
      <c r="AI888" s="13" t="n"/>
    </row>
    <row r="889">
      <c r="A889" s="14" t="n">
        <v>202511</v>
      </c>
      <c r="B889" s="15">
        <f>LEFT(creditcard[[#This Row],[YYYYMM]],4)</f>
        <v/>
      </c>
      <c r="C889" s="15">
        <f>RIGHT(creditcard[[#This Row],[YYYYMM]],2)</f>
        <v/>
      </c>
      <c r="D889" s="15">
        <f>IF(RIGHT(creditcard[[#This Row],[YYYYMM]],2)="--","--","Q"&amp;ROUNDUP(VALUE(RIGHT(creditcard[[#This Row],[YYYYMM]],2))/3,0))</f>
        <v/>
      </c>
      <c r="E889" s="15" t="n">
        <v>8</v>
      </c>
      <c r="F889" s="155" t="inlineStr">
        <is>
          <t>永豐</t>
        </is>
      </c>
      <c r="G889" s="156" t="inlineStr">
        <is>
          <t>08 永豐</t>
        </is>
      </c>
      <c r="H889" s="157" t="n">
        <v>2468090</v>
      </c>
      <c r="I889" s="157" t="n">
        <v>1541989</v>
      </c>
      <c r="J889" s="157" t="n">
        <v>16239</v>
      </c>
      <c r="K889" s="157" t="n">
        <v>5940</v>
      </c>
      <c r="L889" s="157" t="n">
        <v>3856.324</v>
      </c>
      <c r="M889" s="16" t="n"/>
      <c r="N889" s="157" t="n">
        <v>13790.779</v>
      </c>
      <c r="O889" s="16" t="n"/>
      <c r="P889" s="16" t="n"/>
      <c r="Q889" s="17" t="n"/>
      <c r="R889" s="16" t="n"/>
      <c r="S889" s="16" t="n"/>
      <c r="T889" s="16" t="n"/>
      <c r="U889" s="16" t="n"/>
      <c r="V889" s="158" t="n"/>
      <c r="W889" s="16" t="n"/>
      <c r="X889" s="18" t="n"/>
      <c r="Y889" s="18" t="n"/>
      <c r="Z889" s="18" t="n"/>
      <c r="AA889" s="18" t="n"/>
      <c r="AB889" s="18" t="n"/>
      <c r="AC889" s="18" t="n"/>
      <c r="AD889" s="18" t="n"/>
      <c r="AE889" s="18" t="n"/>
      <c r="AF889" s="18" t="n"/>
      <c r="AG889" s="18" t="n"/>
      <c r="AH889" s="18" t="n"/>
      <c r="AI889" s="18" t="n"/>
    </row>
    <row r="890">
      <c r="A890" s="9" t="n">
        <v>202511</v>
      </c>
      <c r="B890" s="10">
        <f>LEFT(creditcard[[#This Row],[YYYYMM]],4)</f>
        <v/>
      </c>
      <c r="C890" s="10">
        <f>RIGHT(creditcard[[#This Row],[YYYYMM]],2)</f>
        <v/>
      </c>
      <c r="D890" s="10">
        <f>IF(RIGHT(creditcard[[#This Row],[YYYYMM]],2)="--","--","Q"&amp;ROUNDUP(VALUE(RIGHT(creditcard[[#This Row],[YYYYMM]],2))/3,0))</f>
        <v/>
      </c>
      <c r="E890" s="10" t="n">
        <v>9</v>
      </c>
      <c r="F890" s="151" t="inlineStr">
        <is>
          <t>第一</t>
        </is>
      </c>
      <c r="G890" s="152" t="inlineStr">
        <is>
          <t>09 第一</t>
        </is>
      </c>
      <c r="H890" s="153" t="n">
        <v>1528910</v>
      </c>
      <c r="I890" s="153" t="n">
        <v>948639</v>
      </c>
      <c r="J890" s="153" t="n">
        <v>8451</v>
      </c>
      <c r="K890" s="153" t="n">
        <v>5404</v>
      </c>
      <c r="L890" s="153" t="n">
        <v>1296.845</v>
      </c>
      <c r="M890" s="11" t="n"/>
      <c r="N890" s="153" t="n">
        <v>6556.21</v>
      </c>
      <c r="O890" s="11" t="n"/>
      <c r="P890" s="11" t="n"/>
      <c r="Q890" s="12" t="n"/>
      <c r="R890" s="11" t="n"/>
      <c r="S890" s="11" t="n"/>
      <c r="T890" s="11" t="n"/>
      <c r="U890" s="11" t="n"/>
      <c r="V890" s="154" t="n"/>
      <c r="W890" s="11" t="n"/>
      <c r="X890" s="13" t="n"/>
      <c r="Y890" s="13" t="n"/>
      <c r="Z890" s="13" t="n"/>
      <c r="AA890" s="13" t="n"/>
      <c r="AB890" s="13" t="n"/>
      <c r="AC890" s="13" t="n"/>
      <c r="AD890" s="13" t="n"/>
      <c r="AE890" s="13" t="n"/>
      <c r="AF890" s="13" t="n"/>
      <c r="AG890" s="13" t="n"/>
      <c r="AH890" s="13" t="n"/>
      <c r="AI890" s="13" t="n"/>
    </row>
    <row r="891">
      <c r="A891" s="14" t="n">
        <v>202511</v>
      </c>
      <c r="B891" s="15">
        <f>LEFT(creditcard[[#This Row],[YYYYMM]],4)</f>
        <v/>
      </c>
      <c r="C891" s="15">
        <f>RIGHT(creditcard[[#This Row],[YYYYMM]],2)</f>
        <v/>
      </c>
      <c r="D891" s="15">
        <f>IF(RIGHT(creditcard[[#This Row],[YYYYMM]],2)="--","--","Q"&amp;ROUNDUP(VALUE(RIGHT(creditcard[[#This Row],[YYYYMM]],2))/3,0))</f>
        <v/>
      </c>
      <c r="E891" s="15" t="n">
        <v>10</v>
      </c>
      <c r="F891" s="155" t="inlineStr">
        <is>
          <t>遠東</t>
        </is>
      </c>
      <c r="G891" s="156" t="inlineStr">
        <is>
          <t>10 遠東</t>
        </is>
      </c>
      <c r="H891" s="157" t="n">
        <v>1292552</v>
      </c>
      <c r="I891" s="157" t="n">
        <v>913893</v>
      </c>
      <c r="J891" s="157" t="n">
        <v>6552</v>
      </c>
      <c r="K891" s="157" t="n">
        <v>7808</v>
      </c>
      <c r="L891" s="157" t="n">
        <v>3520.455</v>
      </c>
      <c r="M891" s="16" t="n"/>
      <c r="N891" s="157" t="n">
        <v>4233.68</v>
      </c>
      <c r="O891" s="16" t="n"/>
      <c r="P891" s="16" t="n"/>
      <c r="Q891" s="17" t="n"/>
      <c r="R891" s="16" t="n"/>
      <c r="S891" s="16" t="n"/>
      <c r="T891" s="16" t="n"/>
      <c r="U891" s="16" t="n"/>
      <c r="V891" s="158" t="n"/>
      <c r="W891" s="16" t="n"/>
      <c r="X891" s="18" t="n"/>
      <c r="Y891" s="18" t="n"/>
      <c r="Z891" s="18" t="n"/>
      <c r="AA891" s="18" t="n"/>
      <c r="AB891" s="18" t="n"/>
      <c r="AC891" s="18" t="n"/>
      <c r="AD891" s="18" t="n"/>
      <c r="AE891" s="18" t="n"/>
      <c r="AF891" s="18" t="n"/>
      <c r="AG891" s="18" t="n"/>
      <c r="AH891" s="18" t="n"/>
      <c r="AI891" s="18" t="n"/>
    </row>
    <row r="892">
      <c r="A892" s="9" t="n">
        <v>202511</v>
      </c>
      <c r="B892" s="10">
        <f>LEFT(creditcard[[#This Row],[YYYYMM]],4)</f>
        <v/>
      </c>
      <c r="C892" s="10">
        <f>RIGHT(creditcard[[#This Row],[YYYYMM]],2)</f>
        <v/>
      </c>
      <c r="D892" s="10">
        <f>IF(RIGHT(creditcard[[#This Row],[YYYYMM]],2)="--","--","Q"&amp;ROUNDUP(VALUE(RIGHT(creditcard[[#This Row],[YYYYMM]],2))/3,0))</f>
        <v/>
      </c>
      <c r="E892" s="10" t="n">
        <v>11</v>
      </c>
      <c r="F892" s="151" t="inlineStr">
        <is>
          <t>市場總計</t>
        </is>
      </c>
      <c r="G892" s="152" t="inlineStr">
        <is>
          <t>11 市場總計</t>
        </is>
      </c>
      <c r="H892" s="153" t="n">
        <v>60424521</v>
      </c>
      <c r="I892" s="153" t="n">
        <v>40466935</v>
      </c>
      <c r="J892" s="153" t="n">
        <v>485113</v>
      </c>
      <c r="K892" s="153" t="n">
        <v>554549</v>
      </c>
      <c r="L892" s="153" t="n">
        <v>117776.62</v>
      </c>
      <c r="M892" s="161" t="n">
        <v>198838.519</v>
      </c>
      <c r="N892" s="153" t="n">
        <v>396704.763</v>
      </c>
      <c r="O892" s="161" t="n">
        <v>1336.748</v>
      </c>
      <c r="P892" s="12" t="n">
        <v>0.002457992207206621</v>
      </c>
      <c r="Q892" s="12" t="n">
        <v>0.000340632520054089</v>
      </c>
      <c r="R892" s="20" t="n">
        <v>4.876716335157885</v>
      </c>
      <c r="S892" s="161" t="n">
        <v>601.876</v>
      </c>
      <c r="T892" s="161" t="n">
        <v>6761.354</v>
      </c>
      <c r="U892" s="11" t="n"/>
      <c r="V892" s="154" t="n">
        <v>4.64</v>
      </c>
      <c r="W892" s="11">
        <f>SUMIFS(H:H,A:A,creditcard[[#This Row],[YYYYMM]],G:G,creditcard[[#This Row],[Item]])</f>
        <v/>
      </c>
      <c r="X892" s="4">
        <f>IFERROR(SUMIFS(H:H,A:A,creditcard[[#This Row],[YYYYMM]],E:E,"&lt;=5")/creditcard[[#This Row],[市場總計]],"")</f>
        <v/>
      </c>
      <c r="Y892" s="4">
        <f>IFERROR(SUMIFS(H:H,A:A,creditcard[[#This Row],[YYYYMM]],E:E,"&lt;=10")/creditcard[[#This Row],[市場總計]],"")</f>
        <v/>
      </c>
      <c r="Z892" s="4">
        <f>IFERROR(SUMIFS(I:I,A:A,creditcard[[#This Row],[YYYYMM]],E:E,"&lt;=5")/creditcard[[#This Row],[有效卡數]],"")</f>
        <v/>
      </c>
      <c r="AA892" s="4">
        <f>IFERROR(SUMIFS(I:I,A:A,creditcard[[#This Row],[YYYYMM]],E:E,"&lt;=10")/creditcard[[#This Row],[有效卡數]],"")</f>
        <v/>
      </c>
      <c r="AB892" s="4">
        <f>IFERROR(SUMIFS(J:J,A:A,creditcard[[#This Row],[YYYYMM]],E:E,"&lt;=5")/creditcard[[#This Row],[當月發卡數]],"")</f>
        <v/>
      </c>
      <c r="AC892" s="4">
        <f>IFERROR(SUMIFS(J:J,A:A,creditcard[[#This Row],[YYYYMM]],E:E,"&lt;=10")/creditcard[[#This Row],[當月發卡數]],"")</f>
        <v/>
      </c>
      <c r="AD892" s="4">
        <f>IFERROR(SUMIFS(K:K,A:A,creditcard[[#This Row],[YYYYMM]],E:E,"&lt;=5")/creditcard[[#This Row],[當月停卡數]],"")</f>
        <v/>
      </c>
      <c r="AE892" s="4">
        <f>IFERROR(SUMIFS(K:K,A:A,creditcard[[#This Row],[YYYYMM]],E:E,"&lt;=10")/creditcard[[#This Row],[當月停卡數]],"")</f>
        <v/>
      </c>
      <c r="AF892" s="4">
        <f>IFERROR(SUMIFS(L:L,A:A,creditcard[[#This Row],[YYYYMM]],E:E,"&lt;=5")/creditcard[[#This Row],[循環信用餘額]],"")</f>
        <v/>
      </c>
      <c r="AG892" s="4">
        <f>IFERROR(SUMIFS(L:L,A:A,creditcard[[#This Row],[YYYYMM]],E:E,"&lt;=10")/creditcard[[#This Row],[循環信用餘額]],"")</f>
        <v/>
      </c>
      <c r="AH892" s="4">
        <f>IFERROR(SUMIFS(N:N,A:A,creditcard[[#This Row],[YYYYMM]],E:E,"&lt;=5")/creditcard[[#This Row],[當月簽帳金額]],"")</f>
        <v/>
      </c>
      <c r="AI892" s="4">
        <f>IFERROR(SUMIFS(N:N,A:A,creditcard[[#This Row],[YYYYMM]],E:E,"&lt;=10")/creditcard[[#This Row],[當月簽帳金額]],"")</f>
        <v/>
      </c>
    </row>
    <row r="893">
      <c r="A893" s="14" t="n">
        <v>202512</v>
      </c>
      <c r="B893" s="15">
        <f>LEFT(creditcard[[#This Row],[YYYYMM]],4)</f>
        <v/>
      </c>
      <c r="C893" s="15">
        <f>RIGHT(creditcard[[#This Row],[YYYYMM]],2)</f>
        <v/>
      </c>
      <c r="D893" s="15">
        <f>IF(RIGHT(creditcard[[#This Row],[YYYYMM]],2)="--","--","Q"&amp;ROUNDUP(VALUE(RIGHT(creditcard[[#This Row],[YYYYMM]],2))/3,0))</f>
        <v/>
      </c>
      <c r="E893" s="15" t="n">
        <v>1</v>
      </c>
      <c r="F893" s="155" t="inlineStr">
        <is>
          <t>中信</t>
        </is>
      </c>
      <c r="G893" s="156" t="inlineStr">
        <is>
          <t>01 中信</t>
        </is>
      </c>
      <c r="H893" s="157" t="n">
        <v>9458117</v>
      </c>
      <c r="I893" s="157" t="n">
        <v>6685860</v>
      </c>
      <c r="J893" s="157" t="n">
        <v>148745</v>
      </c>
      <c r="K893" s="157" t="n">
        <v>93990</v>
      </c>
      <c r="L893" s="157" t="n">
        <v>17911.768</v>
      </c>
      <c r="M893" s="16" t="n"/>
      <c r="N893" s="157" t="n">
        <v>83917.586</v>
      </c>
      <c r="O893" s="16" t="n"/>
      <c r="P893" s="16" t="n"/>
      <c r="Q893" s="17" t="n"/>
      <c r="R893" s="16" t="n"/>
      <c r="S893" s="16" t="n"/>
      <c r="T893" s="16" t="n"/>
      <c r="U893" s="16" t="n"/>
      <c r="V893" s="158" t="n"/>
      <c r="W893" s="16" t="n"/>
      <c r="X893" s="18" t="n"/>
      <c r="Y893" s="18" t="n"/>
      <c r="Z893" s="18" t="n"/>
      <c r="AA893" s="18" t="n"/>
      <c r="AB893" s="18" t="n"/>
      <c r="AC893" s="18" t="n"/>
      <c r="AD893" s="18" t="n"/>
      <c r="AE893" s="18" t="n"/>
      <c r="AF893" s="18" t="n"/>
      <c r="AG893" s="18" t="n"/>
      <c r="AH893" s="18" t="n"/>
      <c r="AI893" s="18" t="n"/>
    </row>
    <row r="894">
      <c r="A894" s="9" t="n">
        <v>202512</v>
      </c>
      <c r="B894" s="10">
        <f>LEFT(creditcard[[#This Row],[YYYYMM]],4)</f>
        <v/>
      </c>
      <c r="C894" s="10">
        <f>RIGHT(creditcard[[#This Row],[YYYYMM]],2)</f>
        <v/>
      </c>
      <c r="D894" s="10">
        <f>IF(RIGHT(creditcard[[#This Row],[YYYYMM]],2)="--","--","Q"&amp;ROUNDUP(VALUE(RIGHT(creditcard[[#This Row],[YYYYMM]],2))/3,0))</f>
        <v/>
      </c>
      <c r="E894" s="10" t="n">
        <v>2</v>
      </c>
      <c r="F894" s="151" t="inlineStr">
        <is>
          <t>富邦</t>
        </is>
      </c>
      <c r="G894" s="152" t="inlineStr">
        <is>
          <t>02 富邦</t>
        </is>
      </c>
      <c r="H894" s="153" t="n">
        <v>7391132</v>
      </c>
      <c r="I894" s="153" t="n">
        <v>5849375</v>
      </c>
      <c r="J894" s="153" t="n">
        <v>36440</v>
      </c>
      <c r="K894" s="153" t="n">
        <v>14172</v>
      </c>
      <c r="L894" s="153" t="n">
        <v>11468.186</v>
      </c>
      <c r="M894" s="11" t="n"/>
      <c r="N894" s="153" t="n">
        <v>58873.591</v>
      </c>
      <c r="O894" s="11" t="n"/>
      <c r="P894" s="11" t="n"/>
      <c r="Q894" s="12" t="n"/>
      <c r="R894" s="11" t="n"/>
      <c r="S894" s="11" t="n"/>
      <c r="T894" s="11" t="n"/>
      <c r="U894" s="11" t="n"/>
      <c r="V894" s="154" t="n"/>
      <c r="W894" s="11" t="n"/>
      <c r="X894" s="13" t="n"/>
      <c r="Y894" s="13" t="n"/>
      <c r="Z894" s="13" t="n"/>
      <c r="AA894" s="13" t="n"/>
      <c r="AB894" s="13" t="n"/>
      <c r="AC894" s="13" t="n"/>
      <c r="AD894" s="13" t="n"/>
      <c r="AE894" s="13" t="n"/>
      <c r="AF894" s="13" t="n"/>
      <c r="AG894" s="13" t="n"/>
      <c r="AH894" s="13" t="n"/>
      <c r="AI894" s="13" t="n"/>
    </row>
    <row r="895">
      <c r="A895" s="14" t="n">
        <v>202512</v>
      </c>
      <c r="B895" s="15">
        <f>LEFT(creditcard[[#This Row],[YYYYMM]],4)</f>
        <v/>
      </c>
      <c r="C895" s="15">
        <f>RIGHT(creditcard[[#This Row],[YYYYMM]],2)</f>
        <v/>
      </c>
      <c r="D895" s="15">
        <f>IF(RIGHT(creditcard[[#This Row],[YYYYMM]],2)="--","--","Q"&amp;ROUNDUP(VALUE(RIGHT(creditcard[[#This Row],[YYYYMM]],2))/3,0))</f>
        <v/>
      </c>
      <c r="E895" s="15" t="n">
        <v>3</v>
      </c>
      <c r="F895" s="155" t="inlineStr">
        <is>
          <t>國泰</t>
        </is>
      </c>
      <c r="G895" s="156" t="inlineStr">
        <is>
          <t>03 國泰</t>
        </is>
      </c>
      <c r="H895" s="157" t="n">
        <v>7337214</v>
      </c>
      <c r="I895" s="157" t="n">
        <v>5209203</v>
      </c>
      <c r="J895" s="157" t="n">
        <v>46441</v>
      </c>
      <c r="K895" s="157" t="n">
        <v>87779</v>
      </c>
      <c r="L895" s="157" t="n">
        <v>22171.305</v>
      </c>
      <c r="M895" s="16" t="n"/>
      <c r="N895" s="157" t="n">
        <v>81878.315</v>
      </c>
      <c r="O895" s="16" t="n"/>
      <c r="P895" s="16" t="n"/>
      <c r="Q895" s="17" t="n"/>
      <c r="R895" s="16" t="n"/>
      <c r="S895" s="16" t="n"/>
      <c r="T895" s="16" t="n"/>
      <c r="U895" s="16" t="n"/>
      <c r="V895" s="158" t="n"/>
      <c r="W895" s="16" t="n"/>
      <c r="X895" s="18" t="n"/>
      <c r="Y895" s="18" t="n"/>
      <c r="Z895" s="18" t="n"/>
      <c r="AA895" s="18" t="n"/>
      <c r="AB895" s="18" t="n"/>
      <c r="AC895" s="18" t="n"/>
      <c r="AD895" s="18" t="n"/>
      <c r="AE895" s="18" t="n"/>
      <c r="AF895" s="18" t="n"/>
      <c r="AG895" s="18" t="n"/>
      <c r="AH895" s="18" t="n"/>
      <c r="AI895" s="18" t="n"/>
    </row>
    <row r="896">
      <c r="A896" s="9" t="n">
        <v>202512</v>
      </c>
      <c r="B896" s="10">
        <f>LEFT(creditcard[[#This Row],[YYYYMM]],4)</f>
        <v/>
      </c>
      <c r="C896" s="10">
        <f>RIGHT(creditcard[[#This Row],[YYYYMM]],2)</f>
        <v/>
      </c>
      <c r="D896" s="10">
        <f>IF(RIGHT(creditcard[[#This Row],[YYYYMM]],2)="--","--","Q"&amp;ROUNDUP(VALUE(RIGHT(creditcard[[#This Row],[YYYYMM]],2))/3,0))</f>
        <v/>
      </c>
      <c r="E896" s="10" t="n">
        <v>4</v>
      </c>
      <c r="F896" s="151" t="inlineStr">
        <is>
          <t>玉山</t>
        </is>
      </c>
      <c r="G896" s="152" t="inlineStr">
        <is>
          <t>04 玉山</t>
        </is>
      </c>
      <c r="H896" s="153" t="n">
        <v>8748065</v>
      </c>
      <c r="I896" s="153" t="n">
        <v>5340523</v>
      </c>
      <c r="J896" s="153" t="n">
        <v>128776</v>
      </c>
      <c r="K896" s="153" t="n">
        <v>87318</v>
      </c>
      <c r="L896" s="153" t="n">
        <v>17957.715</v>
      </c>
      <c r="M896" s="11" t="n"/>
      <c r="N896" s="153" t="n">
        <v>54299.671</v>
      </c>
      <c r="O896" s="11" t="n"/>
      <c r="P896" s="11" t="n"/>
      <c r="Q896" s="12" t="n"/>
      <c r="R896" s="11" t="n"/>
      <c r="S896" s="11" t="n"/>
      <c r="T896" s="11" t="n"/>
      <c r="U896" s="11" t="n"/>
      <c r="V896" s="154" t="n"/>
      <c r="W896" s="11" t="n"/>
      <c r="X896" s="13" t="n"/>
      <c r="Y896" s="13" t="n"/>
      <c r="Z896" s="13" t="n"/>
      <c r="AA896" s="13" t="n"/>
      <c r="AB896" s="13" t="n"/>
      <c r="AC896" s="13" t="n"/>
      <c r="AD896" s="13" t="n"/>
      <c r="AE896" s="13" t="n"/>
      <c r="AF896" s="13" t="n"/>
      <c r="AG896" s="13" t="n"/>
      <c r="AH896" s="13" t="n"/>
      <c r="AI896" s="13" t="n"/>
    </row>
    <row r="897">
      <c r="A897" s="14" t="n">
        <v>202512</v>
      </c>
      <c r="B897" s="15">
        <f>LEFT(creditcard[[#This Row],[YYYYMM]],4)</f>
        <v/>
      </c>
      <c r="C897" s="15">
        <f>RIGHT(creditcard[[#This Row],[YYYYMM]],2)</f>
        <v/>
      </c>
      <c r="D897" s="15">
        <f>IF(RIGHT(creditcard[[#This Row],[YYYYMM]],2)="--","--","Q"&amp;ROUNDUP(VALUE(RIGHT(creditcard[[#This Row],[YYYYMM]],2))/3,0))</f>
        <v/>
      </c>
      <c r="E897" s="15" t="n">
        <v>5</v>
      </c>
      <c r="F897" s="155" t="inlineStr">
        <is>
          <t>台新</t>
        </is>
      </c>
      <c r="G897" s="156" t="inlineStr">
        <is>
          <t>05 台新</t>
        </is>
      </c>
      <c r="H897" s="157" t="n">
        <v>6632949</v>
      </c>
      <c r="I897" s="157" t="n">
        <v>4852939</v>
      </c>
      <c r="J897" s="157" t="n">
        <v>44324</v>
      </c>
      <c r="K897" s="157" t="n">
        <v>44428</v>
      </c>
      <c r="L897" s="157" t="n">
        <v>11314.621</v>
      </c>
      <c r="M897" s="16" t="n"/>
      <c r="N897" s="157" t="n">
        <v>48399.932</v>
      </c>
      <c r="O897" s="16" t="n"/>
      <c r="P897" s="16" t="n"/>
      <c r="Q897" s="17" t="n"/>
      <c r="R897" s="16" t="n"/>
      <c r="S897" s="16" t="n"/>
      <c r="T897" s="16" t="n"/>
      <c r="U897" s="16" t="n"/>
      <c r="V897" s="158" t="n"/>
      <c r="W897" s="16" t="n"/>
      <c r="X897" s="18" t="n"/>
      <c r="Y897" s="18" t="n"/>
      <c r="Z897" s="18" t="n"/>
      <c r="AA897" s="18" t="n"/>
      <c r="AB897" s="18" t="n"/>
      <c r="AC897" s="18" t="n"/>
      <c r="AD897" s="18" t="n"/>
      <c r="AE897" s="18" t="n"/>
      <c r="AF897" s="18" t="n"/>
      <c r="AG897" s="18" t="n"/>
      <c r="AH897" s="18" t="n"/>
      <c r="AI897" s="18" t="n"/>
    </row>
    <row r="898">
      <c r="A898" s="9" t="n">
        <v>202512</v>
      </c>
      <c r="B898" s="10">
        <f>LEFT(creditcard[[#This Row],[YYYYMM]],4)</f>
        <v/>
      </c>
      <c r="C898" s="10">
        <f>RIGHT(creditcard[[#This Row],[YYYYMM]],2)</f>
        <v/>
      </c>
      <c r="D898" s="10">
        <f>IF(RIGHT(creditcard[[#This Row],[YYYYMM]],2)="--","--","Q"&amp;ROUNDUP(VALUE(RIGHT(creditcard[[#This Row],[YYYYMM]],2))/3,0))</f>
        <v/>
      </c>
      <c r="E898" s="10" t="n">
        <v>6</v>
      </c>
      <c r="F898" s="151" t="inlineStr">
        <is>
          <t>星展</t>
        </is>
      </c>
      <c r="G898" s="152" t="inlineStr">
        <is>
          <t>06 星展</t>
        </is>
      </c>
      <c r="H898" s="153" t="n">
        <v>3324547</v>
      </c>
      <c r="I898" s="153" t="n">
        <v>2087494</v>
      </c>
      <c r="J898" s="153" t="n">
        <v>20983</v>
      </c>
      <c r="K898" s="153" t="n">
        <v>61543</v>
      </c>
      <c r="L898" s="153" t="n">
        <v>8914.937</v>
      </c>
      <c r="M898" s="11" t="n"/>
      <c r="N898" s="153" t="n">
        <v>23990.92</v>
      </c>
      <c r="O898" s="11" t="n"/>
      <c r="P898" s="11" t="n"/>
      <c r="Q898" s="12" t="n"/>
      <c r="R898" s="11" t="n"/>
      <c r="S898" s="11" t="n"/>
      <c r="T898" s="11" t="n"/>
      <c r="U898" s="11" t="n"/>
      <c r="V898" s="154" t="n"/>
      <c r="W898" s="11" t="n"/>
      <c r="X898" s="13" t="n"/>
      <c r="Y898" s="13" t="n"/>
      <c r="Z898" s="13" t="n"/>
      <c r="AA898" s="13" t="n"/>
      <c r="AB898" s="13" t="n"/>
      <c r="AC898" s="13" t="n"/>
      <c r="AD898" s="13" t="n"/>
      <c r="AE898" s="13" t="n"/>
      <c r="AF898" s="13" t="n"/>
      <c r="AG898" s="13" t="n"/>
      <c r="AH898" s="13" t="n"/>
      <c r="AI898" s="13" t="n"/>
    </row>
    <row r="899">
      <c r="A899" s="14" t="n">
        <v>202512</v>
      </c>
      <c r="B899" s="15">
        <f>LEFT(creditcard[[#This Row],[YYYYMM]],4)</f>
        <v/>
      </c>
      <c r="C899" s="15">
        <f>RIGHT(creditcard[[#This Row],[YYYYMM]],2)</f>
        <v/>
      </c>
      <c r="D899" s="15">
        <f>IF(RIGHT(creditcard[[#This Row],[YYYYMM]],2)="--","--","Q"&amp;ROUNDUP(VALUE(RIGHT(creditcard[[#This Row],[YYYYMM]],2))/3,0))</f>
        <v/>
      </c>
      <c r="E899" s="15" t="n">
        <v>7</v>
      </c>
      <c r="F899" s="155" t="inlineStr">
        <is>
          <t>聯邦</t>
        </is>
      </c>
      <c r="G899" s="156" t="inlineStr">
        <is>
          <t>07 聯邦</t>
        </is>
      </c>
      <c r="H899" s="157" t="n">
        <v>2731780</v>
      </c>
      <c r="I899" s="157" t="n">
        <v>1849324</v>
      </c>
      <c r="J899" s="157" t="n">
        <v>31298</v>
      </c>
      <c r="K899" s="157" t="n">
        <v>23944</v>
      </c>
      <c r="L899" s="157" t="n">
        <v>6592.497</v>
      </c>
      <c r="M899" s="16" t="n"/>
      <c r="N899" s="157" t="n">
        <v>15000.911</v>
      </c>
      <c r="O899" s="16" t="n"/>
      <c r="P899" s="16" t="n"/>
      <c r="Q899" s="17" t="n"/>
      <c r="R899" s="16" t="n"/>
      <c r="S899" s="16" t="n"/>
      <c r="T899" s="16" t="n"/>
      <c r="U899" s="16" t="n"/>
      <c r="V899" s="158" t="n"/>
      <c r="W899" s="16" t="n"/>
      <c r="X899" s="18" t="n"/>
      <c r="Y899" s="18" t="n"/>
      <c r="Z899" s="18" t="n"/>
      <c r="AA899" s="18" t="n"/>
      <c r="AB899" s="18" t="n"/>
      <c r="AC899" s="18" t="n"/>
      <c r="AD899" s="18" t="n"/>
      <c r="AE899" s="18" t="n"/>
      <c r="AF899" s="18" t="n"/>
      <c r="AG899" s="18" t="n"/>
      <c r="AH899" s="18" t="n"/>
      <c r="AI899" s="18" t="n"/>
    </row>
    <row r="900">
      <c r="A900" s="9" t="n">
        <v>202512</v>
      </c>
      <c r="B900" s="10">
        <f>LEFT(creditcard[[#This Row],[YYYYMM]],4)</f>
        <v/>
      </c>
      <c r="C900" s="10">
        <f>RIGHT(creditcard[[#This Row],[YYYYMM]],2)</f>
        <v/>
      </c>
      <c r="D900" s="10">
        <f>IF(RIGHT(creditcard[[#This Row],[YYYYMM]],2)="--","--","Q"&amp;ROUNDUP(VALUE(RIGHT(creditcard[[#This Row],[YYYYMM]],2))/3,0))</f>
        <v/>
      </c>
      <c r="E900" s="10" t="n">
        <v>8</v>
      </c>
      <c r="F900" s="151" t="inlineStr">
        <is>
          <t>永豐</t>
        </is>
      </c>
      <c r="G900" s="152" t="inlineStr">
        <is>
          <t>08 永豐</t>
        </is>
      </c>
      <c r="H900" s="153" t="n">
        <v>2478579</v>
      </c>
      <c r="I900" s="153" t="n">
        <v>1545721</v>
      </c>
      <c r="J900" s="153" t="n">
        <v>17921</v>
      </c>
      <c r="K900" s="153" t="n">
        <v>6985</v>
      </c>
      <c r="L900" s="153" t="n">
        <v>3898.214</v>
      </c>
      <c r="M900" s="11" t="n"/>
      <c r="N900" s="153" t="n">
        <v>15837.909</v>
      </c>
      <c r="O900" s="11" t="n"/>
      <c r="P900" s="11" t="n"/>
      <c r="Q900" s="12" t="n"/>
      <c r="R900" s="11" t="n"/>
      <c r="S900" s="11" t="n"/>
      <c r="T900" s="11" t="n"/>
      <c r="U900" s="11" t="n"/>
      <c r="V900" s="154" t="n"/>
      <c r="W900" s="11" t="n"/>
      <c r="X900" s="13" t="n"/>
      <c r="Y900" s="13" t="n"/>
      <c r="Z900" s="13" t="n"/>
      <c r="AA900" s="13" t="n"/>
      <c r="AB900" s="13" t="n"/>
      <c r="AC900" s="13" t="n"/>
      <c r="AD900" s="13" t="n"/>
      <c r="AE900" s="13" t="n"/>
      <c r="AF900" s="13" t="n"/>
      <c r="AG900" s="13" t="n"/>
      <c r="AH900" s="13" t="n"/>
      <c r="AI900" s="13" t="n"/>
    </row>
    <row r="901">
      <c r="A901" s="14" t="n">
        <v>202512</v>
      </c>
      <c r="B901" s="15">
        <f>LEFT(creditcard[[#This Row],[YYYYMM]],4)</f>
        <v/>
      </c>
      <c r="C901" s="15">
        <f>RIGHT(creditcard[[#This Row],[YYYYMM]],2)</f>
        <v/>
      </c>
      <c r="D901" s="15">
        <f>IF(RIGHT(creditcard[[#This Row],[YYYYMM]],2)="--","--","Q"&amp;ROUNDUP(VALUE(RIGHT(creditcard[[#This Row],[YYYYMM]],2))/3,0))</f>
        <v/>
      </c>
      <c r="E901" s="15" t="n">
        <v>9</v>
      </c>
      <c r="F901" s="155" t="inlineStr">
        <is>
          <t>第一</t>
        </is>
      </c>
      <c r="G901" s="156" t="inlineStr">
        <is>
          <t>09 第一</t>
        </is>
      </c>
      <c r="H901" s="157" t="n">
        <v>1531235</v>
      </c>
      <c r="I901" s="157" t="n">
        <v>952857</v>
      </c>
      <c r="J901" s="157" t="n">
        <v>8277</v>
      </c>
      <c r="K901" s="157" t="n">
        <v>6433</v>
      </c>
      <c r="L901" s="157" t="n">
        <v>1297.02</v>
      </c>
      <c r="M901" s="16" t="n"/>
      <c r="N901" s="157" t="n">
        <v>7583.238</v>
      </c>
      <c r="O901" s="16" t="n"/>
      <c r="P901" s="16" t="n"/>
      <c r="Q901" s="17" t="n"/>
      <c r="R901" s="16" t="n"/>
      <c r="S901" s="16" t="n"/>
      <c r="T901" s="16" t="n"/>
      <c r="U901" s="16" t="n"/>
      <c r="V901" s="158" t="n"/>
      <c r="W901" s="16" t="n"/>
      <c r="X901" s="18" t="n"/>
      <c r="Y901" s="18" t="n"/>
      <c r="Z901" s="18" t="n"/>
      <c r="AA901" s="18" t="n"/>
      <c r="AB901" s="18" t="n"/>
      <c r="AC901" s="18" t="n"/>
      <c r="AD901" s="18" t="n"/>
      <c r="AE901" s="18" t="n"/>
      <c r="AF901" s="18" t="n"/>
      <c r="AG901" s="18" t="n"/>
      <c r="AH901" s="18" t="n"/>
      <c r="AI901" s="18" t="n"/>
    </row>
    <row r="902">
      <c r="A902" s="9" t="n">
        <v>202512</v>
      </c>
      <c r="B902" s="10">
        <f>LEFT(creditcard[[#This Row],[YYYYMM]],4)</f>
        <v/>
      </c>
      <c r="C902" s="10">
        <f>RIGHT(creditcard[[#This Row],[YYYYMM]],2)</f>
        <v/>
      </c>
      <c r="D902" s="10">
        <f>IF(RIGHT(creditcard[[#This Row],[YYYYMM]],2)="--","--","Q"&amp;ROUNDUP(VALUE(RIGHT(creditcard[[#This Row],[YYYYMM]],2))/3,0))</f>
        <v/>
      </c>
      <c r="E902" s="10" t="n">
        <v>10</v>
      </c>
      <c r="F902" s="151" t="inlineStr">
        <is>
          <t>遠東</t>
        </is>
      </c>
      <c r="G902" s="152" t="inlineStr">
        <is>
          <t>10 遠東</t>
        </is>
      </c>
      <c r="H902" s="153" t="n">
        <v>1290052</v>
      </c>
      <c r="I902" s="153" t="n">
        <v>910122</v>
      </c>
      <c r="J902" s="153" t="n">
        <v>5702</v>
      </c>
      <c r="K902" s="153" t="n">
        <v>8259</v>
      </c>
      <c r="L902" s="153" t="n">
        <v>3185.712</v>
      </c>
      <c r="M902" s="11" t="n"/>
      <c r="N902" s="153" t="n">
        <v>4517.285</v>
      </c>
      <c r="O902" s="11" t="n"/>
      <c r="P902" s="11" t="n"/>
      <c r="Q902" s="12" t="n"/>
      <c r="R902" s="11" t="n"/>
      <c r="S902" s="11" t="n"/>
      <c r="T902" s="11" t="n"/>
      <c r="U902" s="11" t="n"/>
      <c r="V902" s="154" t="n"/>
      <c r="W902" s="11" t="n"/>
      <c r="X902" s="13" t="n"/>
      <c r="Y902" s="13" t="n"/>
      <c r="Z902" s="13" t="n"/>
      <c r="AA902" s="13" t="n"/>
      <c r="AB902" s="13" t="n"/>
      <c r="AC902" s="13" t="n"/>
      <c r="AD902" s="13" t="n"/>
      <c r="AE902" s="13" t="n"/>
      <c r="AF902" s="13" t="n"/>
      <c r="AG902" s="13" t="n"/>
      <c r="AH902" s="13" t="n"/>
      <c r="AI902" s="13" t="n"/>
    </row>
    <row r="903">
      <c r="A903" s="14" t="n">
        <v>202512</v>
      </c>
      <c r="B903" s="15">
        <f>LEFT(creditcard[[#This Row],[YYYYMM]],4)</f>
        <v/>
      </c>
      <c r="C903" s="15">
        <f>RIGHT(creditcard[[#This Row],[YYYYMM]],2)</f>
        <v/>
      </c>
      <c r="D903" s="15">
        <f>IF(RIGHT(creditcard[[#This Row],[YYYYMM]],2)="--","--","Q"&amp;ROUNDUP(VALUE(RIGHT(creditcard[[#This Row],[YYYYMM]],2))/3,0))</f>
        <v/>
      </c>
      <c r="E903" s="15" t="n">
        <v>11</v>
      </c>
      <c r="F903" s="155" t="inlineStr">
        <is>
          <t>市場總計</t>
        </is>
      </c>
      <c r="G903" s="156" t="inlineStr">
        <is>
          <t>11 市場總計</t>
        </is>
      </c>
      <c r="H903" s="157" t="n">
        <v>60485911</v>
      </c>
      <c r="I903" s="157" t="n">
        <v>40554453</v>
      </c>
      <c r="J903" s="157" t="n">
        <v>570553</v>
      </c>
      <c r="K903" s="157" t="n">
        <v>523432</v>
      </c>
      <c r="L903" s="157" t="n">
        <v>118588.582</v>
      </c>
      <c r="M903" s="160" t="n">
        <v>187216.932</v>
      </c>
      <c r="N903" s="157" t="n">
        <v>453663.538</v>
      </c>
      <c r="O903" s="160" t="n">
        <v>1649.14</v>
      </c>
      <c r="P903" s="17" t="n">
        <v>0.002392638992293421</v>
      </c>
      <c r="Q903" s="17" t="n">
        <v>0.0003241437460974512</v>
      </c>
      <c r="R903" s="19" t="n">
        <v>5.02405932592818</v>
      </c>
      <c r="S903" s="160" t="n">
        <v>645.165</v>
      </c>
      <c r="T903" s="160" t="n">
        <v>7406.519</v>
      </c>
      <c r="U903" s="16" t="n"/>
      <c r="V903" s="158" t="n">
        <v>4.65</v>
      </c>
      <c r="W903" s="16">
        <f>SUMIFS(H:H,A:A,creditcard[[#This Row],[YYYYMM]],G:G,creditcard[[#This Row],[Item]])</f>
        <v/>
      </c>
      <c r="X903" s="4">
        <f>IFERROR(SUMIFS(H:H,A:A,creditcard[[#This Row],[YYYYMM]],E:E,"&lt;=5")/creditcard[[#This Row],[市場總計]],"")</f>
        <v/>
      </c>
      <c r="Y903" s="4">
        <f>IFERROR(SUMIFS(H:H,A:A,creditcard[[#This Row],[YYYYMM]],E:E,"&lt;=10")/creditcard[[#This Row],[市場總計]],"")</f>
        <v/>
      </c>
      <c r="Z903" s="4">
        <f>IFERROR(SUMIFS(I:I,A:A,creditcard[[#This Row],[YYYYMM]],E:E,"&lt;=5")/creditcard[[#This Row],[有效卡數]],"")</f>
        <v/>
      </c>
      <c r="AA903" s="4">
        <f>IFERROR(SUMIFS(I:I,A:A,creditcard[[#This Row],[YYYYMM]],E:E,"&lt;=10")/creditcard[[#This Row],[有效卡數]],"")</f>
        <v/>
      </c>
      <c r="AB903" s="4">
        <f>IFERROR(SUMIFS(J:J,A:A,creditcard[[#This Row],[YYYYMM]],E:E,"&lt;=5")/creditcard[[#This Row],[當月發卡數]],"")</f>
        <v/>
      </c>
      <c r="AC903" s="4">
        <f>IFERROR(SUMIFS(J:J,A:A,creditcard[[#This Row],[YYYYMM]],E:E,"&lt;=10")/creditcard[[#This Row],[當月發卡數]],"")</f>
        <v/>
      </c>
      <c r="AD903" s="4">
        <f>IFERROR(SUMIFS(K:K,A:A,creditcard[[#This Row],[YYYYMM]],E:E,"&lt;=5")/creditcard[[#This Row],[當月停卡數]],"")</f>
        <v/>
      </c>
      <c r="AE903" s="4">
        <f>IFERROR(SUMIFS(K:K,A:A,creditcard[[#This Row],[YYYYMM]],E:E,"&lt;=10")/creditcard[[#This Row],[當月停卡數]],"")</f>
        <v/>
      </c>
      <c r="AF903" s="4">
        <f>IFERROR(SUMIFS(L:L,A:A,creditcard[[#This Row],[YYYYMM]],E:E,"&lt;=5")/creditcard[[#This Row],[循環信用餘額]],"")</f>
        <v/>
      </c>
      <c r="AG903" s="4">
        <f>IFERROR(SUMIFS(L:L,A:A,creditcard[[#This Row],[YYYYMM]],E:E,"&lt;=10")/creditcard[[#This Row],[循環信用餘額]],"")</f>
        <v/>
      </c>
      <c r="AH903" s="4">
        <f>IFERROR(SUMIFS(N:N,A:A,creditcard[[#This Row],[YYYYMM]],E:E,"&lt;=5")/creditcard[[#This Row],[當月簽帳金額]],"")</f>
        <v/>
      </c>
      <c r="AI903" s="4">
        <f>IFERROR(SUMIFS(N:N,A:A,creditcard[[#This Row],[YYYYMM]],E:E,"&lt;=10")/creditcard[[#This Row],[當月簽帳金額]],"")</f>
        <v/>
      </c>
    </row>
    <row r="904">
      <c r="A904" s="9" t="inlineStr">
        <is>
          <t>2025--</t>
        </is>
      </c>
      <c r="B904" s="10">
        <f>LEFT(creditcard[[#This Row],[YYYYMM]],4)</f>
        <v/>
      </c>
      <c r="C904" s="10">
        <f>RIGHT(creditcard[[#This Row],[YYYYMM]],2)</f>
        <v/>
      </c>
      <c r="D904" s="10">
        <f>IF(RIGHT(creditcard[[#This Row],[YYYYMM]],2)="--","--","Q"&amp;ROUNDUP(VALUE(RIGHT(creditcard[[#This Row],[YYYYMM]],2))/3,0))</f>
        <v/>
      </c>
      <c r="E904" s="10" t="n">
        <v>1</v>
      </c>
      <c r="F904" s="151" t="inlineStr">
        <is>
          <t>中信</t>
        </is>
      </c>
      <c r="G904" s="152" t="inlineStr">
        <is>
          <t>01 中信</t>
        </is>
      </c>
      <c r="H904" s="153" t="n">
        <v>9458117</v>
      </c>
      <c r="I904" s="153" t="n">
        <v>6685860</v>
      </c>
      <c r="J904" s="153" t="n">
        <v>1575890</v>
      </c>
      <c r="K904" s="153" t="n">
        <v>1297683</v>
      </c>
      <c r="L904" s="153" t="n">
        <v>17911.768</v>
      </c>
      <c r="M904" s="11" t="n"/>
      <c r="N904" s="153" t="n">
        <v>890214.7</v>
      </c>
      <c r="O904" s="11" t="n"/>
      <c r="P904" s="11" t="n"/>
      <c r="Q904" s="12" t="n"/>
      <c r="R904" s="11" t="n"/>
      <c r="S904" s="11" t="n"/>
      <c r="T904" s="11" t="n"/>
      <c r="U904" s="11" t="n"/>
      <c r="V904" s="154" t="n"/>
      <c r="W904" s="11" t="n"/>
      <c r="X904" s="13" t="n"/>
      <c r="Y904" s="13" t="n"/>
      <c r="Z904" s="13" t="n"/>
      <c r="AA904" s="13" t="n"/>
      <c r="AB904" s="13" t="n"/>
      <c r="AC904" s="13" t="n"/>
      <c r="AD904" s="13" t="n"/>
      <c r="AE904" s="13" t="n"/>
      <c r="AF904" s="13" t="n"/>
      <c r="AG904" s="13" t="n"/>
      <c r="AH904" s="13" t="n"/>
      <c r="AI904" s="13" t="n"/>
    </row>
    <row r="905">
      <c r="A905" s="14" t="inlineStr">
        <is>
          <t>2025--</t>
        </is>
      </c>
      <c r="B905" s="15">
        <f>LEFT(creditcard[[#This Row],[YYYYMM]],4)</f>
        <v/>
      </c>
      <c r="C905" s="15">
        <f>RIGHT(creditcard[[#This Row],[YYYYMM]],2)</f>
        <v/>
      </c>
      <c r="D905" s="15">
        <f>IF(RIGHT(creditcard[[#This Row],[YYYYMM]],2)="--","--","Q"&amp;ROUNDUP(VALUE(RIGHT(creditcard[[#This Row],[YYYYMM]],2))/3,0))</f>
        <v/>
      </c>
      <c r="E905" s="15" t="n">
        <v>2</v>
      </c>
      <c r="F905" s="155" t="inlineStr">
        <is>
          <t>富邦</t>
        </is>
      </c>
      <c r="G905" s="156" t="inlineStr">
        <is>
          <t>02 富邦</t>
        </is>
      </c>
      <c r="H905" s="157" t="n">
        <v>7391132</v>
      </c>
      <c r="I905" s="157" t="n">
        <v>5849375</v>
      </c>
      <c r="J905" s="157" t="n">
        <v>556757</v>
      </c>
      <c r="K905" s="157" t="n">
        <v>451636</v>
      </c>
      <c r="L905" s="157" t="n">
        <v>11468.186</v>
      </c>
      <c r="M905" s="16" t="n"/>
      <c r="N905" s="157" t="n">
        <v>628294.3590000001</v>
      </c>
      <c r="O905" s="16" t="n"/>
      <c r="P905" s="16" t="n"/>
      <c r="Q905" s="17" t="n"/>
      <c r="R905" s="16" t="n"/>
      <c r="S905" s="16" t="n"/>
      <c r="T905" s="16" t="n"/>
      <c r="U905" s="16" t="n"/>
      <c r="V905" s="158" t="n"/>
      <c r="W905" s="16" t="n"/>
      <c r="X905" s="18" t="n"/>
      <c r="Y905" s="18" t="n"/>
      <c r="Z905" s="18" t="n"/>
      <c r="AA905" s="18" t="n"/>
      <c r="AB905" s="18" t="n"/>
      <c r="AC905" s="18" t="n"/>
      <c r="AD905" s="18" t="n"/>
      <c r="AE905" s="18" t="n"/>
      <c r="AF905" s="18" t="n"/>
      <c r="AG905" s="18" t="n"/>
      <c r="AH905" s="18" t="n"/>
      <c r="AI905" s="18" t="n"/>
    </row>
    <row r="906">
      <c r="A906" s="9" t="inlineStr">
        <is>
          <t>2025--</t>
        </is>
      </c>
      <c r="B906" s="10">
        <f>LEFT(creditcard[[#This Row],[YYYYMM]],4)</f>
        <v/>
      </c>
      <c r="C906" s="10">
        <f>RIGHT(creditcard[[#This Row],[YYYYMM]],2)</f>
        <v/>
      </c>
      <c r="D906" s="10">
        <f>IF(RIGHT(creditcard[[#This Row],[YYYYMM]],2)="--","--","Q"&amp;ROUNDUP(VALUE(RIGHT(creditcard[[#This Row],[YYYYMM]],2))/3,0))</f>
        <v/>
      </c>
      <c r="E906" s="10" t="n">
        <v>3</v>
      </c>
      <c r="F906" s="151" t="inlineStr">
        <is>
          <t>國泰</t>
        </is>
      </c>
      <c r="G906" s="152" t="inlineStr">
        <is>
          <t>03 國泰</t>
        </is>
      </c>
      <c r="H906" s="153" t="n">
        <v>7337214</v>
      </c>
      <c r="I906" s="153" t="n">
        <v>5209203</v>
      </c>
      <c r="J906" s="153" t="n">
        <v>562524</v>
      </c>
      <c r="K906" s="153" t="n">
        <v>712861</v>
      </c>
      <c r="L906" s="153" t="n">
        <v>22171.305</v>
      </c>
      <c r="M906" s="11" t="n"/>
      <c r="N906" s="153" t="n">
        <v>855722.725</v>
      </c>
      <c r="O906" s="11" t="n"/>
      <c r="P906" s="11" t="n"/>
      <c r="Q906" s="12" t="n"/>
      <c r="R906" s="11" t="n"/>
      <c r="S906" s="11" t="n"/>
      <c r="T906" s="11" t="n"/>
      <c r="U906" s="11" t="n"/>
      <c r="V906" s="154" t="n"/>
      <c r="W906" s="11" t="n"/>
      <c r="X906" s="13" t="n"/>
      <c r="Y906" s="13" t="n"/>
      <c r="Z906" s="13" t="n"/>
      <c r="AA906" s="13" t="n"/>
      <c r="AB906" s="13" t="n"/>
      <c r="AC906" s="13" t="n"/>
      <c r="AD906" s="13" t="n"/>
      <c r="AE906" s="13" t="n"/>
      <c r="AF906" s="13" t="n"/>
      <c r="AG906" s="13" t="n"/>
      <c r="AH906" s="13" t="n"/>
      <c r="AI906" s="13" t="n"/>
    </row>
    <row r="907">
      <c r="A907" s="14" t="inlineStr">
        <is>
          <t>2025--</t>
        </is>
      </c>
      <c r="B907" s="15">
        <f>LEFT(creditcard[[#This Row],[YYYYMM]],4)</f>
        <v/>
      </c>
      <c r="C907" s="15">
        <f>RIGHT(creditcard[[#This Row],[YYYYMM]],2)</f>
        <v/>
      </c>
      <c r="D907" s="15">
        <f>IF(RIGHT(creditcard[[#This Row],[YYYYMM]],2)="--","--","Q"&amp;ROUNDUP(VALUE(RIGHT(creditcard[[#This Row],[YYYYMM]],2))/3,0))</f>
        <v/>
      </c>
      <c r="E907" s="15" t="n">
        <v>4</v>
      </c>
      <c r="F907" s="155" t="inlineStr">
        <is>
          <t>玉山</t>
        </is>
      </c>
      <c r="G907" s="156" t="inlineStr">
        <is>
          <t>04 玉山</t>
        </is>
      </c>
      <c r="H907" s="157" t="n">
        <v>8748065</v>
      </c>
      <c r="I907" s="157" t="n">
        <v>5340523</v>
      </c>
      <c r="J907" s="157" t="n">
        <v>2088177</v>
      </c>
      <c r="K907" s="157" t="n">
        <v>816343</v>
      </c>
      <c r="L907" s="157" t="n">
        <v>17957.715</v>
      </c>
      <c r="M907" s="16" t="n"/>
      <c r="N907" s="157" t="n">
        <v>662988.731</v>
      </c>
      <c r="O907" s="16" t="n"/>
      <c r="P907" s="16" t="n"/>
      <c r="Q907" s="17" t="n"/>
      <c r="R907" s="16" t="n"/>
      <c r="S907" s="16" t="n"/>
      <c r="T907" s="16" t="n"/>
      <c r="U907" s="16" t="n"/>
      <c r="V907" s="158" t="n"/>
      <c r="W907" s="16" t="n"/>
      <c r="X907" s="18" t="n"/>
      <c r="Y907" s="18" t="n"/>
      <c r="Z907" s="18" t="n"/>
      <c r="AA907" s="18" t="n"/>
      <c r="AB907" s="18" t="n"/>
      <c r="AC907" s="18" t="n"/>
      <c r="AD907" s="18" t="n"/>
      <c r="AE907" s="18" t="n"/>
      <c r="AF907" s="18" t="n"/>
      <c r="AG907" s="18" t="n"/>
      <c r="AH907" s="18" t="n"/>
      <c r="AI907" s="18" t="n"/>
    </row>
    <row r="908">
      <c r="A908" s="9" t="inlineStr">
        <is>
          <t>2025--</t>
        </is>
      </c>
      <c r="B908" s="10">
        <f>LEFT(creditcard[[#This Row],[YYYYMM]],4)</f>
        <v/>
      </c>
      <c r="C908" s="10">
        <f>RIGHT(creditcard[[#This Row],[YYYYMM]],2)</f>
        <v/>
      </c>
      <c r="D908" s="10">
        <f>IF(RIGHT(creditcard[[#This Row],[YYYYMM]],2)="--","--","Q"&amp;ROUNDUP(VALUE(RIGHT(creditcard[[#This Row],[YYYYMM]],2))/3,0))</f>
        <v/>
      </c>
      <c r="E908" s="10" t="n">
        <v>5</v>
      </c>
      <c r="F908" s="151" t="inlineStr">
        <is>
          <t>台新</t>
        </is>
      </c>
      <c r="G908" s="152" t="inlineStr">
        <is>
          <t>05 台新</t>
        </is>
      </c>
      <c r="H908" s="153" t="n">
        <v>6632949</v>
      </c>
      <c r="I908" s="153" t="n">
        <v>4852939</v>
      </c>
      <c r="J908" s="153" t="n">
        <v>540456</v>
      </c>
      <c r="K908" s="153" t="n">
        <v>485455</v>
      </c>
      <c r="L908" s="153" t="n">
        <v>11314.621</v>
      </c>
      <c r="M908" s="11" t="n"/>
      <c r="N908" s="153" t="n">
        <v>529216.22</v>
      </c>
      <c r="O908" s="11" t="n"/>
      <c r="P908" s="11" t="n"/>
      <c r="Q908" s="12" t="n"/>
      <c r="R908" s="11" t="n"/>
      <c r="S908" s="11" t="n"/>
      <c r="T908" s="11" t="n"/>
      <c r="U908" s="11" t="n"/>
      <c r="V908" s="154" t="n"/>
      <c r="W908" s="11" t="n"/>
      <c r="X908" s="13" t="n"/>
      <c r="Y908" s="13" t="n"/>
      <c r="Z908" s="13" t="n"/>
      <c r="AA908" s="13" t="n"/>
      <c r="AB908" s="13" t="n"/>
      <c r="AC908" s="13" t="n"/>
      <c r="AD908" s="13" t="n"/>
      <c r="AE908" s="13" t="n"/>
      <c r="AF908" s="13" t="n"/>
      <c r="AG908" s="13" t="n"/>
      <c r="AH908" s="13" t="n"/>
      <c r="AI908" s="13" t="n"/>
    </row>
    <row r="909">
      <c r="A909" s="14" t="inlineStr">
        <is>
          <t>2025--</t>
        </is>
      </c>
      <c r="B909" s="15">
        <f>LEFT(creditcard[[#This Row],[YYYYMM]],4)</f>
        <v/>
      </c>
      <c r="C909" s="15">
        <f>RIGHT(creditcard[[#This Row],[YYYYMM]],2)</f>
        <v/>
      </c>
      <c r="D909" s="15">
        <f>IF(RIGHT(creditcard[[#This Row],[YYYYMM]],2)="--","--","Q"&amp;ROUNDUP(VALUE(RIGHT(creditcard[[#This Row],[YYYYMM]],2))/3,0))</f>
        <v/>
      </c>
      <c r="E909" s="15" t="n">
        <v>6</v>
      </c>
      <c r="F909" s="155" t="inlineStr">
        <is>
          <t>星展</t>
        </is>
      </c>
      <c r="G909" s="156" t="inlineStr">
        <is>
          <t>06 星展</t>
        </is>
      </c>
      <c r="H909" s="157" t="n">
        <v>3324547</v>
      </c>
      <c r="I909" s="157" t="n">
        <v>2087494</v>
      </c>
      <c r="J909" s="157" t="n">
        <v>196316</v>
      </c>
      <c r="K909" s="157" t="n">
        <v>264584</v>
      </c>
      <c r="L909" s="157" t="n">
        <v>8914.937</v>
      </c>
      <c r="M909" s="16" t="n"/>
      <c r="N909" s="157" t="n">
        <v>271980.067</v>
      </c>
      <c r="O909" s="16" t="n"/>
      <c r="P909" s="16" t="n"/>
      <c r="Q909" s="17" t="n"/>
      <c r="R909" s="16" t="n"/>
      <c r="S909" s="16" t="n"/>
      <c r="T909" s="16" t="n"/>
      <c r="U909" s="16" t="n"/>
      <c r="V909" s="158" t="n"/>
      <c r="W909" s="16" t="n"/>
      <c r="X909" s="18" t="n"/>
      <c r="Y909" s="18" t="n"/>
      <c r="Z909" s="18" t="n"/>
      <c r="AA909" s="18" t="n"/>
      <c r="AB909" s="18" t="n"/>
      <c r="AC909" s="18" t="n"/>
      <c r="AD909" s="18" t="n"/>
      <c r="AE909" s="18" t="n"/>
      <c r="AF909" s="18" t="n"/>
      <c r="AG909" s="18" t="n"/>
      <c r="AH909" s="18" t="n"/>
      <c r="AI909" s="18" t="n"/>
    </row>
    <row r="910">
      <c r="A910" s="9" t="inlineStr">
        <is>
          <t>2025--</t>
        </is>
      </c>
      <c r="B910" s="10">
        <f>LEFT(creditcard[[#This Row],[YYYYMM]],4)</f>
        <v/>
      </c>
      <c r="C910" s="10">
        <f>RIGHT(creditcard[[#This Row],[YYYYMM]],2)</f>
        <v/>
      </c>
      <c r="D910" s="10">
        <f>IF(RIGHT(creditcard[[#This Row],[YYYYMM]],2)="--","--","Q"&amp;ROUNDUP(VALUE(RIGHT(creditcard[[#This Row],[YYYYMM]],2))/3,0))</f>
        <v/>
      </c>
      <c r="E910" s="10" t="n">
        <v>7</v>
      </c>
      <c r="F910" s="151" t="inlineStr">
        <is>
          <t>聯邦</t>
        </is>
      </c>
      <c r="G910" s="152" t="inlineStr">
        <is>
          <t>07 聯邦</t>
        </is>
      </c>
      <c r="H910" s="153" t="n">
        <v>2731780</v>
      </c>
      <c r="I910" s="153" t="n">
        <v>1849324</v>
      </c>
      <c r="J910" s="153" t="n">
        <v>265061</v>
      </c>
      <c r="K910" s="153" t="n">
        <v>297748</v>
      </c>
      <c r="L910" s="153" t="n">
        <v>6592.497</v>
      </c>
      <c r="M910" s="11" t="n"/>
      <c r="N910" s="153" t="n">
        <v>178950.454</v>
      </c>
      <c r="O910" s="11" t="n"/>
      <c r="P910" s="11" t="n"/>
      <c r="Q910" s="12" t="n"/>
      <c r="R910" s="11" t="n"/>
      <c r="S910" s="11" t="n"/>
      <c r="T910" s="11" t="n"/>
      <c r="U910" s="11" t="n"/>
      <c r="V910" s="154" t="n"/>
      <c r="W910" s="11" t="n"/>
      <c r="X910" s="13" t="n"/>
      <c r="Y910" s="13" t="n"/>
      <c r="Z910" s="13" t="n"/>
      <c r="AA910" s="13" t="n"/>
      <c r="AB910" s="13" t="n"/>
      <c r="AC910" s="13" t="n"/>
      <c r="AD910" s="13" t="n"/>
      <c r="AE910" s="13" t="n"/>
      <c r="AF910" s="13" t="n"/>
      <c r="AG910" s="13" t="n"/>
      <c r="AH910" s="13" t="n"/>
      <c r="AI910" s="13" t="n"/>
    </row>
    <row r="911">
      <c r="A911" s="14" t="inlineStr">
        <is>
          <t>2025--</t>
        </is>
      </c>
      <c r="B911" s="15">
        <f>LEFT(creditcard[[#This Row],[YYYYMM]],4)</f>
        <v/>
      </c>
      <c r="C911" s="15">
        <f>RIGHT(creditcard[[#This Row],[YYYYMM]],2)</f>
        <v/>
      </c>
      <c r="D911" s="15">
        <f>IF(RIGHT(creditcard[[#This Row],[YYYYMM]],2)="--","--","Q"&amp;ROUNDUP(VALUE(RIGHT(creditcard[[#This Row],[YYYYMM]],2))/3,0))</f>
        <v/>
      </c>
      <c r="E911" s="15" t="n">
        <v>8</v>
      </c>
      <c r="F911" s="155" t="inlineStr">
        <is>
          <t>永豐</t>
        </is>
      </c>
      <c r="G911" s="156" t="inlineStr">
        <is>
          <t>08 永豐</t>
        </is>
      </c>
      <c r="H911" s="157" t="n">
        <v>2478579</v>
      </c>
      <c r="I911" s="157" t="n">
        <v>1545721</v>
      </c>
      <c r="J911" s="157" t="n">
        <v>314806</v>
      </c>
      <c r="K911" s="157" t="n">
        <v>70205</v>
      </c>
      <c r="L911" s="157" t="n">
        <v>3898.214</v>
      </c>
      <c r="M911" s="16" t="n"/>
      <c r="N911" s="157" t="n">
        <v>179318.305</v>
      </c>
      <c r="O911" s="16" t="n"/>
      <c r="P911" s="16" t="n"/>
      <c r="Q911" s="17" t="n"/>
      <c r="R911" s="16" t="n"/>
      <c r="S911" s="16" t="n"/>
      <c r="T911" s="16" t="n"/>
      <c r="U911" s="16" t="n"/>
      <c r="V911" s="158" t="n"/>
      <c r="W911" s="16" t="n"/>
      <c r="X911" s="18" t="n"/>
      <c r="Y911" s="18" t="n"/>
      <c r="Z911" s="18" t="n"/>
      <c r="AA911" s="18" t="n"/>
      <c r="AB911" s="18" t="n"/>
      <c r="AC911" s="18" t="n"/>
      <c r="AD911" s="18" t="n"/>
      <c r="AE911" s="18" t="n"/>
      <c r="AF911" s="18" t="n"/>
      <c r="AG911" s="18" t="n"/>
      <c r="AH911" s="18" t="n"/>
      <c r="AI911" s="18" t="n"/>
    </row>
    <row r="912">
      <c r="A912" s="9" t="inlineStr">
        <is>
          <t>2025--</t>
        </is>
      </c>
      <c r="B912" s="10">
        <f>LEFT(creditcard[[#This Row],[YYYYMM]],4)</f>
        <v/>
      </c>
      <c r="C912" s="10">
        <f>RIGHT(creditcard[[#This Row],[YYYYMM]],2)</f>
        <v/>
      </c>
      <c r="D912" s="10">
        <f>IF(RIGHT(creditcard[[#This Row],[YYYYMM]],2)="--","--","Q"&amp;ROUNDUP(VALUE(RIGHT(creditcard[[#This Row],[YYYYMM]],2))/3,0))</f>
        <v/>
      </c>
      <c r="E912" s="10" t="n">
        <v>9</v>
      </c>
      <c r="F912" s="151" t="inlineStr">
        <is>
          <t>第一</t>
        </is>
      </c>
      <c r="G912" s="152" t="inlineStr">
        <is>
          <t>09 第一</t>
        </is>
      </c>
      <c r="H912" s="153" t="n">
        <v>1531235</v>
      </c>
      <c r="I912" s="153" t="n">
        <v>952857</v>
      </c>
      <c r="J912" s="153" t="n">
        <v>122371</v>
      </c>
      <c r="K912" s="153" t="n">
        <v>71295</v>
      </c>
      <c r="L912" s="153" t="n">
        <v>1297.02</v>
      </c>
      <c r="M912" s="11" t="n"/>
      <c r="N912" s="153" t="n">
        <v>83674.31</v>
      </c>
      <c r="O912" s="11" t="n"/>
      <c r="P912" s="11" t="n"/>
      <c r="Q912" s="12" t="n"/>
      <c r="R912" s="11" t="n"/>
      <c r="S912" s="11" t="n"/>
      <c r="T912" s="11" t="n"/>
      <c r="U912" s="11" t="n"/>
      <c r="V912" s="154" t="n"/>
      <c r="W912" s="11" t="n"/>
      <c r="X912" s="13" t="n"/>
      <c r="Y912" s="13" t="n"/>
      <c r="Z912" s="13" t="n"/>
      <c r="AA912" s="13" t="n"/>
      <c r="AB912" s="13" t="n"/>
      <c r="AC912" s="13" t="n"/>
      <c r="AD912" s="13" t="n"/>
      <c r="AE912" s="13" t="n"/>
      <c r="AF912" s="13" t="n"/>
      <c r="AG912" s="13" t="n"/>
      <c r="AH912" s="13" t="n"/>
      <c r="AI912" s="13" t="n"/>
    </row>
    <row r="913">
      <c r="A913" s="14" t="inlineStr">
        <is>
          <t>2025--</t>
        </is>
      </c>
      <c r="B913" s="15">
        <f>LEFT(creditcard[[#This Row],[YYYYMM]],4)</f>
        <v/>
      </c>
      <c r="C913" s="15">
        <f>RIGHT(creditcard[[#This Row],[YYYYMM]],2)</f>
        <v/>
      </c>
      <c r="D913" s="15">
        <f>IF(RIGHT(creditcard[[#This Row],[YYYYMM]],2)="--","--","Q"&amp;ROUNDUP(VALUE(RIGHT(creditcard[[#This Row],[YYYYMM]],2))/3,0))</f>
        <v/>
      </c>
      <c r="E913" s="15" t="n">
        <v>10</v>
      </c>
      <c r="F913" s="155" t="inlineStr">
        <is>
          <t>遠東</t>
        </is>
      </c>
      <c r="G913" s="156" t="inlineStr">
        <is>
          <t>10 遠東</t>
        </is>
      </c>
      <c r="H913" s="157" t="n">
        <v>1290052</v>
      </c>
      <c r="I913" s="157" t="n">
        <v>910122</v>
      </c>
      <c r="J913" s="157" t="n">
        <v>91425</v>
      </c>
      <c r="K913" s="157" t="n">
        <v>158082</v>
      </c>
      <c r="L913" s="157" t="n">
        <v>3185.712</v>
      </c>
      <c r="M913" s="16" t="n"/>
      <c r="N913" s="157" t="n">
        <v>51457.336</v>
      </c>
      <c r="O913" s="16" t="n"/>
      <c r="P913" s="16" t="n"/>
      <c r="Q913" s="17" t="n"/>
      <c r="R913" s="16" t="n"/>
      <c r="S913" s="16" t="n"/>
      <c r="T913" s="16" t="n"/>
      <c r="U913" s="16" t="n"/>
      <c r="V913" s="158" t="n"/>
      <c r="W913" s="16" t="n"/>
      <c r="X913" s="18" t="n"/>
      <c r="Y913" s="18" t="n"/>
      <c r="Z913" s="18" t="n"/>
      <c r="AA913" s="18" t="n"/>
      <c r="AB913" s="18" t="n"/>
      <c r="AC913" s="18" t="n"/>
      <c r="AD913" s="18" t="n"/>
      <c r="AE913" s="18" t="n"/>
      <c r="AF913" s="18" t="n"/>
      <c r="AG913" s="18" t="n"/>
      <c r="AH913" s="18" t="n"/>
      <c r="AI913" s="18" t="n"/>
    </row>
    <row r="914">
      <c r="A914" s="9" t="inlineStr">
        <is>
          <t>2025--</t>
        </is>
      </c>
      <c r="B914" s="10">
        <f>LEFT(creditcard[[#This Row],[YYYYMM]],4)</f>
        <v/>
      </c>
      <c r="C914" s="10">
        <f>RIGHT(creditcard[[#This Row],[YYYYMM]],2)</f>
        <v/>
      </c>
      <c r="D914" s="10">
        <f>IF(RIGHT(creditcard[[#This Row],[YYYYMM]],2)="--","--","Q"&amp;ROUNDUP(VALUE(RIGHT(creditcard[[#This Row],[YYYYMM]],2))/3,0))</f>
        <v/>
      </c>
      <c r="E914" s="10" t="n">
        <v>11</v>
      </c>
      <c r="F914" s="151" t="inlineStr">
        <is>
          <t>市場總計</t>
        </is>
      </c>
      <c r="G914" s="152" t="inlineStr">
        <is>
          <t>11 市場總計</t>
        </is>
      </c>
      <c r="H914" s="153" t="n">
        <v>60485911</v>
      </c>
      <c r="I914" s="153" t="n">
        <v>40554453</v>
      </c>
      <c r="J914" s="153" t="n">
        <v>7138977</v>
      </c>
      <c r="K914" s="153" t="n">
        <v>5417850</v>
      </c>
      <c r="L914" s="153" t="n">
        <v>118588.582</v>
      </c>
      <c r="M914" s="11" t="n"/>
      <c r="N914" s="153" t="n">
        <v>4986344.157</v>
      </c>
      <c r="O914" s="11" t="n"/>
      <c r="P914" s="11" t="n"/>
      <c r="Q914" s="12" t="n"/>
      <c r="R914" s="11" t="n"/>
      <c r="S914" s="11" t="n"/>
      <c r="T914" s="11" t="n"/>
      <c r="U914" s="11" t="n"/>
      <c r="V914" s="154" t="n">
        <v>4.65</v>
      </c>
      <c r="W914" s="11">
        <f>SUMIFS(H:H,A:A,creditcard[[#This Row],[YYYYMM]],G:G,creditcard[[#This Row],[Item]])</f>
        <v/>
      </c>
      <c r="X914" s="4">
        <f>IFERROR(SUMIFS(H:H,A:A,creditcard[[#This Row],[YYYYMM]],E:E,"&lt;=5")/creditcard[[#This Row],[市場總計]],"")</f>
        <v/>
      </c>
      <c r="Y914" s="4">
        <f>IFERROR(SUMIFS(H:H,A:A,creditcard[[#This Row],[YYYYMM]],E:E,"&lt;=10")/creditcard[[#This Row],[市場總計]],"")</f>
        <v/>
      </c>
      <c r="Z914" s="4">
        <f>IFERROR(SUMIFS(I:I,A:A,creditcard[[#This Row],[YYYYMM]],E:E,"&lt;=5")/creditcard[[#This Row],[有效卡數]],"")</f>
        <v/>
      </c>
      <c r="AA914" s="4">
        <f>IFERROR(SUMIFS(I:I,A:A,creditcard[[#This Row],[YYYYMM]],E:E,"&lt;=10")/creditcard[[#This Row],[有效卡數]],"")</f>
        <v/>
      </c>
      <c r="AB914" s="4">
        <f>IFERROR(SUMIFS(J:J,A:A,creditcard[[#This Row],[YYYYMM]],E:E,"&lt;=5")/creditcard[[#This Row],[當月發卡數]],"")</f>
        <v/>
      </c>
      <c r="AC914" s="4">
        <f>IFERROR(SUMIFS(J:J,A:A,creditcard[[#This Row],[YYYYMM]],E:E,"&lt;=10")/creditcard[[#This Row],[當月發卡數]],"")</f>
        <v/>
      </c>
      <c r="AD914" s="4">
        <f>IFERROR(SUMIFS(K:K,A:A,creditcard[[#This Row],[YYYYMM]],E:E,"&lt;=5")/creditcard[[#This Row],[當月停卡數]],"")</f>
        <v/>
      </c>
      <c r="AE914" s="4">
        <f>IFERROR(SUMIFS(K:K,A:A,creditcard[[#This Row],[YYYYMM]],E:E,"&lt;=10")/creditcard[[#This Row],[當月停卡數]],"")</f>
        <v/>
      </c>
      <c r="AF914" s="4">
        <f>IFERROR(SUMIFS(L:L,A:A,creditcard[[#This Row],[YYYYMM]],E:E,"&lt;=5")/creditcard[[#This Row],[循環信用餘額]],"")</f>
        <v/>
      </c>
      <c r="AG914" s="4">
        <f>IFERROR(SUMIFS(L:L,A:A,creditcard[[#This Row],[YYYYMM]],E:E,"&lt;=10")/creditcard[[#This Row],[循環信用餘額]],"")</f>
        <v/>
      </c>
      <c r="AH914" s="4">
        <f>IFERROR(SUMIFS(N:N,A:A,creditcard[[#This Row],[YYYYMM]],E:E,"&lt;=5")/creditcard[[#This Row],[當月簽帳金額]],"")</f>
        <v/>
      </c>
      <c r="AI914" s="4">
        <f>IFERROR(SUMIFS(N:N,A:A,creditcard[[#This Row],[YYYYMM]],E:E,"&lt;=10")/creditcard[[#This Row],[當月簽帳金額]],"")</f>
        <v/>
      </c>
    </row>
    <row r="915">
      <c r="A915" s="14" t="n">
        <v>202601</v>
      </c>
      <c r="B915" s="15">
        <f>LEFT(creditcard[[#This Row],[YYYYMM]],4)</f>
        <v/>
      </c>
      <c r="C915" s="15">
        <f>RIGHT(creditcard[[#This Row],[YYYYMM]],2)</f>
        <v/>
      </c>
      <c r="D915" s="15">
        <f>IF(RIGHT(creditcard[[#This Row],[YYYYMM]],2)="--","--","Q"&amp;ROUNDUP(VALUE(RIGHT(creditcard[[#This Row],[YYYYMM]],2))/3,0))</f>
        <v/>
      </c>
      <c r="E915" s="15" t="n">
        <v>1</v>
      </c>
      <c r="F915" s="155" t="inlineStr">
        <is>
          <t>中信</t>
        </is>
      </c>
      <c r="G915" s="156" t="inlineStr">
        <is>
          <t>01 中信</t>
        </is>
      </c>
      <c r="H915" s="157" t="n">
        <v>9550356</v>
      </c>
      <c r="I915" s="157" t="n">
        <v>6762185</v>
      </c>
      <c r="J915" s="157" t="n">
        <v>154390</v>
      </c>
      <c r="K915" s="157" t="n">
        <v>62151</v>
      </c>
      <c r="L915" s="157" t="n">
        <v>17827.944</v>
      </c>
      <c r="M915" s="15" t="n">
        <v>21492.206</v>
      </c>
      <c r="N915" s="157" t="n">
        <v>82496.697</v>
      </c>
      <c r="O915" s="15" t="n">
        <v>508.64</v>
      </c>
      <c r="P915" s="17" t="n">
        <v>0.0011</v>
      </c>
      <c r="Q915" s="17" t="n">
        <v>0</v>
      </c>
      <c r="R915" s="19" t="n">
        <v>2.9715</v>
      </c>
      <c r="S915" s="15" t="n">
        <v>89.911</v>
      </c>
      <c r="T915" s="15" t="n">
        <v>89.911</v>
      </c>
      <c r="U915" s="16" t="n"/>
      <c r="V915" s="158" t="n"/>
      <c r="W915" s="16" t="n"/>
      <c r="X915" s="18" t="n"/>
      <c r="Y915" s="18" t="n"/>
      <c r="Z915" s="18" t="n"/>
      <c r="AA915" s="18" t="n"/>
      <c r="AB915" s="18" t="n"/>
      <c r="AC915" s="18" t="n"/>
      <c r="AD915" s="18" t="n"/>
      <c r="AE915" s="18" t="n"/>
      <c r="AF915" s="18" t="n"/>
      <c r="AG915" s="18" t="n"/>
      <c r="AH915" s="18" t="n"/>
      <c r="AI915" s="18" t="n"/>
    </row>
    <row r="916">
      <c r="A916" s="9" t="n">
        <v>202601</v>
      </c>
      <c r="B916" s="10">
        <f>LEFT(creditcard[[#This Row],[YYYYMM]],4)</f>
        <v/>
      </c>
      <c r="C916" s="10">
        <f>RIGHT(creditcard[[#This Row],[YYYYMM]],2)</f>
        <v/>
      </c>
      <c r="D916" s="10">
        <f>IF(RIGHT(creditcard[[#This Row],[YYYYMM]],2)="--","--","Q"&amp;ROUNDUP(VALUE(RIGHT(creditcard[[#This Row],[YYYYMM]],2))/3,0))</f>
        <v/>
      </c>
      <c r="E916" s="10" t="n">
        <v>2</v>
      </c>
      <c r="F916" s="151" t="inlineStr">
        <is>
          <t>富邦</t>
        </is>
      </c>
      <c r="G916" s="152" t="inlineStr">
        <is>
          <t>02 富邦</t>
        </is>
      </c>
      <c r="H916" s="153" t="n">
        <v>7413468</v>
      </c>
      <c r="I916" s="153" t="n">
        <v>5850943</v>
      </c>
      <c r="J916" s="153" t="n">
        <v>37090</v>
      </c>
      <c r="K916" s="153" t="n">
        <v>14754</v>
      </c>
      <c r="L916" s="153" t="n">
        <v>11543.155</v>
      </c>
      <c r="M916" s="10" t="n">
        <v>33399.779</v>
      </c>
      <c r="N916" s="153" t="n">
        <v>53782.871</v>
      </c>
      <c r="O916" s="10" t="n">
        <v>105.453</v>
      </c>
      <c r="P916" s="12" t="n">
        <v>0.0018</v>
      </c>
      <c r="Q916" s="12" t="n">
        <v>0</v>
      </c>
      <c r="R916" s="20" t="n">
        <v>15.1259</v>
      </c>
      <c r="S916" s="10" t="n">
        <v>84.229</v>
      </c>
      <c r="T916" s="10" t="n">
        <v>84.229</v>
      </c>
      <c r="U916" s="11" t="n"/>
      <c r="V916" s="154" t="n"/>
      <c r="W916" s="11" t="n"/>
      <c r="X916" s="13" t="n"/>
      <c r="Y916" s="13" t="n"/>
      <c r="Z916" s="13" t="n"/>
      <c r="AA916" s="13" t="n"/>
      <c r="AB916" s="13" t="n"/>
      <c r="AC916" s="13" t="n"/>
      <c r="AD916" s="13" t="n"/>
      <c r="AE916" s="13" t="n"/>
      <c r="AF916" s="13" t="n"/>
      <c r="AG916" s="13" t="n"/>
      <c r="AH916" s="13" t="n"/>
      <c r="AI916" s="13" t="n"/>
    </row>
    <row r="917">
      <c r="A917" s="14" t="n">
        <v>202601</v>
      </c>
      <c r="B917" s="15">
        <f>LEFT(creditcard[[#This Row],[YYYYMM]],4)</f>
        <v/>
      </c>
      <c r="C917" s="15">
        <f>RIGHT(creditcard[[#This Row],[YYYYMM]],2)</f>
        <v/>
      </c>
      <c r="D917" s="15">
        <f>IF(RIGHT(creditcard[[#This Row],[YYYYMM]],2)="--","--","Q"&amp;ROUNDUP(VALUE(RIGHT(creditcard[[#This Row],[YYYYMM]],2))/3,0))</f>
        <v/>
      </c>
      <c r="E917" s="15" t="n">
        <v>3</v>
      </c>
      <c r="F917" s="155" t="inlineStr">
        <is>
          <t>國泰</t>
        </is>
      </c>
      <c r="G917" s="156" t="inlineStr">
        <is>
          <t>03 國泰</t>
        </is>
      </c>
      <c r="H917" s="157" t="n">
        <v>7361854</v>
      </c>
      <c r="I917" s="157" t="n">
        <v>5227282</v>
      </c>
      <c r="J917" s="157" t="n">
        <v>53061</v>
      </c>
      <c r="K917" s="157" t="n">
        <v>28420</v>
      </c>
      <c r="L917" s="157" t="n">
        <v>22235.768</v>
      </c>
      <c r="M917" s="15" t="n">
        <v>23865.416</v>
      </c>
      <c r="N917" s="157" t="n">
        <v>73108.93799999999</v>
      </c>
      <c r="O917" s="15" t="n">
        <v>213.611</v>
      </c>
      <c r="P917" s="17" t="n">
        <v>0.0023</v>
      </c>
      <c r="Q917" s="17" t="n">
        <v>0</v>
      </c>
      <c r="R917" s="19" t="n">
        <v>9.5349</v>
      </c>
      <c r="S917" s="15" t="n">
        <v>98.363</v>
      </c>
      <c r="T917" s="15" t="n">
        <v>98.363</v>
      </c>
      <c r="U917" s="16" t="n"/>
      <c r="V917" s="158" t="n"/>
      <c r="W917" s="16" t="n"/>
      <c r="X917" s="18" t="n"/>
      <c r="Y917" s="18" t="n"/>
      <c r="Z917" s="18" t="n"/>
      <c r="AA917" s="18" t="n"/>
      <c r="AB917" s="18" t="n"/>
      <c r="AC917" s="18" t="n"/>
      <c r="AD917" s="18" t="n"/>
      <c r="AE917" s="18" t="n"/>
      <c r="AF917" s="18" t="n"/>
      <c r="AG917" s="18" t="n"/>
      <c r="AH917" s="18" t="n"/>
      <c r="AI917" s="18" t="n"/>
    </row>
    <row r="918">
      <c r="A918" s="9" t="n">
        <v>202601</v>
      </c>
      <c r="B918" s="10">
        <f>LEFT(creditcard[[#This Row],[YYYYMM]],4)</f>
        <v/>
      </c>
      <c r="C918" s="10">
        <f>RIGHT(creditcard[[#This Row],[YYYYMM]],2)</f>
        <v/>
      </c>
      <c r="D918" s="10">
        <f>IF(RIGHT(creditcard[[#This Row],[YYYYMM]],2)="--","--","Q"&amp;ROUNDUP(VALUE(RIGHT(creditcard[[#This Row],[YYYYMM]],2))/3,0))</f>
        <v/>
      </c>
      <c r="E918" s="10" t="n">
        <v>4</v>
      </c>
      <c r="F918" s="151" t="inlineStr">
        <is>
          <t>玉山</t>
        </is>
      </c>
      <c r="G918" s="152" t="inlineStr">
        <is>
          <t>04 玉山</t>
        </is>
      </c>
      <c r="H918" s="153" t="n">
        <v>7580168</v>
      </c>
      <c r="I918" s="153" t="n">
        <v>4841229</v>
      </c>
      <c r="J918" s="153" t="n">
        <v>63242</v>
      </c>
      <c r="K918" s="153" t="n">
        <v>1231139</v>
      </c>
      <c r="L918" s="153" t="n">
        <v>18447.274</v>
      </c>
      <c r="M918" s="10" t="n">
        <v>21982.181</v>
      </c>
      <c r="N918" s="153" t="n">
        <v>51766.007</v>
      </c>
      <c r="O918" s="10" t="n">
        <v>234.459</v>
      </c>
      <c r="P918" s="12" t="n">
        <v>0.0036</v>
      </c>
      <c r="Q918" s="12" t="n">
        <v>0.0012</v>
      </c>
      <c r="R918" s="20" t="n">
        <v>3.8091</v>
      </c>
      <c r="S918" s="10" t="n">
        <v>84.324</v>
      </c>
      <c r="T918" s="10" t="n">
        <v>84.324</v>
      </c>
      <c r="U918" s="11" t="n"/>
      <c r="V918" s="154" t="n"/>
      <c r="W918" s="11" t="n"/>
      <c r="X918" s="13" t="n"/>
      <c r="Y918" s="13" t="n"/>
      <c r="Z918" s="13" t="n"/>
      <c r="AA918" s="13" t="n"/>
      <c r="AB918" s="13" t="n"/>
      <c r="AC918" s="13" t="n"/>
      <c r="AD918" s="13" t="n"/>
      <c r="AE918" s="13" t="n"/>
      <c r="AF918" s="13" t="n"/>
      <c r="AG918" s="13" t="n"/>
      <c r="AH918" s="13" t="n"/>
      <c r="AI918" s="13" t="n"/>
    </row>
    <row r="919">
      <c r="A919" s="14" t="n">
        <v>202601</v>
      </c>
      <c r="B919" s="15">
        <f>LEFT(creditcard[[#This Row],[YYYYMM]],4)</f>
        <v/>
      </c>
      <c r="C919" s="15">
        <f>RIGHT(creditcard[[#This Row],[YYYYMM]],2)</f>
        <v/>
      </c>
      <c r="D919" s="15">
        <f>IF(RIGHT(creditcard[[#This Row],[YYYYMM]],2)="--","--","Q"&amp;ROUNDUP(VALUE(RIGHT(creditcard[[#This Row],[YYYYMM]],2))/3,0))</f>
        <v/>
      </c>
      <c r="E919" s="15" t="n">
        <v>5</v>
      </c>
      <c r="F919" s="155" t="inlineStr">
        <is>
          <t>台新</t>
        </is>
      </c>
      <c r="G919" s="156" t="inlineStr">
        <is>
          <t>05 台新</t>
        </is>
      </c>
      <c r="H919" s="157" t="n">
        <v>6644173</v>
      </c>
      <c r="I919" s="157" t="n">
        <v>4838948</v>
      </c>
      <c r="J919" s="157" t="n">
        <v>51727</v>
      </c>
      <c r="K919" s="157" t="n">
        <v>40503</v>
      </c>
      <c r="L919" s="157" t="n">
        <v>11358.271</v>
      </c>
      <c r="M919" s="15" t="n">
        <v>20543.17</v>
      </c>
      <c r="N919" s="157" t="n">
        <v>47415.189</v>
      </c>
      <c r="O919" s="15" t="n">
        <v>110.813</v>
      </c>
      <c r="P919" s="17" t="n">
        <v>0.002</v>
      </c>
      <c r="Q919" s="17" t="n">
        <v>0.0002</v>
      </c>
      <c r="R919" s="19" t="n">
        <v>6.6085</v>
      </c>
      <c r="S919" s="15" t="n">
        <v>43.997</v>
      </c>
      <c r="T919" s="15" t="n">
        <v>43.997</v>
      </c>
      <c r="U919" s="16" t="n"/>
      <c r="V919" s="158" t="n"/>
      <c r="W919" s="16" t="n"/>
      <c r="X919" s="18" t="n"/>
      <c r="Y919" s="18" t="n"/>
      <c r="Z919" s="18" t="n"/>
      <c r="AA919" s="18" t="n"/>
      <c r="AB919" s="18" t="n"/>
      <c r="AC919" s="18" t="n"/>
      <c r="AD919" s="18" t="n"/>
      <c r="AE919" s="18" t="n"/>
      <c r="AF919" s="18" t="n"/>
      <c r="AG919" s="18" t="n"/>
      <c r="AH919" s="18" t="n"/>
      <c r="AI919" s="18" t="n"/>
    </row>
    <row r="920">
      <c r="A920" s="9" t="n">
        <v>202601</v>
      </c>
      <c r="B920" s="10">
        <f>LEFT(creditcard[[#This Row],[YYYYMM]],4)</f>
        <v/>
      </c>
      <c r="C920" s="10">
        <f>RIGHT(creditcard[[#This Row],[YYYYMM]],2)</f>
        <v/>
      </c>
      <c r="D920" s="10">
        <f>IF(RIGHT(creditcard[[#This Row],[YYYYMM]],2)="--","--","Q"&amp;ROUNDUP(VALUE(RIGHT(creditcard[[#This Row],[YYYYMM]],2))/3,0))</f>
        <v/>
      </c>
      <c r="E920" s="10" t="n">
        <v>6</v>
      </c>
      <c r="F920" s="151" t="inlineStr">
        <is>
          <t>星展</t>
        </is>
      </c>
      <c r="G920" s="152" t="inlineStr">
        <is>
          <t>06 星展</t>
        </is>
      </c>
      <c r="H920" s="153" t="n">
        <v>3330717</v>
      </c>
      <c r="I920" s="153" t="n">
        <v>2090994</v>
      </c>
      <c r="J920" s="153" t="n">
        <v>13076</v>
      </c>
      <c r="K920" s="153" t="n">
        <v>16430</v>
      </c>
      <c r="L920" s="153" t="n">
        <v>8910.111000000001</v>
      </c>
      <c r="M920" s="10" t="n">
        <v>16423.853</v>
      </c>
      <c r="N920" s="153" t="n">
        <v>22243.921</v>
      </c>
      <c r="O920" s="10" t="n">
        <v>131.111</v>
      </c>
      <c r="P920" s="12" t="n">
        <v>0.0051</v>
      </c>
      <c r="Q920" s="12" t="n">
        <v>0.0002</v>
      </c>
      <c r="R920" s="20" t="n">
        <v>4.995</v>
      </c>
      <c r="S920" s="10" t="n">
        <v>51.379</v>
      </c>
      <c r="T920" s="10" t="n">
        <v>51.379</v>
      </c>
      <c r="U920" s="11" t="n"/>
      <c r="V920" s="154" t="n"/>
      <c r="W920" s="11" t="n"/>
      <c r="X920" s="13" t="n"/>
      <c r="Y920" s="13" t="n"/>
      <c r="Z920" s="13" t="n"/>
      <c r="AA920" s="13" t="n"/>
      <c r="AB920" s="13" t="n"/>
      <c r="AC920" s="13" t="n"/>
      <c r="AD920" s="13" t="n"/>
      <c r="AE920" s="13" t="n"/>
      <c r="AF920" s="13" t="n"/>
      <c r="AG920" s="13" t="n"/>
      <c r="AH920" s="13" t="n"/>
      <c r="AI920" s="13" t="n"/>
    </row>
    <row r="921">
      <c r="A921" s="14" t="n">
        <v>202601</v>
      </c>
      <c r="B921" s="15">
        <f>LEFT(creditcard[[#This Row],[YYYYMM]],4)</f>
        <v/>
      </c>
      <c r="C921" s="15">
        <f>RIGHT(creditcard[[#This Row],[YYYYMM]],2)</f>
        <v/>
      </c>
      <c r="D921" s="15">
        <f>IF(RIGHT(creditcard[[#This Row],[YYYYMM]],2)="--","--","Q"&amp;ROUNDUP(VALUE(RIGHT(creditcard[[#This Row],[YYYYMM]],2))/3,0))</f>
        <v/>
      </c>
      <c r="E921" s="15" t="n">
        <v>7</v>
      </c>
      <c r="F921" s="155" t="inlineStr">
        <is>
          <t>聯邦</t>
        </is>
      </c>
      <c r="G921" s="156" t="inlineStr">
        <is>
          <t>07 聯邦</t>
        </is>
      </c>
      <c r="H921" s="157" t="n">
        <v>2738614</v>
      </c>
      <c r="I921" s="157" t="n">
        <v>1854462</v>
      </c>
      <c r="J921" s="157" t="n">
        <v>28093</v>
      </c>
      <c r="K921" s="157" t="n">
        <v>21259</v>
      </c>
      <c r="L921" s="157" t="n">
        <v>6625</v>
      </c>
      <c r="M921" s="15" t="n">
        <v>8114.685</v>
      </c>
      <c r="N921" s="157" t="n">
        <v>14788.006</v>
      </c>
      <c r="O921" s="15" t="n">
        <v>34.973</v>
      </c>
      <c r="P921" s="17" t="n">
        <v>0.0017</v>
      </c>
      <c r="Q921" s="17" t="n">
        <v>0</v>
      </c>
      <c r="R921" s="19" t="n">
        <v>2.8392</v>
      </c>
      <c r="S921" s="15" t="n">
        <v>24.692</v>
      </c>
      <c r="T921" s="15" t="n">
        <v>24.692</v>
      </c>
      <c r="U921" s="16" t="n"/>
      <c r="V921" s="158" t="n"/>
      <c r="W921" s="16" t="n"/>
      <c r="X921" s="18" t="n"/>
      <c r="Y921" s="18" t="n"/>
      <c r="Z921" s="18" t="n"/>
      <c r="AA921" s="18" t="n"/>
      <c r="AB921" s="18" t="n"/>
      <c r="AC921" s="18" t="n"/>
      <c r="AD921" s="18" t="n"/>
      <c r="AE921" s="18" t="n"/>
      <c r="AF921" s="18" t="n"/>
      <c r="AG921" s="18" t="n"/>
      <c r="AH921" s="18" t="n"/>
      <c r="AI921" s="18" t="n"/>
    </row>
    <row r="922">
      <c r="A922" s="9" t="n">
        <v>202601</v>
      </c>
      <c r="B922" s="10">
        <f>LEFT(creditcard[[#This Row],[YYYYMM]],4)</f>
        <v/>
      </c>
      <c r="C922" s="10">
        <f>RIGHT(creditcard[[#This Row],[YYYYMM]],2)</f>
        <v/>
      </c>
      <c r="D922" s="10">
        <f>IF(RIGHT(creditcard[[#This Row],[YYYYMM]],2)="--","--","Q"&amp;ROUNDUP(VALUE(RIGHT(creditcard[[#This Row],[YYYYMM]],2))/3,0))</f>
        <v/>
      </c>
      <c r="E922" s="10" t="n">
        <v>8</v>
      </c>
      <c r="F922" s="151" t="inlineStr">
        <is>
          <t>永豐</t>
        </is>
      </c>
      <c r="G922" s="152" t="inlineStr">
        <is>
          <t>08 永豐</t>
        </is>
      </c>
      <c r="H922" s="153" t="n">
        <v>2499751</v>
      </c>
      <c r="I922" s="153" t="n">
        <v>1534910</v>
      </c>
      <c r="J922" s="153" t="n">
        <v>29782</v>
      </c>
      <c r="K922" s="153" t="n">
        <v>8177</v>
      </c>
      <c r="L922" s="153" t="n">
        <v>3910.39</v>
      </c>
      <c r="M922" s="10" t="n">
        <v>5400.326</v>
      </c>
      <c r="N922" s="153" t="n">
        <v>15115.528</v>
      </c>
      <c r="O922" s="10" t="n">
        <v>59.843</v>
      </c>
      <c r="P922" s="12" t="n">
        <v>0.0015</v>
      </c>
      <c r="Q922" s="12" t="n">
        <v>0</v>
      </c>
      <c r="R922" s="20" t="n">
        <v>5.4022</v>
      </c>
      <c r="S922" s="10" t="n">
        <v>15.951</v>
      </c>
      <c r="T922" s="10" t="n">
        <v>15.951</v>
      </c>
      <c r="U922" s="11" t="n"/>
      <c r="V922" s="154" t="n"/>
      <c r="W922" s="11" t="n"/>
      <c r="X922" s="13" t="n"/>
      <c r="Y922" s="13" t="n"/>
      <c r="Z922" s="13" t="n"/>
      <c r="AA922" s="13" t="n"/>
      <c r="AB922" s="13" t="n"/>
      <c r="AC922" s="13" t="n"/>
      <c r="AD922" s="13" t="n"/>
      <c r="AE922" s="13" t="n"/>
      <c r="AF922" s="13" t="n"/>
      <c r="AG922" s="13" t="n"/>
      <c r="AH922" s="13" t="n"/>
      <c r="AI922" s="13" t="n"/>
    </row>
    <row r="923">
      <c r="A923" s="14" t="n">
        <v>202601</v>
      </c>
      <c r="B923" s="15">
        <f>LEFT(creditcard[[#This Row],[YYYYMM]],4)</f>
        <v/>
      </c>
      <c r="C923" s="15">
        <f>RIGHT(creditcard[[#This Row],[YYYYMM]],2)</f>
        <v/>
      </c>
      <c r="D923" s="15">
        <f>IF(RIGHT(creditcard[[#This Row],[YYYYMM]],2)="--","--","Q"&amp;ROUNDUP(VALUE(RIGHT(creditcard[[#This Row],[YYYYMM]],2))/3,0))</f>
        <v/>
      </c>
      <c r="E923" s="15" t="n">
        <v>9</v>
      </c>
      <c r="F923" s="155" t="inlineStr">
        <is>
          <t>第一</t>
        </is>
      </c>
      <c r="G923" s="156" t="inlineStr">
        <is>
          <t>09 第一</t>
        </is>
      </c>
      <c r="H923" s="157" t="n">
        <v>1536932</v>
      </c>
      <c r="I923" s="157" t="n">
        <v>949239</v>
      </c>
      <c r="J923" s="157" t="n">
        <v>13875</v>
      </c>
      <c r="K923" s="157" t="n">
        <v>8597</v>
      </c>
      <c r="L923" s="157" t="n">
        <v>1293.339</v>
      </c>
      <c r="M923" s="15" t="n">
        <v>1758.291</v>
      </c>
      <c r="N923" s="157" t="n">
        <v>7017.204</v>
      </c>
      <c r="O923" s="15" t="n">
        <v>5.141</v>
      </c>
      <c r="P923" s="17" t="n">
        <v>0.0014</v>
      </c>
      <c r="Q923" s="17" t="n">
        <v>0</v>
      </c>
      <c r="R923" s="19" t="n">
        <v>11.8388</v>
      </c>
      <c r="S923" s="15" t="n">
        <v>7.12</v>
      </c>
      <c r="T923" s="15" t="n">
        <v>7.12</v>
      </c>
      <c r="U923" s="16" t="n"/>
      <c r="V923" s="158" t="n"/>
      <c r="W923" s="16" t="n"/>
      <c r="X923" s="18" t="n"/>
      <c r="Y923" s="18" t="n"/>
      <c r="Z923" s="18" t="n"/>
      <c r="AA923" s="18" t="n"/>
      <c r="AB923" s="18" t="n"/>
      <c r="AC923" s="18" t="n"/>
      <c r="AD923" s="18" t="n"/>
      <c r="AE923" s="18" t="n"/>
      <c r="AF923" s="18" t="n"/>
      <c r="AG923" s="18" t="n"/>
      <c r="AH923" s="18" t="n"/>
      <c r="AI923" s="18" t="n"/>
    </row>
    <row r="924">
      <c r="A924" s="9" t="n">
        <v>202601</v>
      </c>
      <c r="B924" s="10">
        <f>LEFT(creditcard[[#This Row],[YYYYMM]],4)</f>
        <v/>
      </c>
      <c r="C924" s="10">
        <f>RIGHT(creditcard[[#This Row],[YYYYMM]],2)</f>
        <v/>
      </c>
      <c r="D924" s="10">
        <f>IF(RIGHT(creditcard[[#This Row],[YYYYMM]],2)="--","--","Q"&amp;ROUNDUP(VALUE(RIGHT(creditcard[[#This Row],[YYYYMM]],2))/3,0))</f>
        <v/>
      </c>
      <c r="E924" s="10" t="n">
        <v>10</v>
      </c>
      <c r="F924" s="151" t="inlineStr">
        <is>
          <t>遠東</t>
        </is>
      </c>
      <c r="G924" s="152" t="inlineStr">
        <is>
          <t>10 遠東</t>
        </is>
      </c>
      <c r="H924" s="153" t="n">
        <v>1287861</v>
      </c>
      <c r="I924" s="153" t="n">
        <v>905892</v>
      </c>
      <c r="J924" s="153" t="n">
        <v>5554</v>
      </c>
      <c r="K924" s="153" t="n">
        <v>7785</v>
      </c>
      <c r="L924" s="153" t="n">
        <v>3190.494</v>
      </c>
      <c r="M924" s="10" t="n">
        <v>3859.824</v>
      </c>
      <c r="N924" s="153" t="n">
        <v>4210.358</v>
      </c>
      <c r="O924" s="10" t="n">
        <v>75.931</v>
      </c>
      <c r="P924" s="12" t="n">
        <v>0.0025</v>
      </c>
      <c r="Q924" s="12" t="n">
        <v>0.0002</v>
      </c>
      <c r="R924" s="20" t="n">
        <v>1.0307</v>
      </c>
      <c r="S924" s="10" t="n">
        <v>10.923</v>
      </c>
      <c r="T924" s="10" t="n">
        <v>10.923</v>
      </c>
      <c r="U924" s="11" t="n"/>
      <c r="V924" s="154" t="n"/>
      <c r="W924" s="11" t="n"/>
      <c r="X924" s="13" t="n"/>
      <c r="Y924" s="13" t="n"/>
      <c r="Z924" s="13" t="n"/>
      <c r="AA924" s="13" t="n"/>
      <c r="AB924" s="13" t="n"/>
      <c r="AC924" s="13" t="n"/>
      <c r="AD924" s="13" t="n"/>
      <c r="AE924" s="13" t="n"/>
      <c r="AF924" s="13" t="n"/>
      <c r="AG924" s="13" t="n"/>
      <c r="AH924" s="13" t="n"/>
      <c r="AI924" s="13" t="n"/>
    </row>
    <row r="925">
      <c r="A925" s="14" t="n">
        <v>202601</v>
      </c>
      <c r="B925" s="15">
        <f>LEFT(creditcard[[#This Row],[YYYYMM]],4)</f>
        <v/>
      </c>
      <c r="C925" s="15">
        <f>RIGHT(creditcard[[#This Row],[YYYYMM]],2)</f>
        <v/>
      </c>
      <c r="D925" s="15">
        <f>IF(RIGHT(creditcard[[#This Row],[YYYYMM]],2)="--","--","Q"&amp;ROUNDUP(VALUE(RIGHT(creditcard[[#This Row],[YYYYMM]],2))/3,0))</f>
        <v/>
      </c>
      <c r="E925" s="15" t="n">
        <v>11</v>
      </c>
      <c r="F925" s="155" t="inlineStr">
        <is>
          <t>市場總計</t>
        </is>
      </c>
      <c r="G925" s="156" t="inlineStr">
        <is>
          <t>11 市場總計</t>
        </is>
      </c>
      <c r="H925" s="157" t="n">
        <v>59495037</v>
      </c>
      <c r="I925" s="157" t="n">
        <v>40105578</v>
      </c>
      <c r="J925" s="157" t="n">
        <v>504047</v>
      </c>
      <c r="K925" s="157" t="n">
        <v>1523601</v>
      </c>
      <c r="L925" s="157" t="n">
        <v>119276.954</v>
      </c>
      <c r="M925" s="160" t="n">
        <v>181277.832</v>
      </c>
      <c r="N925" s="157" t="n">
        <v>428061.716</v>
      </c>
      <c r="O925" s="160" t="n">
        <v>1550.496</v>
      </c>
      <c r="P925" s="17" t="n">
        <v>0.002365648120721414</v>
      </c>
      <c r="Q925" s="17" t="n">
        <v>0.0002935238431590944</v>
      </c>
      <c r="R925" s="19" t="n">
        <v>4.989711835467696</v>
      </c>
      <c r="S925" s="160" t="n">
        <v>581.684</v>
      </c>
      <c r="T925" s="160" t="n">
        <v>581.684</v>
      </c>
      <c r="U925" s="16" t="n"/>
      <c r="V925" s="158" t="n">
        <v>4.56</v>
      </c>
      <c r="W925" s="16">
        <f>SUMIFS(H:H,A:A,creditcard[[#This Row],[YYYYMM]],G:G,creditcard[[#This Row],[Item]])</f>
        <v/>
      </c>
      <c r="X925" s="4">
        <f>IFERROR(SUMIFS(H:H,A:A,creditcard[[#This Row],[YYYYMM]],E:E,"&lt;=5")/creditcard[[#This Row],[市場總計]],"")</f>
        <v/>
      </c>
      <c r="Y925" s="4">
        <f>IFERROR(SUMIFS(H:H,A:A,creditcard[[#This Row],[YYYYMM]],E:E,"&lt;=10")/creditcard[[#This Row],[市場總計]],"")</f>
        <v/>
      </c>
      <c r="Z925" s="4">
        <f>IFERROR(SUMIFS(I:I,A:A,creditcard[[#This Row],[YYYYMM]],E:E,"&lt;=5")/creditcard[[#This Row],[有效卡數]],"")</f>
        <v/>
      </c>
      <c r="AA925" s="4">
        <f>IFERROR(SUMIFS(I:I,A:A,creditcard[[#This Row],[YYYYMM]],E:E,"&lt;=10")/creditcard[[#This Row],[有效卡數]],"")</f>
        <v/>
      </c>
      <c r="AB925" s="4">
        <f>IFERROR(SUMIFS(J:J,A:A,creditcard[[#This Row],[YYYYMM]],E:E,"&lt;=5")/creditcard[[#This Row],[當月發卡數]],"")</f>
        <v/>
      </c>
      <c r="AC925" s="4">
        <f>IFERROR(SUMIFS(J:J,A:A,creditcard[[#This Row],[YYYYMM]],E:E,"&lt;=10")/creditcard[[#This Row],[當月發卡數]],"")</f>
        <v/>
      </c>
      <c r="AD925" s="4">
        <f>IFERROR(SUMIFS(K:K,A:A,creditcard[[#This Row],[YYYYMM]],E:E,"&lt;=5")/creditcard[[#This Row],[當月停卡數]],"")</f>
        <v/>
      </c>
      <c r="AE925" s="4">
        <f>IFERROR(SUMIFS(K:K,A:A,creditcard[[#This Row],[YYYYMM]],E:E,"&lt;=10")/creditcard[[#This Row],[當月停卡數]],"")</f>
        <v/>
      </c>
      <c r="AF925" s="4">
        <f>IFERROR(SUMIFS(L:L,A:A,creditcard[[#This Row],[YYYYMM]],E:E,"&lt;=5")/creditcard[[#This Row],[循環信用餘額]],"")</f>
        <v/>
      </c>
      <c r="AG925" s="4">
        <f>IFERROR(SUMIFS(L:L,A:A,creditcard[[#This Row],[YYYYMM]],E:E,"&lt;=10")/creditcard[[#This Row],[循環信用餘額]],"")</f>
        <v/>
      </c>
      <c r="AH925" s="4">
        <f>IFERROR(SUMIFS(N:N,A:A,creditcard[[#This Row],[YYYYMM]],E:E,"&lt;=5")/creditcard[[#This Row],[當月簽帳金額]],"")</f>
        <v/>
      </c>
      <c r="AI925" s="4">
        <f>IFERROR(SUMIFS(N:N,A:A,creditcard[[#This Row],[YYYYMM]],E:E,"&lt;=10")/creditcard[[#This Row],[當月簽帳金額]],"")</f>
        <v/>
      </c>
    </row>
    <row r="926">
      <c r="A926" s="9" t="n">
        <v>202602</v>
      </c>
      <c r="B926" s="10">
        <f>LEFT(creditcard[[#This Row],[YYYYMM]],4)</f>
        <v/>
      </c>
      <c r="C926" s="10">
        <f>RIGHT(creditcard[[#This Row],[YYYYMM]],2)</f>
        <v/>
      </c>
      <c r="D926" s="10">
        <f>IF(RIGHT(creditcard[[#This Row],[YYYYMM]],2)="--","--","Q"&amp;ROUNDUP(VALUE(RIGHT(creditcard[[#This Row],[YYYYMM]],2))/3,0))</f>
        <v/>
      </c>
      <c r="E926" s="10" t="n">
        <v>1</v>
      </c>
      <c r="F926" s="151" t="inlineStr">
        <is>
          <t>中信</t>
        </is>
      </c>
      <c r="G926" s="152" t="inlineStr">
        <is>
          <t>01 中信</t>
        </is>
      </c>
      <c r="H926" s="153" t="n">
        <v>9581320</v>
      </c>
      <c r="I926" s="153" t="n">
        <v>6797018</v>
      </c>
      <c r="J926" s="153" t="n">
        <v>94749</v>
      </c>
      <c r="K926" s="153" t="n">
        <v>63785</v>
      </c>
      <c r="L926" s="153" t="n">
        <v>17780.55</v>
      </c>
      <c r="M926" s="10" t="n">
        <v>20916.957</v>
      </c>
      <c r="N926" s="153" t="n">
        <v>71834.03200000001</v>
      </c>
      <c r="O926" s="10" t="n">
        <v>359.893</v>
      </c>
      <c r="P926" s="12" t="n">
        <v>0.0011</v>
      </c>
      <c r="Q926" s="12" t="n">
        <v>0</v>
      </c>
      <c r="R926" s="20" t="n">
        <v>3.0952</v>
      </c>
      <c r="S926" s="10" t="n">
        <v>85.075</v>
      </c>
      <c r="T926" s="10" t="n">
        <v>174.986</v>
      </c>
      <c r="U926" s="11" t="n"/>
      <c r="V926" s="154" t="n"/>
      <c r="W926" s="11" t="n"/>
      <c r="X926" s="13" t="n"/>
      <c r="Y926" s="13" t="n"/>
      <c r="Z926" s="13" t="n"/>
      <c r="AA926" s="13" t="n"/>
      <c r="AB926" s="13" t="n"/>
      <c r="AC926" s="13" t="n"/>
      <c r="AD926" s="13" t="n"/>
      <c r="AE926" s="13" t="n"/>
      <c r="AF926" s="13" t="n"/>
      <c r="AG926" s="13" t="n"/>
      <c r="AH926" s="13" t="n"/>
      <c r="AI926" s="13" t="n"/>
    </row>
    <row r="927">
      <c r="A927" s="14" t="n">
        <v>202602</v>
      </c>
      <c r="B927" s="15">
        <f>LEFT(creditcard[[#This Row],[YYYYMM]],4)</f>
        <v/>
      </c>
      <c r="C927" s="15">
        <f>RIGHT(creditcard[[#This Row],[YYYYMM]],2)</f>
        <v/>
      </c>
      <c r="D927" s="15">
        <f>IF(RIGHT(creditcard[[#This Row],[YYYYMM]],2)="--","--","Q"&amp;ROUNDUP(VALUE(RIGHT(creditcard[[#This Row],[YYYYMM]],2))/3,0))</f>
        <v/>
      </c>
      <c r="E927" s="15" t="n">
        <v>2</v>
      </c>
      <c r="F927" s="155" t="inlineStr">
        <is>
          <t>富邦</t>
        </is>
      </c>
      <c r="G927" s="156" t="inlineStr">
        <is>
          <t>02 富邦</t>
        </is>
      </c>
      <c r="H927" s="157" t="n">
        <v>7430543</v>
      </c>
      <c r="I927" s="157" t="n">
        <v>5847762</v>
      </c>
      <c r="J927" s="157" t="n">
        <v>26727</v>
      </c>
      <c r="K927" s="157" t="n">
        <v>9652</v>
      </c>
      <c r="L927" s="157" t="n">
        <v>11407.694</v>
      </c>
      <c r="M927" s="15" t="n">
        <v>32065.063</v>
      </c>
      <c r="N927" s="157" t="n">
        <v>45813.232</v>
      </c>
      <c r="O927" s="15" t="n">
        <v>64.5</v>
      </c>
      <c r="P927" s="17" t="n">
        <v>0.0017</v>
      </c>
      <c r="Q927" s="17" t="n">
        <v>0</v>
      </c>
      <c r="R927" s="19" t="n">
        <v>16.3992</v>
      </c>
      <c r="S927" s="15" t="n">
        <v>86.169</v>
      </c>
      <c r="T927" s="15" t="n">
        <v>170.398</v>
      </c>
      <c r="U927" s="16" t="n"/>
      <c r="V927" s="158" t="n"/>
      <c r="W927" s="16" t="n"/>
      <c r="X927" s="18" t="n"/>
      <c r="Y927" s="18" t="n"/>
      <c r="Z927" s="18" t="n"/>
      <c r="AA927" s="18" t="n"/>
      <c r="AB927" s="18" t="n"/>
      <c r="AC927" s="18" t="n"/>
      <c r="AD927" s="18" t="n"/>
      <c r="AE927" s="18" t="n"/>
      <c r="AF927" s="18" t="n"/>
      <c r="AG927" s="18" t="n"/>
      <c r="AH927" s="18" t="n"/>
      <c r="AI927" s="18" t="n"/>
    </row>
    <row r="928">
      <c r="A928" s="9" t="n">
        <v>202602</v>
      </c>
      <c r="B928" s="10">
        <f>LEFT(creditcard[[#This Row],[YYYYMM]],4)</f>
        <v/>
      </c>
      <c r="C928" s="10">
        <f>RIGHT(creditcard[[#This Row],[YYYYMM]],2)</f>
        <v/>
      </c>
      <c r="D928" s="10">
        <f>IF(RIGHT(creditcard[[#This Row],[YYYYMM]],2)="--","--","Q"&amp;ROUNDUP(VALUE(RIGHT(creditcard[[#This Row],[YYYYMM]],2))/3,0))</f>
        <v/>
      </c>
      <c r="E928" s="10" t="n">
        <v>3</v>
      </c>
      <c r="F928" s="151" t="inlineStr">
        <is>
          <t>國泰</t>
        </is>
      </c>
      <c r="G928" s="152" t="inlineStr">
        <is>
          <t>03 國泰</t>
        </is>
      </c>
      <c r="H928" s="153" t="n">
        <v>7377610</v>
      </c>
      <c r="I928" s="153" t="n">
        <v>5243241</v>
      </c>
      <c r="J928" s="153" t="n">
        <v>34466</v>
      </c>
      <c r="K928" s="153" t="n">
        <v>18711</v>
      </c>
      <c r="L928" s="153" t="n">
        <v>21095.115</v>
      </c>
      <c r="M928" s="10" t="n">
        <v>22999.326</v>
      </c>
      <c r="N928" s="153" t="n">
        <v>63969.888</v>
      </c>
      <c r="O928" s="10" t="n">
        <v>147.666</v>
      </c>
      <c r="P928" s="12" t="n">
        <v>0.0021</v>
      </c>
      <c r="Q928" s="12" t="n">
        <v>0</v>
      </c>
      <c r="R928" s="20" t="n">
        <v>9.782299999999999</v>
      </c>
      <c r="S928" s="10" t="n">
        <v>98.07899999999999</v>
      </c>
      <c r="T928" s="10" t="n">
        <v>196.442</v>
      </c>
      <c r="U928" s="11" t="n"/>
      <c r="V928" s="154" t="n"/>
      <c r="W928" s="11" t="n"/>
      <c r="X928" s="13" t="n"/>
      <c r="Y928" s="13" t="n"/>
      <c r="Z928" s="13" t="n"/>
      <c r="AA928" s="13" t="n"/>
      <c r="AB928" s="13" t="n"/>
      <c r="AC928" s="13" t="n"/>
      <c r="AD928" s="13" t="n"/>
      <c r="AE928" s="13" t="n"/>
      <c r="AF928" s="13" t="n"/>
      <c r="AG928" s="13" t="n"/>
      <c r="AH928" s="13" t="n"/>
      <c r="AI928" s="13" t="n"/>
    </row>
    <row r="929">
      <c r="A929" s="14" t="n">
        <v>202602</v>
      </c>
      <c r="B929" s="15">
        <f>LEFT(creditcard[[#This Row],[YYYYMM]],4)</f>
        <v/>
      </c>
      <c r="C929" s="15">
        <f>RIGHT(creditcard[[#This Row],[YYYYMM]],2)</f>
        <v/>
      </c>
      <c r="D929" s="15">
        <f>IF(RIGHT(creditcard[[#This Row],[YYYYMM]],2)="--","--","Q"&amp;ROUNDUP(VALUE(RIGHT(creditcard[[#This Row],[YYYYMM]],2))/3,0))</f>
        <v/>
      </c>
      <c r="E929" s="15" t="n">
        <v>4</v>
      </c>
      <c r="F929" s="155" t="inlineStr">
        <is>
          <t>玉山</t>
        </is>
      </c>
      <c r="G929" s="156" t="inlineStr">
        <is>
          <t>04 玉山</t>
        </is>
      </c>
      <c r="H929" s="157" t="n">
        <v>7565429</v>
      </c>
      <c r="I929" s="157" t="n">
        <v>4837463</v>
      </c>
      <c r="J929" s="157" t="n">
        <v>40826</v>
      </c>
      <c r="K929" s="157" t="n">
        <v>55565</v>
      </c>
      <c r="L929" s="157" t="n">
        <v>16440.268</v>
      </c>
      <c r="M929" s="15" t="n">
        <v>21332.146</v>
      </c>
      <c r="N929" s="157" t="n">
        <v>45452.82</v>
      </c>
      <c r="O929" s="15" t="n">
        <v>166.757</v>
      </c>
      <c r="P929" s="17" t="n">
        <v>0.003</v>
      </c>
      <c r="Q929" s="17" t="n">
        <v>0.0008</v>
      </c>
      <c r="R929" s="19" t="n">
        <v>4.273</v>
      </c>
      <c r="S929" s="15" t="n">
        <v>83.795</v>
      </c>
      <c r="T929" s="15" t="n">
        <v>168.119</v>
      </c>
      <c r="U929" s="16" t="n"/>
      <c r="V929" s="158" t="n"/>
      <c r="W929" s="16" t="n"/>
      <c r="X929" s="18" t="n"/>
      <c r="Y929" s="18" t="n"/>
      <c r="Z929" s="18" t="n"/>
      <c r="AA929" s="18" t="n"/>
      <c r="AB929" s="18" t="n"/>
      <c r="AC929" s="18" t="n"/>
      <c r="AD929" s="18" t="n"/>
      <c r="AE929" s="18" t="n"/>
      <c r="AF929" s="18" t="n"/>
      <c r="AG929" s="18" t="n"/>
      <c r="AH929" s="18" t="n"/>
      <c r="AI929" s="18" t="n"/>
    </row>
    <row r="930">
      <c r="A930" s="9" t="n">
        <v>202602</v>
      </c>
      <c r="B930" s="10">
        <f>LEFT(creditcard[[#This Row],[YYYYMM]],4)</f>
        <v/>
      </c>
      <c r="C930" s="10">
        <f>RIGHT(creditcard[[#This Row],[YYYYMM]],2)</f>
        <v/>
      </c>
      <c r="D930" s="10">
        <f>IF(RIGHT(creditcard[[#This Row],[YYYYMM]],2)="--","--","Q"&amp;ROUNDUP(VALUE(RIGHT(creditcard[[#This Row],[YYYYMM]],2))/3,0))</f>
        <v/>
      </c>
      <c r="E930" s="10" t="n">
        <v>5</v>
      </c>
      <c r="F930" s="151" t="inlineStr">
        <is>
          <t>台新</t>
        </is>
      </c>
      <c r="G930" s="152" t="inlineStr">
        <is>
          <t>05 台新</t>
        </is>
      </c>
      <c r="H930" s="153" t="n">
        <v>6647405</v>
      </c>
      <c r="I930" s="153" t="n">
        <v>4805993</v>
      </c>
      <c r="J930" s="153" t="n">
        <v>34357</v>
      </c>
      <c r="K930" s="153" t="n">
        <v>31125</v>
      </c>
      <c r="L930" s="153" t="n">
        <v>11327.25</v>
      </c>
      <c r="M930" s="10" t="n">
        <v>19966.427</v>
      </c>
      <c r="N930" s="153" t="n">
        <v>40723.866</v>
      </c>
      <c r="O930" s="10" t="n">
        <v>87.23099999999999</v>
      </c>
      <c r="P930" s="12" t="n">
        <v>0.0019</v>
      </c>
      <c r="Q930" s="12" t="n">
        <v>0.0001</v>
      </c>
      <c r="R930" s="20" t="n">
        <v>7.2147</v>
      </c>
      <c r="S930" s="10" t="n">
        <v>35.738</v>
      </c>
      <c r="T930" s="10" t="n">
        <v>79.735</v>
      </c>
      <c r="U930" s="11" t="n"/>
      <c r="V930" s="154" t="n"/>
      <c r="W930" s="11" t="n"/>
      <c r="X930" s="13" t="n"/>
      <c r="Y930" s="13" t="n"/>
      <c r="Z930" s="13" t="n"/>
      <c r="AA930" s="13" t="n"/>
      <c r="AB930" s="13" t="n"/>
      <c r="AC930" s="13" t="n"/>
      <c r="AD930" s="13" t="n"/>
      <c r="AE930" s="13" t="n"/>
      <c r="AF930" s="13" t="n"/>
      <c r="AG930" s="13" t="n"/>
      <c r="AH930" s="13" t="n"/>
      <c r="AI930" s="13" t="n"/>
    </row>
    <row r="931">
      <c r="A931" s="14" t="n">
        <v>202602</v>
      </c>
      <c r="B931" s="15">
        <f>LEFT(creditcard[[#This Row],[YYYYMM]],4)</f>
        <v/>
      </c>
      <c r="C931" s="15">
        <f>RIGHT(creditcard[[#This Row],[YYYYMM]],2)</f>
        <v/>
      </c>
      <c r="D931" s="15">
        <f>IF(RIGHT(creditcard[[#This Row],[YYYYMM]],2)="--","--","Q"&amp;ROUNDUP(VALUE(RIGHT(creditcard[[#This Row],[YYYYMM]],2))/3,0))</f>
        <v/>
      </c>
      <c r="E931" s="15" t="n">
        <v>6</v>
      </c>
      <c r="F931" s="155" t="inlineStr">
        <is>
          <t>星展</t>
        </is>
      </c>
      <c r="G931" s="156" t="inlineStr">
        <is>
          <t>06 星展</t>
        </is>
      </c>
      <c r="H931" s="157" t="n">
        <v>3331190</v>
      </c>
      <c r="I931" s="157" t="n">
        <v>2075177</v>
      </c>
      <c r="J931" s="157" t="n">
        <v>5793</v>
      </c>
      <c r="K931" s="157" t="n">
        <v>12902</v>
      </c>
      <c r="L931" s="157" t="n">
        <v>9064.239</v>
      </c>
      <c r="M931" s="15" t="n">
        <v>15470.384</v>
      </c>
      <c r="N931" s="157" t="n">
        <v>19357.675</v>
      </c>
      <c r="O931" s="15" t="n">
        <v>92.092</v>
      </c>
      <c r="P931" s="17" t="n">
        <v>0.0052</v>
      </c>
      <c r="Q931" s="17" t="n">
        <v>0.0003</v>
      </c>
      <c r="R931" s="19" t="n">
        <v>4.8389</v>
      </c>
      <c r="S931" s="15" t="n">
        <v>49.544</v>
      </c>
      <c r="T931" s="15" t="n">
        <v>100.923</v>
      </c>
      <c r="U931" s="16" t="n"/>
      <c r="V931" s="158" t="n"/>
      <c r="W931" s="16" t="n"/>
      <c r="X931" s="18" t="n"/>
      <c r="Y931" s="18" t="n"/>
      <c r="Z931" s="18" t="n"/>
      <c r="AA931" s="18" t="n"/>
      <c r="AB931" s="18" t="n"/>
      <c r="AC931" s="18" t="n"/>
      <c r="AD931" s="18" t="n"/>
      <c r="AE931" s="18" t="n"/>
      <c r="AF931" s="18" t="n"/>
      <c r="AG931" s="18" t="n"/>
      <c r="AH931" s="18" t="n"/>
      <c r="AI931" s="18" t="n"/>
    </row>
    <row r="932">
      <c r="A932" s="9" t="n">
        <v>202602</v>
      </c>
      <c r="B932" s="10">
        <f>LEFT(creditcard[[#This Row],[YYYYMM]],4)</f>
        <v/>
      </c>
      <c r="C932" s="10">
        <f>RIGHT(creditcard[[#This Row],[YYYYMM]],2)</f>
        <v/>
      </c>
      <c r="D932" s="10">
        <f>IF(RIGHT(creditcard[[#This Row],[YYYYMM]],2)="--","--","Q"&amp;ROUNDUP(VALUE(RIGHT(creditcard[[#This Row],[YYYYMM]],2))/3,0))</f>
        <v/>
      </c>
      <c r="E932" s="10" t="n">
        <v>7</v>
      </c>
      <c r="F932" s="151" t="inlineStr">
        <is>
          <t>聯邦</t>
        </is>
      </c>
      <c r="G932" s="152" t="inlineStr">
        <is>
          <t>07 聯邦</t>
        </is>
      </c>
      <c r="H932" s="153" t="n">
        <v>2740859</v>
      </c>
      <c r="I932" s="153" t="n">
        <v>1856322</v>
      </c>
      <c r="J932" s="153" t="n">
        <v>20081</v>
      </c>
      <c r="K932" s="153" t="n">
        <v>17836</v>
      </c>
      <c r="L932" s="153" t="n">
        <v>6475.723</v>
      </c>
      <c r="M932" s="10" t="n">
        <v>7456.323</v>
      </c>
      <c r="N932" s="153" t="n">
        <v>13204.318</v>
      </c>
      <c r="O932" s="10" t="n">
        <v>24.104</v>
      </c>
      <c r="P932" s="12" t="n">
        <v>0.0015</v>
      </c>
      <c r="Q932" s="12" t="n">
        <v>0</v>
      </c>
      <c r="R932" s="20" t="n">
        <v>2.906</v>
      </c>
      <c r="S932" s="10" t="n">
        <v>17.656</v>
      </c>
      <c r="T932" s="10" t="n">
        <v>42.348</v>
      </c>
      <c r="U932" s="11" t="n"/>
      <c r="V932" s="154" t="n"/>
      <c r="W932" s="11" t="n"/>
      <c r="X932" s="13" t="n"/>
      <c r="Y932" s="13" t="n"/>
      <c r="Z932" s="13" t="n"/>
      <c r="AA932" s="13" t="n"/>
      <c r="AB932" s="13" t="n"/>
      <c r="AC932" s="13" t="n"/>
      <c r="AD932" s="13" t="n"/>
      <c r="AE932" s="13" t="n"/>
      <c r="AF932" s="13" t="n"/>
      <c r="AG932" s="13" t="n"/>
      <c r="AH932" s="13" t="n"/>
      <c r="AI932" s="13" t="n"/>
    </row>
    <row r="933">
      <c r="A933" s="14" t="n">
        <v>202602</v>
      </c>
      <c r="B933" s="15">
        <f>LEFT(creditcard[[#This Row],[YYYYMM]],4)</f>
        <v/>
      </c>
      <c r="C933" s="15">
        <f>RIGHT(creditcard[[#This Row],[YYYYMM]],2)</f>
        <v/>
      </c>
      <c r="D933" s="15">
        <f>IF(RIGHT(creditcard[[#This Row],[YYYYMM]],2)="--","--","Q"&amp;ROUNDUP(VALUE(RIGHT(creditcard[[#This Row],[YYYYMM]],2))/3,0))</f>
        <v/>
      </c>
      <c r="E933" s="15" t="n">
        <v>8</v>
      </c>
      <c r="F933" s="155" t="inlineStr">
        <is>
          <t>永豐</t>
        </is>
      </c>
      <c r="G933" s="156" t="inlineStr">
        <is>
          <t>08 永豐</t>
        </is>
      </c>
      <c r="H933" s="157" t="n">
        <v>2510318</v>
      </c>
      <c r="I933" s="157" t="n">
        <v>1535218</v>
      </c>
      <c r="J933" s="157" t="n">
        <v>15966</v>
      </c>
      <c r="K933" s="157" t="n">
        <v>5012</v>
      </c>
      <c r="L933" s="157" t="n">
        <v>3761.004</v>
      </c>
      <c r="M933" s="15" t="n">
        <v>5202.405</v>
      </c>
      <c r="N933" s="157" t="n">
        <v>13210.041</v>
      </c>
      <c r="O933" s="15" t="n">
        <v>40.966</v>
      </c>
      <c r="P933" s="17" t="n">
        <v>0.0014</v>
      </c>
      <c r="Q933" s="17" t="n">
        <v>0</v>
      </c>
      <c r="R933" s="19" t="n">
        <v>5.224</v>
      </c>
      <c r="S933" s="15" t="n">
        <v>15.654</v>
      </c>
      <c r="T933" s="15" t="n">
        <v>31.605</v>
      </c>
      <c r="U933" s="16" t="n"/>
      <c r="V933" s="158" t="n"/>
      <c r="W933" s="16" t="n"/>
      <c r="X933" s="18" t="n"/>
      <c r="Y933" s="18" t="n"/>
      <c r="Z933" s="18" t="n"/>
      <c r="AA933" s="18" t="n"/>
      <c r="AB933" s="18" t="n"/>
      <c r="AC933" s="18" t="n"/>
      <c r="AD933" s="18" t="n"/>
      <c r="AE933" s="18" t="n"/>
      <c r="AF933" s="18" t="n"/>
      <c r="AG933" s="18" t="n"/>
      <c r="AH933" s="18" t="n"/>
      <c r="AI933" s="18" t="n"/>
    </row>
    <row r="934">
      <c r="A934" s="9" t="n">
        <v>202602</v>
      </c>
      <c r="B934" s="10">
        <f>LEFT(creditcard[[#This Row],[YYYYMM]],4)</f>
        <v/>
      </c>
      <c r="C934" s="10">
        <f>RIGHT(creditcard[[#This Row],[YYYYMM]],2)</f>
        <v/>
      </c>
      <c r="D934" s="10">
        <f>IF(RIGHT(creditcard[[#This Row],[YYYYMM]],2)="--","--","Q"&amp;ROUNDUP(VALUE(RIGHT(creditcard[[#This Row],[YYYYMM]],2))/3,0))</f>
        <v/>
      </c>
      <c r="E934" s="10" t="n">
        <v>9</v>
      </c>
      <c r="F934" s="151" t="inlineStr">
        <is>
          <t>第一</t>
        </is>
      </c>
      <c r="G934" s="152" t="inlineStr">
        <is>
          <t>09 第一</t>
        </is>
      </c>
      <c r="H934" s="153" t="n">
        <v>1540487</v>
      </c>
      <c r="I934" s="153" t="n">
        <v>950771</v>
      </c>
      <c r="J934" s="153" t="n">
        <v>9597</v>
      </c>
      <c r="K934" s="153" t="n">
        <v>6416</v>
      </c>
      <c r="L934" s="153" t="n">
        <v>1295.624</v>
      </c>
      <c r="M934" s="10" t="n">
        <v>1716.945</v>
      </c>
      <c r="N934" s="153" t="n">
        <v>6248.346</v>
      </c>
      <c r="O934" s="10" t="n">
        <v>3.753</v>
      </c>
      <c r="P934" s="12" t="n">
        <v>0.0014</v>
      </c>
      <c r="Q934" s="12" t="n">
        <v>0</v>
      </c>
      <c r="R934" s="20" t="n">
        <v>10.6328</v>
      </c>
      <c r="S934" s="10" t="n">
        <v>7.58</v>
      </c>
      <c r="T934" s="10" t="n">
        <v>14.7</v>
      </c>
      <c r="U934" s="11" t="n"/>
      <c r="V934" s="154" t="n"/>
      <c r="W934" s="11" t="n"/>
      <c r="X934" s="13" t="n"/>
      <c r="Y934" s="13" t="n"/>
      <c r="Z934" s="13" t="n"/>
      <c r="AA934" s="13" t="n"/>
      <c r="AB934" s="13" t="n"/>
      <c r="AC934" s="13" t="n"/>
      <c r="AD934" s="13" t="n"/>
      <c r="AE934" s="13" t="n"/>
      <c r="AF934" s="13" t="n"/>
      <c r="AG934" s="13" t="n"/>
      <c r="AH934" s="13" t="n"/>
      <c r="AI934" s="13" t="n"/>
    </row>
    <row r="935">
      <c r="A935" s="14" t="n">
        <v>202602</v>
      </c>
      <c r="B935" s="15">
        <f>LEFT(creditcard[[#This Row],[YYYYMM]],4)</f>
        <v/>
      </c>
      <c r="C935" s="15">
        <f>RIGHT(creditcard[[#This Row],[YYYYMM]],2)</f>
        <v/>
      </c>
      <c r="D935" s="15">
        <f>IF(RIGHT(creditcard[[#This Row],[YYYYMM]],2)="--","--","Q"&amp;ROUNDUP(VALUE(RIGHT(creditcard[[#This Row],[YYYYMM]],2))/3,0))</f>
        <v/>
      </c>
      <c r="E935" s="15" t="n">
        <v>10</v>
      </c>
      <c r="F935" s="155" t="inlineStr">
        <is>
          <t>遠東</t>
        </is>
      </c>
      <c r="G935" s="156" t="inlineStr">
        <is>
          <t>10 遠東</t>
        </is>
      </c>
      <c r="H935" s="157" t="n">
        <v>1286543</v>
      </c>
      <c r="I935" s="157" t="n">
        <v>900785</v>
      </c>
      <c r="J935" s="157" t="n">
        <v>3823</v>
      </c>
      <c r="K935" s="157" t="n">
        <v>5189</v>
      </c>
      <c r="L935" s="157" t="n">
        <v>3214.35</v>
      </c>
      <c r="M935" s="15" t="n">
        <v>3614.606</v>
      </c>
      <c r="N935" s="157" t="n">
        <v>3684.786</v>
      </c>
      <c r="O935" s="15" t="n">
        <v>50.417</v>
      </c>
      <c r="P935" s="17" t="n">
        <v>0.0025</v>
      </c>
      <c r="Q935" s="17" t="n">
        <v>0.0002</v>
      </c>
      <c r="R935" s="19" t="n">
        <v>1.0207</v>
      </c>
      <c r="S935" s="15" t="n">
        <v>12.277</v>
      </c>
      <c r="T935" s="15" t="n">
        <v>23.2</v>
      </c>
      <c r="U935" s="16" t="n"/>
      <c r="V935" s="158" t="n"/>
      <c r="W935" s="16" t="n"/>
      <c r="X935" s="18" t="n"/>
      <c r="Y935" s="18" t="n"/>
      <c r="Z935" s="18" t="n"/>
      <c r="AA935" s="18" t="n"/>
      <c r="AB935" s="18" t="n"/>
      <c r="AC935" s="18" t="n"/>
      <c r="AD935" s="18" t="n"/>
      <c r="AE935" s="18" t="n"/>
      <c r="AF935" s="18" t="n"/>
      <c r="AG935" s="18" t="n"/>
      <c r="AH935" s="18" t="n"/>
      <c r="AI935" s="18" t="n"/>
    </row>
    <row r="936">
      <c r="A936" s="9" t="n">
        <v>202602</v>
      </c>
      <c r="B936" s="10">
        <f>LEFT(creditcard[[#This Row],[YYYYMM]],4)</f>
        <v/>
      </c>
      <c r="C936" s="10">
        <f>RIGHT(creditcard[[#This Row],[YYYYMM]],2)</f>
        <v/>
      </c>
      <c r="D936" s="10">
        <f>IF(RIGHT(creditcard[[#This Row],[YYYYMM]],2)="--","--","Q"&amp;ROUNDUP(VALUE(RIGHT(creditcard[[#This Row],[YYYYMM]],2))/3,0))</f>
        <v/>
      </c>
      <c r="E936" s="10" t="n">
        <v>11</v>
      </c>
      <c r="F936" s="151" t="inlineStr">
        <is>
          <t>市場總計</t>
        </is>
      </c>
      <c r="G936" s="152" t="inlineStr">
        <is>
          <t>11 市場總計</t>
        </is>
      </c>
      <c r="H936" s="153" t="n">
        <v>59554032</v>
      </c>
      <c r="I936" s="153" t="n">
        <v>40073662</v>
      </c>
      <c r="J936" s="153" t="n">
        <v>321591</v>
      </c>
      <c r="K936" s="153" t="n">
        <v>274673</v>
      </c>
      <c r="L936" s="153" t="n">
        <v>115782.313</v>
      </c>
      <c r="M936" s="161" t="n">
        <v>173989.856</v>
      </c>
      <c r="N936" s="153" t="n">
        <v>371707.064</v>
      </c>
      <c r="O936" s="161" t="n">
        <v>1088.71</v>
      </c>
      <c r="P936" s="12" t="n">
        <v>0.002222721617119353</v>
      </c>
      <c r="Q936" s="12" t="n">
        <v>0.0002384959606679169</v>
      </c>
      <c r="R936" s="20" t="n">
        <v>5.18128538175052</v>
      </c>
      <c r="S936" s="161" t="n">
        <v>554.16</v>
      </c>
      <c r="T936" s="161" t="n">
        <v>1135.844</v>
      </c>
      <c r="U936" s="11" t="n"/>
      <c r="V936" s="154" t="n">
        <v>4.56</v>
      </c>
      <c r="W936" s="11">
        <f>SUMIFS(H:H,A:A,creditcard[[#This Row],[YYYYMM]],G:G,creditcard[[#This Row],[Item]])</f>
        <v/>
      </c>
      <c r="X936" s="4">
        <f>IFERROR(SUMIFS(H:H,A:A,creditcard[[#This Row],[YYYYMM]],E:E,"&lt;=5")/creditcard[[#This Row],[市場總計]],"")</f>
        <v/>
      </c>
      <c r="Y936" s="4">
        <f>IFERROR(SUMIFS(H:H,A:A,creditcard[[#This Row],[YYYYMM]],E:E,"&lt;=10")/creditcard[[#This Row],[市場總計]],"")</f>
        <v/>
      </c>
      <c r="Z936" s="4">
        <f>IFERROR(SUMIFS(I:I,A:A,creditcard[[#This Row],[YYYYMM]],E:E,"&lt;=5")/creditcard[[#This Row],[有效卡數]],"")</f>
        <v/>
      </c>
      <c r="AA936" s="4">
        <f>IFERROR(SUMIFS(I:I,A:A,creditcard[[#This Row],[YYYYMM]],E:E,"&lt;=10")/creditcard[[#This Row],[有效卡數]],"")</f>
        <v/>
      </c>
      <c r="AB936" s="4">
        <f>IFERROR(SUMIFS(J:J,A:A,creditcard[[#This Row],[YYYYMM]],E:E,"&lt;=5")/creditcard[[#This Row],[當月發卡數]],"")</f>
        <v/>
      </c>
      <c r="AC936" s="4">
        <f>IFERROR(SUMIFS(J:J,A:A,creditcard[[#This Row],[YYYYMM]],E:E,"&lt;=10")/creditcard[[#This Row],[當月發卡數]],"")</f>
        <v/>
      </c>
      <c r="AD936" s="4">
        <f>IFERROR(SUMIFS(K:K,A:A,creditcard[[#This Row],[YYYYMM]],E:E,"&lt;=5")/creditcard[[#This Row],[當月停卡數]],"")</f>
        <v/>
      </c>
      <c r="AE936" s="4">
        <f>IFERROR(SUMIFS(K:K,A:A,creditcard[[#This Row],[YYYYMM]],E:E,"&lt;=10")/creditcard[[#This Row],[當月停卡數]],"")</f>
        <v/>
      </c>
      <c r="AF936" s="4">
        <f>IFERROR(SUMIFS(L:L,A:A,creditcard[[#This Row],[YYYYMM]],E:E,"&lt;=5")/creditcard[[#This Row],[循環信用餘額]],"")</f>
        <v/>
      </c>
      <c r="AG936" s="4">
        <f>IFERROR(SUMIFS(L:L,A:A,creditcard[[#This Row],[YYYYMM]],E:E,"&lt;=10")/creditcard[[#This Row],[循環信用餘額]],"")</f>
        <v/>
      </c>
      <c r="AH936" s="4">
        <f>IFERROR(SUMIFS(N:N,A:A,creditcard[[#This Row],[YYYYMM]],E:E,"&lt;=5")/creditcard[[#This Row],[當月簽帳金額]],"")</f>
        <v/>
      </c>
      <c r="AI936" s="4">
        <f>IFERROR(SUMIFS(N:N,A:A,creditcard[[#This Row],[YYYYMM]],E:E,"&lt;=10")/creditcard[[#This Row],[當月簽帳金額]],"")</f>
        <v/>
      </c>
    </row>
    <row r="937">
      <c r="A937" s="14" t="n">
        <v>202603</v>
      </c>
      <c r="B937" s="15">
        <f>LEFT(creditcard[[#This Row],[YYYYMM]],4)</f>
        <v/>
      </c>
      <c r="C937" s="15">
        <f>RIGHT(creditcard[[#This Row],[YYYYMM]],2)</f>
        <v/>
      </c>
      <c r="D937" s="15">
        <f>IF(RIGHT(creditcard[[#This Row],[YYYYMM]],2)="--","--","Q"&amp;ROUNDUP(VALUE(RIGHT(creditcard[[#This Row],[YYYYMM]],2))/3,0))</f>
        <v/>
      </c>
      <c r="E937" s="15" t="n">
        <v>1</v>
      </c>
      <c r="F937" s="155" t="inlineStr">
        <is>
          <t>中信</t>
        </is>
      </c>
      <c r="G937" s="156" t="inlineStr">
        <is>
          <t>01 中信</t>
        </is>
      </c>
      <c r="H937" s="157" t="n">
        <v>9615426</v>
      </c>
      <c r="I937" s="157" t="n">
        <v>6830525</v>
      </c>
      <c r="J937" s="157" t="n">
        <v>109803</v>
      </c>
      <c r="K937" s="157" t="n">
        <v>75697</v>
      </c>
      <c r="L937" s="157" t="n">
        <v>17523.052</v>
      </c>
      <c r="M937" s="15" t="n">
        <v>21426.529</v>
      </c>
      <c r="N937" s="157" t="n">
        <v>84604.36199999999</v>
      </c>
      <c r="O937" s="15" t="n">
        <v>560.912</v>
      </c>
      <c r="P937" s="17" t="n">
        <v>0.0012</v>
      </c>
      <c r="Q937" s="17" t="n">
        <v>0</v>
      </c>
      <c r="R937" s="19" t="n">
        <v>3.0043</v>
      </c>
      <c r="S937" s="15" t="n">
        <v>81.974</v>
      </c>
      <c r="T937" s="15" t="n">
        <v>256.96</v>
      </c>
      <c r="U937" s="16" t="n"/>
      <c r="V937" s="158" t="n"/>
      <c r="W937" s="16" t="n"/>
      <c r="X937" s="18" t="n"/>
      <c r="Y937" s="18" t="n"/>
      <c r="Z937" s="18" t="n"/>
      <c r="AA937" s="18" t="n"/>
      <c r="AB937" s="18" t="n"/>
      <c r="AC937" s="18" t="n"/>
      <c r="AD937" s="18" t="n"/>
      <c r="AE937" s="18" t="n"/>
      <c r="AF937" s="18" t="n"/>
      <c r="AG937" s="18" t="n"/>
      <c r="AH937" s="18" t="n"/>
      <c r="AI937" s="18" t="n"/>
    </row>
    <row r="938">
      <c r="A938" s="9" t="n">
        <v>202603</v>
      </c>
      <c r="B938" s="10">
        <f>LEFT(creditcard[[#This Row],[YYYYMM]],4)</f>
        <v/>
      </c>
      <c r="C938" s="10">
        <f>RIGHT(creditcard[[#This Row],[YYYYMM]],2)</f>
        <v/>
      </c>
      <c r="D938" s="10">
        <f>IF(RIGHT(creditcard[[#This Row],[YYYYMM]],2)="--","--","Q"&amp;ROUNDUP(VALUE(RIGHT(creditcard[[#This Row],[YYYYMM]],2))/3,0))</f>
        <v/>
      </c>
      <c r="E938" s="10" t="n">
        <v>2</v>
      </c>
      <c r="F938" s="151" t="inlineStr">
        <is>
          <t>富邦</t>
        </is>
      </c>
      <c r="G938" s="152" t="inlineStr">
        <is>
          <t>02 富邦</t>
        </is>
      </c>
      <c r="H938" s="153" t="n">
        <v>7458641</v>
      </c>
      <c r="I938" s="153" t="n">
        <v>5868372</v>
      </c>
      <c r="J938" s="153" t="n">
        <v>42391</v>
      </c>
      <c r="K938" s="153" t="n">
        <v>14293</v>
      </c>
      <c r="L938" s="153" t="n">
        <v>11097.001</v>
      </c>
      <c r="M938" s="10" t="n">
        <v>31072.917</v>
      </c>
      <c r="N938" s="153" t="n">
        <v>56567.902</v>
      </c>
      <c r="O938" s="10" t="n">
        <v>98.47</v>
      </c>
      <c r="P938" s="12" t="n">
        <v>0.0017</v>
      </c>
      <c r="Q938" s="12" t="n">
        <v>0</v>
      </c>
      <c r="R938" s="20" t="n">
        <v>15.8442</v>
      </c>
      <c r="S938" s="10" t="n">
        <v>80.032</v>
      </c>
      <c r="T938" s="10" t="n">
        <v>250.43</v>
      </c>
      <c r="U938" s="11" t="n"/>
      <c r="V938" s="154" t="n"/>
      <c r="W938" s="11" t="n"/>
      <c r="X938" s="13" t="n"/>
      <c r="Y938" s="13" t="n"/>
      <c r="Z938" s="13" t="n"/>
      <c r="AA938" s="13" t="n"/>
      <c r="AB938" s="13" t="n"/>
      <c r="AC938" s="13" t="n"/>
      <c r="AD938" s="13" t="n"/>
      <c r="AE938" s="13" t="n"/>
      <c r="AF938" s="13" t="n"/>
      <c r="AG938" s="13" t="n"/>
      <c r="AH938" s="13" t="n"/>
      <c r="AI938" s="13" t="n"/>
    </row>
    <row r="939">
      <c r="A939" s="14" t="n">
        <v>202603</v>
      </c>
      <c r="B939" s="15">
        <f>LEFT(creditcard[[#This Row],[YYYYMM]],4)</f>
        <v/>
      </c>
      <c r="C939" s="15">
        <f>RIGHT(creditcard[[#This Row],[YYYYMM]],2)</f>
        <v/>
      </c>
      <c r="D939" s="15">
        <f>IF(RIGHT(creditcard[[#This Row],[YYYYMM]],2)="--","--","Q"&amp;ROUNDUP(VALUE(RIGHT(creditcard[[#This Row],[YYYYMM]],2))/3,0))</f>
        <v/>
      </c>
      <c r="E939" s="15" t="n">
        <v>3</v>
      </c>
      <c r="F939" s="155" t="inlineStr">
        <is>
          <t>國泰</t>
        </is>
      </c>
      <c r="G939" s="156" t="inlineStr">
        <is>
          <t>03 國泰</t>
        </is>
      </c>
      <c r="H939" s="157" t="n">
        <v>7410001</v>
      </c>
      <c r="I939" s="157" t="n">
        <v>5267362</v>
      </c>
      <c r="J939" s="157" t="n">
        <v>58926</v>
      </c>
      <c r="K939" s="157" t="n">
        <v>26536</v>
      </c>
      <c r="L939" s="157" t="n">
        <v>21181.144</v>
      </c>
      <c r="M939" s="15" t="n">
        <v>22611.25</v>
      </c>
      <c r="N939" s="157" t="n">
        <v>83103.40700000001</v>
      </c>
      <c r="O939" s="15" t="n">
        <v>225.018</v>
      </c>
      <c r="P939" s="17" t="n">
        <v>0.0021</v>
      </c>
      <c r="Q939" s="17" t="n">
        <v>0</v>
      </c>
      <c r="R939" s="19" t="n">
        <v>9.666499999999999</v>
      </c>
      <c r="S939" s="15" t="n">
        <v>92.313</v>
      </c>
      <c r="T939" s="15" t="n">
        <v>288.755</v>
      </c>
      <c r="U939" s="16" t="n"/>
      <c r="V939" s="158" t="n"/>
      <c r="W939" s="16" t="n"/>
      <c r="X939" s="18" t="n"/>
      <c r="Y939" s="18" t="n"/>
      <c r="Z939" s="18" t="n"/>
      <c r="AA939" s="18" t="n"/>
      <c r="AB939" s="18" t="n"/>
      <c r="AC939" s="18" t="n"/>
      <c r="AD939" s="18" t="n"/>
      <c r="AE939" s="18" t="n"/>
      <c r="AF939" s="18" t="n"/>
      <c r="AG939" s="18" t="n"/>
      <c r="AH939" s="18" t="n"/>
      <c r="AI939" s="18" t="n"/>
    </row>
    <row r="940">
      <c r="A940" s="9" t="n">
        <v>202603</v>
      </c>
      <c r="B940" s="10">
        <f>LEFT(creditcard[[#This Row],[YYYYMM]],4)</f>
        <v/>
      </c>
      <c r="C940" s="10">
        <f>RIGHT(creditcard[[#This Row],[YYYYMM]],2)</f>
        <v/>
      </c>
      <c r="D940" s="10">
        <f>IF(RIGHT(creditcard[[#This Row],[YYYYMM]],2)="--","--","Q"&amp;ROUNDUP(VALUE(RIGHT(creditcard[[#This Row],[YYYYMM]],2))/3,0))</f>
        <v/>
      </c>
      <c r="E940" s="10" t="n">
        <v>4</v>
      </c>
      <c r="F940" s="151" t="inlineStr">
        <is>
          <t>玉山</t>
        </is>
      </c>
      <c r="G940" s="152" t="inlineStr">
        <is>
          <t>04 玉山</t>
        </is>
      </c>
      <c r="H940" s="153" t="n">
        <v>7462748</v>
      </c>
      <c r="I940" s="153" t="n">
        <v>4789020</v>
      </c>
      <c r="J940" s="153" t="n">
        <v>59700</v>
      </c>
      <c r="K940" s="153" t="n">
        <v>162381</v>
      </c>
      <c r="L940" s="153" t="n">
        <v>16203.807</v>
      </c>
      <c r="M940" s="10" t="n">
        <v>19528.089</v>
      </c>
      <c r="N940" s="153" t="n">
        <v>52742.084</v>
      </c>
      <c r="O940" s="10" t="n">
        <v>261.115</v>
      </c>
      <c r="P940" s="12" t="n">
        <v>0.0034</v>
      </c>
      <c r="Q940" s="12" t="n">
        <v>0.0008</v>
      </c>
      <c r="R940" s="20" t="n">
        <v>4.1982</v>
      </c>
      <c r="S940" s="10" t="n">
        <v>87.048</v>
      </c>
      <c r="T940" s="10" t="n">
        <v>255.167</v>
      </c>
      <c r="U940" s="11" t="n"/>
      <c r="V940" s="154" t="n"/>
      <c r="W940" s="11" t="n"/>
      <c r="X940" s="13" t="n"/>
      <c r="Y940" s="13" t="n"/>
      <c r="Z940" s="13" t="n"/>
      <c r="AA940" s="13" t="n"/>
      <c r="AB940" s="13" t="n"/>
      <c r="AC940" s="13" t="n"/>
      <c r="AD940" s="13" t="n"/>
      <c r="AE940" s="13" t="n"/>
      <c r="AF940" s="13" t="n"/>
      <c r="AG940" s="13" t="n"/>
      <c r="AH940" s="13" t="n"/>
      <c r="AI940" s="13" t="n"/>
    </row>
    <row r="941">
      <c r="A941" s="14" t="n">
        <v>202603</v>
      </c>
      <c r="B941" s="15">
        <f>LEFT(creditcard[[#This Row],[YYYYMM]],4)</f>
        <v/>
      </c>
      <c r="C941" s="15">
        <f>RIGHT(creditcard[[#This Row],[YYYYMM]],2)</f>
        <v/>
      </c>
      <c r="D941" s="15">
        <f>IF(RIGHT(creditcard[[#This Row],[YYYYMM]],2)="--","--","Q"&amp;ROUNDUP(VALUE(RIGHT(creditcard[[#This Row],[YYYYMM]],2))/3,0))</f>
        <v/>
      </c>
      <c r="E941" s="15" t="n">
        <v>5</v>
      </c>
      <c r="F941" s="155" t="inlineStr">
        <is>
          <t>台新</t>
        </is>
      </c>
      <c r="G941" s="156" t="inlineStr">
        <is>
          <t>05 台新</t>
        </is>
      </c>
      <c r="H941" s="157" t="n">
        <v>6651536</v>
      </c>
      <c r="I941" s="157" t="n">
        <v>4797151</v>
      </c>
      <c r="J941" s="157" t="n">
        <v>45854</v>
      </c>
      <c r="K941" s="157" t="n">
        <v>41723</v>
      </c>
      <c r="L941" s="157" t="n">
        <v>11064.623</v>
      </c>
      <c r="M941" s="15" t="n">
        <v>20449.004</v>
      </c>
      <c r="N941" s="157" t="n">
        <v>51266.546</v>
      </c>
      <c r="O941" s="15" t="n">
        <v>127.209</v>
      </c>
      <c r="P941" s="17" t="n">
        <v>0.002</v>
      </c>
      <c r="Q941" s="17" t="n">
        <v>0.0002</v>
      </c>
      <c r="R941" s="19" t="n">
        <v>6.7634</v>
      </c>
      <c r="S941" s="15" t="n">
        <v>43.617</v>
      </c>
      <c r="T941" s="15" t="n">
        <v>123.352</v>
      </c>
      <c r="U941" s="16" t="n"/>
      <c r="V941" s="158" t="n"/>
      <c r="W941" s="16" t="n"/>
      <c r="X941" s="18" t="n"/>
      <c r="Y941" s="18" t="n"/>
      <c r="Z941" s="18" t="n"/>
      <c r="AA941" s="18" t="n"/>
      <c r="AB941" s="18" t="n"/>
      <c r="AC941" s="18" t="n"/>
      <c r="AD941" s="18" t="n"/>
      <c r="AE941" s="18" t="n"/>
      <c r="AF941" s="18" t="n"/>
      <c r="AG941" s="18" t="n"/>
      <c r="AH941" s="18" t="n"/>
      <c r="AI941" s="18" t="n"/>
    </row>
    <row r="942">
      <c r="A942" s="9" t="n">
        <v>202603</v>
      </c>
      <c r="B942" s="10">
        <f>LEFT(creditcard[[#This Row],[YYYYMM]],4)</f>
        <v/>
      </c>
      <c r="C942" s="10">
        <f>RIGHT(creditcard[[#This Row],[YYYYMM]],2)</f>
        <v/>
      </c>
      <c r="D942" s="10">
        <f>IF(RIGHT(creditcard[[#This Row],[YYYYMM]],2)="--","--","Q"&amp;ROUNDUP(VALUE(RIGHT(creditcard[[#This Row],[YYYYMM]],2))/3,0))</f>
        <v/>
      </c>
      <c r="E942" s="10" t="n">
        <v>6</v>
      </c>
      <c r="F942" s="151" t="inlineStr">
        <is>
          <t>星展</t>
        </is>
      </c>
      <c r="G942" s="152" t="inlineStr">
        <is>
          <t>06 星展</t>
        </is>
      </c>
      <c r="H942" s="153" t="n">
        <v>3184507</v>
      </c>
      <c r="I942" s="153" t="n">
        <v>2064336</v>
      </c>
      <c r="J942" s="153" t="n">
        <v>9086</v>
      </c>
      <c r="K942" s="153" t="n">
        <v>182614</v>
      </c>
      <c r="L942" s="153" t="n">
        <v>8883.977000000001</v>
      </c>
      <c r="M942" s="10" t="n">
        <v>15071.609</v>
      </c>
      <c r="N942" s="153" t="n">
        <v>23185.949</v>
      </c>
      <c r="O942" s="10" t="n">
        <v>133.401</v>
      </c>
      <c r="P942" s="12" t="n">
        <v>0.005</v>
      </c>
      <c r="Q942" s="12" t="n">
        <v>0.0002</v>
      </c>
      <c r="R942" s="20" t="n">
        <v>5.2392</v>
      </c>
      <c r="S942" s="10" t="n">
        <v>49.7</v>
      </c>
      <c r="T942" s="10" t="n">
        <v>150.623</v>
      </c>
      <c r="U942" s="11" t="n"/>
      <c r="V942" s="154" t="n"/>
      <c r="W942" s="11" t="n"/>
      <c r="X942" s="13" t="n"/>
      <c r="Y942" s="13" t="n"/>
      <c r="Z942" s="13" t="n"/>
      <c r="AA942" s="13" t="n"/>
      <c r="AB942" s="13" t="n"/>
      <c r="AC942" s="13" t="n"/>
      <c r="AD942" s="13" t="n"/>
      <c r="AE942" s="13" t="n"/>
      <c r="AF942" s="13" t="n"/>
      <c r="AG942" s="13" t="n"/>
      <c r="AH942" s="13" t="n"/>
      <c r="AI942" s="13" t="n"/>
    </row>
    <row r="943">
      <c r="A943" s="14" t="n">
        <v>202603</v>
      </c>
      <c r="B943" s="15">
        <f>LEFT(creditcard[[#This Row],[YYYYMM]],4)</f>
        <v/>
      </c>
      <c r="C943" s="15">
        <f>RIGHT(creditcard[[#This Row],[YYYYMM]],2)</f>
        <v/>
      </c>
      <c r="D943" s="15">
        <f>IF(RIGHT(creditcard[[#This Row],[YYYYMM]],2)="--","--","Q"&amp;ROUNDUP(VALUE(RIGHT(creditcard[[#This Row],[YYYYMM]],2))/3,0))</f>
        <v/>
      </c>
      <c r="E943" s="15" t="n">
        <v>7</v>
      </c>
      <c r="F943" s="155" t="inlineStr">
        <is>
          <t>聯邦</t>
        </is>
      </c>
      <c r="G943" s="156" t="inlineStr">
        <is>
          <t>07 聯邦</t>
        </is>
      </c>
      <c r="H943" s="157" t="n">
        <v>2746362</v>
      </c>
      <c r="I943" s="157" t="n">
        <v>1852157</v>
      </c>
      <c r="J943" s="157" t="n">
        <v>24620</v>
      </c>
      <c r="K943" s="157" t="n">
        <v>19117</v>
      </c>
      <c r="L943" s="157" t="n">
        <v>6457.606</v>
      </c>
      <c r="M943" s="15" t="n">
        <v>6915.288</v>
      </c>
      <c r="N943" s="157" t="n">
        <v>14607.249</v>
      </c>
      <c r="O943" s="15" t="n">
        <v>33.466</v>
      </c>
      <c r="P943" s="17" t="n">
        <v>0.0019</v>
      </c>
      <c r="Q943" s="17" t="n">
        <v>0</v>
      </c>
      <c r="R943" s="19" t="n">
        <v>2.6338</v>
      </c>
      <c r="S943" s="15" t="n">
        <v>26.943</v>
      </c>
      <c r="T943" s="15" t="n">
        <v>69.291</v>
      </c>
      <c r="U943" s="16" t="n"/>
      <c r="V943" s="158" t="n"/>
      <c r="W943" s="16" t="n"/>
      <c r="X943" s="18" t="n"/>
      <c r="Y943" s="18" t="n"/>
      <c r="Z943" s="18" t="n"/>
      <c r="AA943" s="18" t="n"/>
      <c r="AB943" s="18" t="n"/>
      <c r="AC943" s="18" t="n"/>
      <c r="AD943" s="18" t="n"/>
      <c r="AE943" s="18" t="n"/>
      <c r="AF943" s="18" t="n"/>
      <c r="AG943" s="18" t="n"/>
      <c r="AH943" s="18" t="n"/>
      <c r="AI943" s="18" t="n"/>
    </row>
    <row r="944">
      <c r="A944" s="9" t="n">
        <v>202603</v>
      </c>
      <c r="B944" s="10">
        <f>LEFT(creditcard[[#This Row],[YYYYMM]],4)</f>
        <v/>
      </c>
      <c r="C944" s="10">
        <f>RIGHT(creditcard[[#This Row],[YYYYMM]],2)</f>
        <v/>
      </c>
      <c r="D944" s="10">
        <f>IF(RIGHT(creditcard[[#This Row],[YYYYMM]],2)="--","--","Q"&amp;ROUNDUP(VALUE(RIGHT(creditcard[[#This Row],[YYYYMM]],2))/3,0))</f>
        <v/>
      </c>
      <c r="E944" s="10" t="n">
        <v>8</v>
      </c>
      <c r="F944" s="151" t="inlineStr">
        <is>
          <t>永豐</t>
        </is>
      </c>
      <c r="G944" s="152" t="inlineStr">
        <is>
          <t>08 永豐</t>
        </is>
      </c>
      <c r="H944" s="153" t="n">
        <v>2522879</v>
      </c>
      <c r="I944" s="153" t="n">
        <v>1539122</v>
      </c>
      <c r="J944" s="153" t="n">
        <v>20201</v>
      </c>
      <c r="K944" s="153" t="n">
        <v>7205</v>
      </c>
      <c r="L944" s="153" t="n">
        <v>3798.729</v>
      </c>
      <c r="M944" s="10" t="n">
        <v>5068.983</v>
      </c>
      <c r="N944" s="153" t="n">
        <v>15639.082</v>
      </c>
      <c r="O944" s="10" t="n">
        <v>66.188</v>
      </c>
      <c r="P944" s="12" t="n">
        <v>0.0015</v>
      </c>
      <c r="Q944" s="12" t="n">
        <v>0</v>
      </c>
      <c r="R944" s="20" t="n">
        <v>5.4919</v>
      </c>
      <c r="S944" s="10" t="n">
        <v>17.99</v>
      </c>
      <c r="T944" s="10" t="n">
        <v>49.595</v>
      </c>
      <c r="U944" s="11" t="n"/>
      <c r="V944" s="154" t="n"/>
      <c r="W944" s="11" t="n"/>
      <c r="X944" s="13" t="n"/>
      <c r="Y944" s="13" t="n"/>
      <c r="Z944" s="13" t="n"/>
      <c r="AA944" s="13" t="n"/>
      <c r="AB944" s="13" t="n"/>
      <c r="AC944" s="13" t="n"/>
      <c r="AD944" s="13" t="n"/>
      <c r="AE944" s="13" t="n"/>
      <c r="AF944" s="13" t="n"/>
      <c r="AG944" s="13" t="n"/>
      <c r="AH944" s="13" t="n"/>
      <c r="AI944" s="13" t="n"/>
    </row>
    <row r="945">
      <c r="A945" s="14" t="n">
        <v>202603</v>
      </c>
      <c r="B945" s="15">
        <f>LEFT(creditcard[[#This Row],[YYYYMM]],4)</f>
        <v/>
      </c>
      <c r="C945" s="15">
        <f>RIGHT(creditcard[[#This Row],[YYYYMM]],2)</f>
        <v/>
      </c>
      <c r="D945" s="15">
        <f>IF(RIGHT(creditcard[[#This Row],[YYYYMM]],2)="--","--","Q"&amp;ROUNDUP(VALUE(RIGHT(creditcard[[#This Row],[YYYYMM]],2))/3,0))</f>
        <v/>
      </c>
      <c r="E945" s="15" t="n">
        <v>9</v>
      </c>
      <c r="F945" s="155" t="inlineStr">
        <is>
          <t>第一</t>
        </is>
      </c>
      <c r="G945" s="156" t="inlineStr">
        <is>
          <t>09 第一</t>
        </is>
      </c>
      <c r="H945" s="157" t="n">
        <v>1549398</v>
      </c>
      <c r="I945" s="157" t="n">
        <v>953236</v>
      </c>
      <c r="J945" s="157" t="n">
        <v>16462</v>
      </c>
      <c r="K945" s="157" t="n">
        <v>8038</v>
      </c>
      <c r="L945" s="157" t="n">
        <v>1255.707</v>
      </c>
      <c r="M945" s="15" t="n">
        <v>1602.783</v>
      </c>
      <c r="N945" s="157" t="n">
        <v>7528.706</v>
      </c>
      <c r="O945" s="15" t="n">
        <v>4.469</v>
      </c>
      <c r="P945" s="17" t="n">
        <v>0.0015</v>
      </c>
      <c r="Q945" s="17" t="n">
        <v>0</v>
      </c>
      <c r="R945" s="19" t="n">
        <v>11.7332</v>
      </c>
      <c r="S945" s="15" t="n">
        <v>7.495</v>
      </c>
      <c r="T945" s="15" t="n">
        <v>22.195</v>
      </c>
      <c r="U945" s="16" t="n"/>
      <c r="V945" s="158" t="n"/>
      <c r="W945" s="16" t="n"/>
      <c r="X945" s="18" t="n"/>
      <c r="Y945" s="18" t="n"/>
      <c r="Z945" s="18" t="n"/>
      <c r="AA945" s="18" t="n"/>
      <c r="AB945" s="18" t="n"/>
      <c r="AC945" s="18" t="n"/>
      <c r="AD945" s="18" t="n"/>
      <c r="AE945" s="18" t="n"/>
      <c r="AF945" s="18" t="n"/>
      <c r="AG945" s="18" t="n"/>
      <c r="AH945" s="18" t="n"/>
      <c r="AI945" s="18" t="n"/>
    </row>
    <row r="946">
      <c r="A946" s="9" t="n">
        <v>202603</v>
      </c>
      <c r="B946" s="10">
        <f>LEFT(creditcard[[#This Row],[YYYYMM]],4)</f>
        <v/>
      </c>
      <c r="C946" s="10">
        <f>RIGHT(creditcard[[#This Row],[YYYYMM]],2)</f>
        <v/>
      </c>
      <c r="D946" s="10">
        <f>IF(RIGHT(creditcard[[#This Row],[YYYYMM]],2)="--","--","Q"&amp;ROUNDUP(VALUE(RIGHT(creditcard[[#This Row],[YYYYMM]],2))/3,0))</f>
        <v/>
      </c>
      <c r="E946" s="10" t="n">
        <v>10</v>
      </c>
      <c r="F946" s="151" t="inlineStr">
        <is>
          <t>遠東</t>
        </is>
      </c>
      <c r="G946" s="152" t="inlineStr">
        <is>
          <t>10 遠東</t>
        </is>
      </c>
      <c r="H946" s="153" t="n">
        <v>1285527</v>
      </c>
      <c r="I946" s="153" t="n">
        <v>896722</v>
      </c>
      <c r="J946" s="153" t="n">
        <v>5461</v>
      </c>
      <c r="K946" s="153" t="n">
        <v>6521</v>
      </c>
      <c r="L946" s="153" t="n">
        <v>3108.422</v>
      </c>
      <c r="M946" s="10" t="n">
        <v>3556.504</v>
      </c>
      <c r="N946" s="153" t="n">
        <v>4324.34</v>
      </c>
      <c r="O946" s="10" t="n">
        <v>61.68</v>
      </c>
      <c r="P946" s="12" t="n">
        <v>0.0028</v>
      </c>
      <c r="Q946" s="12" t="n">
        <v>0.0002</v>
      </c>
      <c r="R946" s="20" t="n">
        <v>1.0306</v>
      </c>
      <c r="S946" s="10" t="n">
        <v>11.188</v>
      </c>
      <c r="T946" s="10" t="n">
        <v>34.388</v>
      </c>
      <c r="U946" s="11" t="n"/>
      <c r="V946" s="154" t="n"/>
      <c r="W946" s="11" t="n"/>
      <c r="X946" s="13" t="n"/>
      <c r="Y946" s="13" t="n"/>
      <c r="Z946" s="13" t="n"/>
      <c r="AA946" s="13" t="n"/>
      <c r="AB946" s="13" t="n"/>
      <c r="AC946" s="13" t="n"/>
      <c r="AD946" s="13" t="n"/>
      <c r="AE946" s="13" t="n"/>
      <c r="AF946" s="13" t="n"/>
      <c r="AG946" s="13" t="n"/>
      <c r="AH946" s="13" t="n"/>
      <c r="AI946" s="13" t="n"/>
    </row>
    <row r="947">
      <c r="A947" s="14" t="n">
        <v>202603</v>
      </c>
      <c r="B947" s="15">
        <f>LEFT(creditcard[[#This Row],[YYYYMM]],4)</f>
        <v/>
      </c>
      <c r="C947" s="15">
        <f>RIGHT(creditcard[[#This Row],[YYYYMM]],2)</f>
        <v/>
      </c>
      <c r="D947" s="15">
        <f>IF(RIGHT(creditcard[[#This Row],[YYYYMM]],2)="--","--","Q"&amp;ROUNDUP(VALUE(RIGHT(creditcard[[#This Row],[YYYYMM]],2))/3,0))</f>
        <v/>
      </c>
      <c r="E947" s="15" t="n">
        <v>11</v>
      </c>
      <c r="F947" s="155" t="inlineStr">
        <is>
          <t>市場總計</t>
        </is>
      </c>
      <c r="G947" s="156" t="inlineStr">
        <is>
          <t>11 市場總計</t>
        </is>
      </c>
      <c r="H947" s="157" t="n">
        <v>59437767</v>
      </c>
      <c r="I947" s="157" t="n">
        <v>40067799</v>
      </c>
      <c r="J947" s="157" t="n">
        <v>461209</v>
      </c>
      <c r="K947" s="157" t="n">
        <v>609703</v>
      </c>
      <c r="L947" s="157" t="n">
        <v>114157.896</v>
      </c>
      <c r="M947" s="160" t="n">
        <v>169740.082</v>
      </c>
      <c r="N947" s="157" t="n">
        <v>452402.128</v>
      </c>
      <c r="O947" s="160" t="n">
        <v>1640.809</v>
      </c>
      <c r="P947" s="17" t="n">
        <v>0.002326394048891897</v>
      </c>
      <c r="Q947" s="17" t="n">
        <v>0.0002353403114825438</v>
      </c>
      <c r="R947" s="19" t="n">
        <v>5.129472303130885</v>
      </c>
      <c r="S947" s="160" t="n">
        <v>617.46</v>
      </c>
      <c r="T947" s="160" t="n">
        <v>1753.304</v>
      </c>
      <c r="U947" s="16" t="n"/>
      <c r="V947" s="158" t="n">
        <v>4.55</v>
      </c>
      <c r="W947" s="16">
        <f>SUMIFS(H:H,A:A,creditcard[[#This Row],[YYYYMM]],G:G,creditcard[[#This Row],[Item]])</f>
        <v/>
      </c>
      <c r="X947" s="4">
        <f>IFERROR(SUMIFS(H:H,A:A,creditcard[[#This Row],[YYYYMM]],E:E,"&lt;=5")/creditcard[[#This Row],[市場總計]],"")</f>
        <v/>
      </c>
      <c r="Y947" s="4">
        <f>IFERROR(SUMIFS(H:H,A:A,creditcard[[#This Row],[YYYYMM]],E:E,"&lt;=10")/creditcard[[#This Row],[市場總計]],"")</f>
        <v/>
      </c>
      <c r="Z947" s="4">
        <f>IFERROR(SUMIFS(I:I,A:A,creditcard[[#This Row],[YYYYMM]],E:E,"&lt;=5")/creditcard[[#This Row],[有效卡數]],"")</f>
        <v/>
      </c>
      <c r="AA947" s="4">
        <f>IFERROR(SUMIFS(I:I,A:A,creditcard[[#This Row],[YYYYMM]],E:E,"&lt;=10")/creditcard[[#This Row],[有效卡數]],"")</f>
        <v/>
      </c>
      <c r="AB947" s="4">
        <f>IFERROR(SUMIFS(J:J,A:A,creditcard[[#This Row],[YYYYMM]],E:E,"&lt;=5")/creditcard[[#This Row],[當月發卡數]],"")</f>
        <v/>
      </c>
      <c r="AC947" s="4">
        <f>IFERROR(SUMIFS(J:J,A:A,creditcard[[#This Row],[YYYYMM]],E:E,"&lt;=10")/creditcard[[#This Row],[當月發卡數]],"")</f>
        <v/>
      </c>
      <c r="AD947" s="4">
        <f>IFERROR(SUMIFS(K:K,A:A,creditcard[[#This Row],[YYYYMM]],E:E,"&lt;=5")/creditcard[[#This Row],[當月停卡數]],"")</f>
        <v/>
      </c>
      <c r="AE947" s="4">
        <f>IFERROR(SUMIFS(K:K,A:A,creditcard[[#This Row],[YYYYMM]],E:E,"&lt;=10")/creditcard[[#This Row],[當月停卡數]],"")</f>
        <v/>
      </c>
      <c r="AF947" s="4">
        <f>IFERROR(SUMIFS(L:L,A:A,creditcard[[#This Row],[YYYYMM]],E:E,"&lt;=5")/creditcard[[#This Row],[循環信用餘額]],"")</f>
        <v/>
      </c>
      <c r="AG947" s="4">
        <f>IFERROR(SUMIFS(L:L,A:A,creditcard[[#This Row],[YYYYMM]],E:E,"&lt;=10")/creditcard[[#This Row],[循環信用餘額]],"")</f>
        <v/>
      </c>
      <c r="AH947" s="4">
        <f>IFERROR(SUMIFS(N:N,A:A,creditcard[[#This Row],[YYYYMM]],E:E,"&lt;=5")/creditcard[[#This Row],[當月簽帳金額]],"")</f>
        <v/>
      </c>
      <c r="AI947" s="4">
        <f>IFERROR(SUMIFS(N:N,A:A,creditcard[[#This Row],[YYYYMM]],E:E,"&lt;=10")/creditcard[[#This Row],[當月簽帳金額]],"")</f>
        <v/>
      </c>
    </row>
    <row r="948">
      <c r="A948" s="9" t="n">
        <v>202605</v>
      </c>
      <c r="B948" s="10">
        <f>LEFT(creditcard[[#This Row],[YYYYMM]],4)</f>
        <v/>
      </c>
      <c r="C948" s="10">
        <f>RIGHT(creditcard[[#This Row],[YYYYMM]],2)</f>
        <v/>
      </c>
      <c r="D948" s="10">
        <f>IF(RIGHT(creditcard[[#This Row],[YYYYMM]],2)="--","--","Q"&amp;ROUNDUP(VALUE(RIGHT(creditcard[[#This Row],[YYYYMM]],2))/3,0))</f>
        <v/>
      </c>
      <c r="E948" s="10" t="n">
        <v>1</v>
      </c>
      <c r="F948" s="151" t="inlineStr">
        <is>
          <t>中信</t>
        </is>
      </c>
      <c r="G948" s="152" t="inlineStr">
        <is>
          <t>01 中信</t>
        </is>
      </c>
      <c r="H948" s="153" t="n">
        <v>9749686</v>
      </c>
      <c r="I948" s="153" t="n">
        <v>6894678</v>
      </c>
      <c r="J948" s="153" t="n">
        <v>121435</v>
      </c>
      <c r="K948" s="153" t="n">
        <v>55381</v>
      </c>
      <c r="L948" s="153" t="n">
        <v>17687.063</v>
      </c>
      <c r="M948" s="21" t="n">
        <v>20825.532</v>
      </c>
      <c r="N948" s="153" t="n">
        <v>80272.21000000001</v>
      </c>
      <c r="O948" s="21" t="n">
        <v>492.486</v>
      </c>
      <c r="P948" s="12" t="n">
        <v>0.0012</v>
      </c>
      <c r="Q948" s="12" t="n">
        <v>0</v>
      </c>
      <c r="R948" s="20" t="n">
        <v>2.9822</v>
      </c>
      <c r="S948" s="21" t="n">
        <v>85.65900000000001</v>
      </c>
      <c r="T948" s="21" t="n">
        <v>431.497</v>
      </c>
      <c r="U948" s="22" t="n">
        <v>11208.911</v>
      </c>
      <c r="V948" s="154" t="n"/>
      <c r="W948" s="11" t="n"/>
      <c r="X948" s="13" t="n"/>
      <c r="Y948" s="13" t="n"/>
      <c r="Z948" s="13" t="n"/>
      <c r="AA948" s="13" t="n"/>
      <c r="AB948" s="13" t="n"/>
      <c r="AC948" s="13" t="n"/>
      <c r="AD948" s="13" t="n"/>
      <c r="AE948" s="13" t="n"/>
      <c r="AF948" s="13" t="n"/>
      <c r="AG948" s="13" t="n"/>
      <c r="AH948" s="13" t="n"/>
      <c r="AI948" s="13" t="n"/>
    </row>
    <row r="949">
      <c r="A949" s="14" t="n">
        <v>202605</v>
      </c>
      <c r="B949" s="15">
        <f>LEFT(creditcard[[#This Row],[YYYYMM]],4)</f>
        <v/>
      </c>
      <c r="C949" s="15">
        <f>RIGHT(creditcard[[#This Row],[YYYYMM]],2)</f>
        <v/>
      </c>
      <c r="D949" s="15">
        <f>IF(RIGHT(creditcard[[#This Row],[YYYYMM]],2)="--","--","Q"&amp;ROUNDUP(VALUE(RIGHT(creditcard[[#This Row],[YYYYMM]],2))/3,0))</f>
        <v/>
      </c>
      <c r="E949" s="15" t="n">
        <v>2</v>
      </c>
      <c r="F949" s="155" t="inlineStr">
        <is>
          <t>富邦</t>
        </is>
      </c>
      <c r="G949" s="156" t="inlineStr">
        <is>
          <t>02 富邦</t>
        </is>
      </c>
      <c r="H949" s="157" t="n">
        <v>7526691</v>
      </c>
      <c r="I949" s="157" t="n">
        <v>5867043</v>
      </c>
      <c r="J949" s="157" t="n">
        <v>37811</v>
      </c>
      <c r="K949" s="157" t="n">
        <v>13694</v>
      </c>
      <c r="L949" s="157" t="n">
        <v>11379.901</v>
      </c>
      <c r="M949" s="23" t="n">
        <v>29971.406</v>
      </c>
      <c r="N949" s="157" t="n">
        <v>51538.66</v>
      </c>
      <c r="O949" s="23" t="n">
        <v>91.614</v>
      </c>
      <c r="P949" s="17" t="n">
        <v>0.0017</v>
      </c>
      <c r="Q949" s="17" t="n">
        <v>0</v>
      </c>
      <c r="R949" s="19" t="n">
        <v>16.1397</v>
      </c>
      <c r="S949" s="23" t="n">
        <v>84.53400000000001</v>
      </c>
      <c r="T949" s="23" t="n">
        <v>413.033</v>
      </c>
      <c r="U949" s="16" t="n"/>
      <c r="V949" s="158" t="n"/>
      <c r="W949" s="16" t="n"/>
      <c r="X949" s="18" t="n"/>
      <c r="Y949" s="18" t="n"/>
      <c r="Z949" s="18" t="n"/>
      <c r="AA949" s="18" t="n"/>
      <c r="AB949" s="18" t="n"/>
      <c r="AC949" s="18" t="n"/>
      <c r="AD949" s="18" t="n"/>
      <c r="AE949" s="18" t="n"/>
      <c r="AF949" s="18" t="n"/>
      <c r="AG949" s="18" t="n"/>
      <c r="AH949" s="18" t="n"/>
      <c r="AI949" s="18" t="n"/>
    </row>
    <row r="950">
      <c r="A950" s="9" t="n">
        <v>202605</v>
      </c>
      <c r="B950" s="10">
        <f>LEFT(creditcard[[#This Row],[YYYYMM]],4)</f>
        <v/>
      </c>
      <c r="C950" s="10">
        <f>RIGHT(creditcard[[#This Row],[YYYYMM]],2)</f>
        <v/>
      </c>
      <c r="D950" s="10">
        <f>IF(RIGHT(creditcard[[#This Row],[YYYYMM]],2)="--","--","Q"&amp;ROUNDUP(VALUE(RIGHT(creditcard[[#This Row],[YYYYMM]],2))/3,0))</f>
        <v/>
      </c>
      <c r="E950" s="10" t="n">
        <v>3</v>
      </c>
      <c r="F950" s="151" t="inlineStr">
        <is>
          <t>國泰</t>
        </is>
      </c>
      <c r="G950" s="152" t="inlineStr">
        <is>
          <t>03 國泰</t>
        </is>
      </c>
      <c r="H950" s="153" t="n">
        <v>7468338</v>
      </c>
      <c r="I950" s="153" t="n">
        <v>5302965</v>
      </c>
      <c r="J950" s="153" t="n">
        <v>54779</v>
      </c>
      <c r="K950" s="153" t="n">
        <v>23194</v>
      </c>
      <c r="L950" s="153" t="n">
        <v>22231.944</v>
      </c>
      <c r="M950" s="21" t="n">
        <v>22334.481</v>
      </c>
      <c r="N950" s="153" t="n">
        <v>72762.61199999999</v>
      </c>
      <c r="O950" s="21" t="n">
        <v>199.501</v>
      </c>
      <c r="P950" s="12" t="n">
        <v>0.0023</v>
      </c>
      <c r="Q950" s="12" t="n">
        <v>0</v>
      </c>
      <c r="R950" s="20" t="n">
        <v>9.584899999999999</v>
      </c>
      <c r="S950" s="21" t="n">
        <v>83.16</v>
      </c>
      <c r="T950" s="21" t="n">
        <v>459.188</v>
      </c>
      <c r="U950" s="11" t="n"/>
      <c r="V950" s="154" t="n"/>
      <c r="W950" s="11" t="n"/>
      <c r="X950" s="13" t="n"/>
      <c r="Y950" s="13" t="n"/>
      <c r="Z950" s="13" t="n"/>
      <c r="AA950" s="13" t="n"/>
      <c r="AB950" s="13" t="n"/>
      <c r="AC950" s="13" t="n"/>
      <c r="AD950" s="13" t="n"/>
      <c r="AE950" s="13" t="n"/>
      <c r="AF950" s="13" t="n"/>
      <c r="AG950" s="13" t="n"/>
      <c r="AH950" s="13" t="n"/>
      <c r="AI950" s="13" t="n"/>
    </row>
    <row r="951">
      <c r="A951" s="14" t="n">
        <v>202605</v>
      </c>
      <c r="B951" s="15">
        <f>LEFT(creditcard[[#This Row],[YYYYMM]],4)</f>
        <v/>
      </c>
      <c r="C951" s="15">
        <f>RIGHT(creditcard[[#This Row],[YYYYMM]],2)</f>
        <v/>
      </c>
      <c r="D951" s="15">
        <f>IF(RIGHT(creditcard[[#This Row],[YYYYMM]],2)="--","--","Q"&amp;ROUNDUP(VALUE(RIGHT(creditcard[[#This Row],[YYYYMM]],2))/3,0))</f>
        <v/>
      </c>
      <c r="E951" s="15" t="n">
        <v>4</v>
      </c>
      <c r="F951" s="155" t="inlineStr">
        <is>
          <t>玉山</t>
        </is>
      </c>
      <c r="G951" s="156" t="inlineStr">
        <is>
          <t>04 玉山</t>
        </is>
      </c>
      <c r="H951" s="157" t="n">
        <v>7463030</v>
      </c>
      <c r="I951" s="157" t="n">
        <v>4873920</v>
      </c>
      <c r="J951" s="157" t="n">
        <v>52008</v>
      </c>
      <c r="K951" s="157" t="n">
        <v>45404</v>
      </c>
      <c r="L951" s="157" t="n">
        <v>15399.618</v>
      </c>
      <c r="M951" s="23" t="n">
        <v>17398.709</v>
      </c>
      <c r="N951" s="157" t="n">
        <v>53038.027</v>
      </c>
      <c r="O951" s="23" t="n">
        <v>234.538</v>
      </c>
      <c r="P951" s="17" t="n">
        <v>0.0031</v>
      </c>
      <c r="Q951" s="17" t="n">
        <v>0.0005</v>
      </c>
      <c r="R951" s="19" t="n">
        <v>4.5833</v>
      </c>
      <c r="S951" s="23" t="n">
        <v>81.789</v>
      </c>
      <c r="T951" s="23" t="n">
        <v>404.627</v>
      </c>
      <c r="U951" s="16" t="n"/>
      <c r="V951" s="158" t="n"/>
      <c r="W951" s="16" t="n"/>
      <c r="X951" s="18" t="n"/>
      <c r="Y951" s="18" t="n"/>
      <c r="Z951" s="18" t="n"/>
      <c r="AA951" s="18" t="n"/>
      <c r="AB951" s="18" t="n"/>
      <c r="AC951" s="18" t="n"/>
      <c r="AD951" s="18" t="n"/>
      <c r="AE951" s="18" t="n"/>
      <c r="AF951" s="18" t="n"/>
      <c r="AG951" s="18" t="n"/>
      <c r="AH951" s="18" t="n"/>
      <c r="AI951" s="18" t="n"/>
    </row>
    <row r="952">
      <c r="A952" s="9" t="n">
        <v>202605</v>
      </c>
      <c r="B952" s="10">
        <f>LEFT(creditcard[[#This Row],[YYYYMM]],4)</f>
        <v/>
      </c>
      <c r="C952" s="10">
        <f>RIGHT(creditcard[[#This Row],[YYYYMM]],2)</f>
        <v/>
      </c>
      <c r="D952" s="10">
        <f>IF(RIGHT(creditcard[[#This Row],[YYYYMM]],2)="--","--","Q"&amp;ROUNDUP(VALUE(RIGHT(creditcard[[#This Row],[YYYYMM]],2))/3,0))</f>
        <v/>
      </c>
      <c r="E952" s="10" t="n">
        <v>5</v>
      </c>
      <c r="F952" s="151" t="inlineStr">
        <is>
          <t>台新</t>
        </is>
      </c>
      <c r="G952" s="152" t="inlineStr">
        <is>
          <t>05 台新</t>
        </is>
      </c>
      <c r="H952" s="153" t="n">
        <v>6667146</v>
      </c>
      <c r="I952" s="153" t="n">
        <v>4759928</v>
      </c>
      <c r="J952" s="153" t="n">
        <v>39529</v>
      </c>
      <c r="K952" s="153" t="n">
        <v>29793</v>
      </c>
      <c r="L952" s="153" t="n">
        <v>11190.27</v>
      </c>
      <c r="M952" s="21" t="n">
        <v>20328.243</v>
      </c>
      <c r="N952" s="153" t="n">
        <v>46674.349</v>
      </c>
      <c r="O952" s="21" t="n">
        <v>118.124</v>
      </c>
      <c r="P952" s="12" t="n">
        <v>0.0021</v>
      </c>
      <c r="Q952" s="12" t="n">
        <v>0.0002</v>
      </c>
      <c r="R952" s="20" t="n">
        <v>6.4623</v>
      </c>
      <c r="S952" s="21" t="n">
        <v>35.013</v>
      </c>
      <c r="T952" s="21" t="n">
        <v>194.508</v>
      </c>
      <c r="U952" s="11" t="n"/>
      <c r="V952" s="154" t="n"/>
      <c r="W952" s="11" t="n"/>
      <c r="X952" s="13" t="n"/>
      <c r="Y952" s="13" t="n"/>
      <c r="Z952" s="13" t="n"/>
      <c r="AA952" s="13" t="n"/>
      <c r="AB952" s="13" t="n"/>
      <c r="AC952" s="13" t="n"/>
      <c r="AD952" s="13" t="n"/>
      <c r="AE952" s="13" t="n"/>
      <c r="AF952" s="13" t="n"/>
      <c r="AG952" s="13" t="n"/>
      <c r="AH952" s="13" t="n"/>
      <c r="AI952" s="13" t="n"/>
    </row>
    <row r="953">
      <c r="A953" s="14" t="n">
        <v>202605</v>
      </c>
      <c r="B953" s="15">
        <f>LEFT(creditcard[[#This Row],[YYYYMM]],4)</f>
        <v/>
      </c>
      <c r="C953" s="15">
        <f>RIGHT(creditcard[[#This Row],[YYYYMM]],2)</f>
        <v/>
      </c>
      <c r="D953" s="15">
        <f>IF(RIGHT(creditcard[[#This Row],[YYYYMM]],2)="--","--","Q"&amp;ROUNDUP(VALUE(RIGHT(creditcard[[#This Row],[YYYYMM]],2))/3,0))</f>
        <v/>
      </c>
      <c r="E953" s="15" t="n">
        <v>6</v>
      </c>
      <c r="F953" s="155" t="inlineStr">
        <is>
          <t>星展</t>
        </is>
      </c>
      <c r="G953" s="156" t="inlineStr">
        <is>
          <t>06 星展</t>
        </is>
      </c>
      <c r="H953" s="157" t="n">
        <v>3188975</v>
      </c>
      <c r="I953" s="157" t="n">
        <v>2054344</v>
      </c>
      <c r="J953" s="157" t="n">
        <v>8443</v>
      </c>
      <c r="K953" s="157" t="n">
        <v>15525</v>
      </c>
      <c r="L953" s="157" t="n">
        <v>9015.752</v>
      </c>
      <c r="M953" s="23" t="n">
        <v>13847.611</v>
      </c>
      <c r="N953" s="157" t="n">
        <v>20621.5</v>
      </c>
      <c r="O953" s="23" t="n">
        <v>121.241</v>
      </c>
      <c r="P953" s="17" t="n">
        <v>0.0054</v>
      </c>
      <c r="Q953" s="17" t="n">
        <v>0.0003</v>
      </c>
      <c r="R953" s="19" t="n">
        <v>5.0851</v>
      </c>
      <c r="S953" s="23" t="n">
        <v>40.258</v>
      </c>
      <c r="T953" s="23" t="n">
        <v>242.215</v>
      </c>
      <c r="U953" s="16" t="n"/>
      <c r="V953" s="158" t="n"/>
      <c r="W953" s="16" t="n"/>
      <c r="X953" s="18" t="n"/>
      <c r="Y953" s="18" t="n"/>
      <c r="Z953" s="18" t="n"/>
      <c r="AA953" s="18" t="n"/>
      <c r="AB953" s="18" t="n"/>
      <c r="AC953" s="18" t="n"/>
      <c r="AD953" s="18" t="n"/>
      <c r="AE953" s="18" t="n"/>
      <c r="AF953" s="18" t="n"/>
      <c r="AG953" s="18" t="n"/>
      <c r="AH953" s="18" t="n"/>
      <c r="AI953" s="18" t="n"/>
    </row>
    <row r="954">
      <c r="A954" s="9" t="n">
        <v>202605</v>
      </c>
      <c r="B954" s="10">
        <f>LEFT(creditcard[[#This Row],[YYYYMM]],4)</f>
        <v/>
      </c>
      <c r="C954" s="10">
        <f>RIGHT(creditcard[[#This Row],[YYYYMM]],2)</f>
        <v/>
      </c>
      <c r="D954" s="10">
        <f>IF(RIGHT(creditcard[[#This Row],[YYYYMM]],2)="--","--","Q"&amp;ROUNDUP(VALUE(RIGHT(creditcard[[#This Row],[YYYYMM]],2))/3,0))</f>
        <v/>
      </c>
      <c r="E954" s="10" t="n">
        <v>7</v>
      </c>
      <c r="F954" s="151" t="inlineStr">
        <is>
          <t>聯邦</t>
        </is>
      </c>
      <c r="G954" s="152" t="inlineStr">
        <is>
          <t>07 聯邦</t>
        </is>
      </c>
      <c r="H954" s="153" t="n">
        <v>2745537</v>
      </c>
      <c r="I954" s="153" t="n">
        <v>1843799</v>
      </c>
      <c r="J954" s="153" t="n">
        <v>21832</v>
      </c>
      <c r="K954" s="153" t="n">
        <v>22596</v>
      </c>
      <c r="L954" s="153" t="n">
        <v>6461.274</v>
      </c>
      <c r="M954" s="21" t="n">
        <v>5864.596</v>
      </c>
      <c r="N954" s="153" t="n">
        <v>14138.753</v>
      </c>
      <c r="O954" s="21" t="n">
        <v>27.447</v>
      </c>
      <c r="P954" s="12" t="n">
        <v>0.0019</v>
      </c>
      <c r="Q954" s="12" t="n">
        <v>0</v>
      </c>
      <c r="R954" s="20" t="n">
        <v>2.4281</v>
      </c>
      <c r="S954" s="21" t="n">
        <v>24.651</v>
      </c>
      <c r="T954" s="21" t="n">
        <v>118.466</v>
      </c>
      <c r="U954" s="11" t="n"/>
      <c r="V954" s="154" t="n"/>
      <c r="W954" s="11" t="n"/>
      <c r="X954" s="13" t="n"/>
      <c r="Y954" s="13" t="n"/>
      <c r="Z954" s="13" t="n"/>
      <c r="AA954" s="13" t="n"/>
      <c r="AB954" s="13" t="n"/>
      <c r="AC954" s="13" t="n"/>
      <c r="AD954" s="13" t="n"/>
      <c r="AE954" s="13" t="n"/>
      <c r="AF954" s="13" t="n"/>
      <c r="AG954" s="13" t="n"/>
      <c r="AH954" s="13" t="n"/>
      <c r="AI954" s="13" t="n"/>
    </row>
    <row r="955">
      <c r="A955" s="14" t="n">
        <v>202605</v>
      </c>
      <c r="B955" s="15">
        <f>LEFT(creditcard[[#This Row],[YYYYMM]],4)</f>
        <v/>
      </c>
      <c r="C955" s="15">
        <f>RIGHT(creditcard[[#This Row],[YYYYMM]],2)</f>
        <v/>
      </c>
      <c r="D955" s="15">
        <f>IF(RIGHT(creditcard[[#This Row],[YYYYMM]],2)="--","--","Q"&amp;ROUNDUP(VALUE(RIGHT(creditcard[[#This Row],[YYYYMM]],2))/3,0))</f>
        <v/>
      </c>
      <c r="E955" s="15" t="n">
        <v>8</v>
      </c>
      <c r="F955" s="155" t="inlineStr">
        <is>
          <t>永豐</t>
        </is>
      </c>
      <c r="G955" s="156" t="inlineStr">
        <is>
          <t>08 永豐</t>
        </is>
      </c>
      <c r="H955" s="157" t="n">
        <v>2544363</v>
      </c>
      <c r="I955" s="157" t="n">
        <v>1531633</v>
      </c>
      <c r="J955" s="157" t="n">
        <v>16004</v>
      </c>
      <c r="K955" s="157" t="n">
        <v>5869</v>
      </c>
      <c r="L955" s="157" t="n">
        <v>3928.082</v>
      </c>
      <c r="M955" s="23" t="n">
        <v>5153.547</v>
      </c>
      <c r="N955" s="157" t="n">
        <v>14270.923</v>
      </c>
      <c r="O955" s="23" t="n">
        <v>57.055</v>
      </c>
      <c r="P955" s="17" t="n">
        <v>0.0015</v>
      </c>
      <c r="Q955" s="17" t="n">
        <v>0</v>
      </c>
      <c r="R955" s="19" t="n">
        <v>5.3561</v>
      </c>
      <c r="S955" s="23" t="n">
        <v>17.112</v>
      </c>
      <c r="T955" s="23" t="n">
        <v>85.64400000000001</v>
      </c>
      <c r="U955" s="16" t="n"/>
      <c r="V955" s="158" t="n"/>
      <c r="W955" s="16" t="n"/>
      <c r="X955" s="18" t="n"/>
      <c r="Y955" s="18" t="n"/>
      <c r="Z955" s="18" t="n"/>
      <c r="AA955" s="18" t="n"/>
      <c r="AB955" s="18" t="n"/>
      <c r="AC955" s="18" t="n"/>
      <c r="AD955" s="18" t="n"/>
      <c r="AE955" s="18" t="n"/>
      <c r="AF955" s="18" t="n"/>
      <c r="AG955" s="18" t="n"/>
      <c r="AH955" s="18" t="n"/>
      <c r="AI955" s="18" t="n"/>
    </row>
    <row r="956">
      <c r="A956" s="9" t="n">
        <v>202605</v>
      </c>
      <c r="B956" s="10">
        <f>LEFT(creditcard[[#This Row],[YYYYMM]],4)</f>
        <v/>
      </c>
      <c r="C956" s="10">
        <f>RIGHT(creditcard[[#This Row],[YYYYMM]],2)</f>
        <v/>
      </c>
      <c r="D956" s="10">
        <f>IF(RIGHT(creditcard[[#This Row],[YYYYMM]],2)="--","--","Q"&amp;ROUNDUP(VALUE(RIGHT(creditcard[[#This Row],[YYYYMM]],2))/3,0))</f>
        <v/>
      </c>
      <c r="E956" s="10" t="n">
        <v>9</v>
      </c>
      <c r="F956" s="151" t="inlineStr">
        <is>
          <t>第一</t>
        </is>
      </c>
      <c r="G956" s="152" t="inlineStr">
        <is>
          <t>09 第一</t>
        </is>
      </c>
      <c r="H956" s="153" t="n">
        <v>1557124</v>
      </c>
      <c r="I956" s="153" t="n">
        <v>948403</v>
      </c>
      <c r="J956" s="153" t="n">
        <v>11222</v>
      </c>
      <c r="K956" s="153" t="n">
        <v>9561</v>
      </c>
      <c r="L956" s="153" t="n">
        <v>1245.63</v>
      </c>
      <c r="M956" s="21" t="n">
        <v>1614.804</v>
      </c>
      <c r="N956" s="153" t="n">
        <v>7069.187</v>
      </c>
      <c r="O956" s="21" t="n">
        <v>5.486</v>
      </c>
      <c r="P956" s="12" t="n">
        <v>0.001</v>
      </c>
      <c r="Q956" s="12" t="n">
        <v>0</v>
      </c>
      <c r="R956" s="20" t="n">
        <v>13.9755</v>
      </c>
      <c r="S956" s="21" t="n">
        <v>6.864</v>
      </c>
      <c r="T956" s="21" t="n">
        <v>36.495</v>
      </c>
      <c r="U956" s="11" t="n"/>
      <c r="V956" s="154" t="n"/>
      <c r="W956" s="11" t="n"/>
      <c r="X956" s="13" t="n"/>
      <c r="Y956" s="13" t="n"/>
      <c r="Z956" s="13" t="n"/>
      <c r="AA956" s="13" t="n"/>
      <c r="AB956" s="13" t="n"/>
      <c r="AC956" s="13" t="n"/>
      <c r="AD956" s="13" t="n"/>
      <c r="AE956" s="13" t="n"/>
      <c r="AF956" s="13" t="n"/>
      <c r="AG956" s="13" t="n"/>
      <c r="AH956" s="13" t="n"/>
      <c r="AI956" s="13" t="n"/>
    </row>
    <row r="957">
      <c r="A957" s="14" t="n">
        <v>202605</v>
      </c>
      <c r="B957" s="15">
        <f>LEFT(creditcard[[#This Row],[YYYYMM]],4)</f>
        <v/>
      </c>
      <c r="C957" s="15">
        <f>RIGHT(creditcard[[#This Row],[YYYYMM]],2)</f>
        <v/>
      </c>
      <c r="D957" s="15">
        <f>IF(RIGHT(creditcard[[#This Row],[YYYYMM]],2)="--","--","Q"&amp;ROUNDUP(VALUE(RIGHT(creditcard[[#This Row],[YYYYMM]],2))/3,0))</f>
        <v/>
      </c>
      <c r="E957" s="15" t="n">
        <v>10</v>
      </c>
      <c r="F957" s="155" t="inlineStr">
        <is>
          <t>遠東</t>
        </is>
      </c>
      <c r="G957" s="156" t="inlineStr">
        <is>
          <t>10 遠東</t>
        </is>
      </c>
      <c r="H957" s="157" t="n">
        <v>1282897</v>
      </c>
      <c r="I957" s="157" t="n">
        <v>882646</v>
      </c>
      <c r="J957" s="157" t="n">
        <v>5570</v>
      </c>
      <c r="K957" s="157" t="n">
        <v>7239</v>
      </c>
      <c r="L957" s="157" t="n">
        <v>3164.636</v>
      </c>
      <c r="M957" s="23" t="n">
        <v>3299.98</v>
      </c>
      <c r="N957" s="157" t="n">
        <v>3973.826</v>
      </c>
      <c r="O957" s="23" t="n">
        <v>69.539</v>
      </c>
      <c r="P957" s="17" t="n">
        <v>0.0028</v>
      </c>
      <c r="Q957" s="17" t="n">
        <v>0.0002</v>
      </c>
      <c r="R957" s="19" t="n">
        <v>1.0237</v>
      </c>
      <c r="S957" s="23" t="n">
        <v>10.08</v>
      </c>
      <c r="T957" s="23" t="n">
        <v>56.441</v>
      </c>
      <c r="U957" s="16" t="n"/>
      <c r="V957" s="158" t="n"/>
      <c r="W957" s="16" t="n"/>
      <c r="X957" s="18" t="n"/>
      <c r="Y957" s="18" t="n"/>
      <c r="Z957" s="18" t="n"/>
      <c r="AA957" s="18" t="n"/>
      <c r="AB957" s="18" t="n"/>
      <c r="AC957" s="18" t="n"/>
      <c r="AD957" s="18" t="n"/>
      <c r="AE957" s="18" t="n"/>
      <c r="AF957" s="18" t="n"/>
      <c r="AG957" s="18" t="n"/>
      <c r="AH957" s="18" t="n"/>
      <c r="AI957" s="18" t="n"/>
    </row>
    <row r="958">
      <c r="A958" s="9" t="n">
        <v>202605</v>
      </c>
      <c r="B958" s="10">
        <f>LEFT(creditcard[[#This Row],[YYYYMM]],4)</f>
        <v/>
      </c>
      <c r="C958" s="10">
        <f>RIGHT(creditcard[[#This Row],[YYYYMM]],2)</f>
        <v/>
      </c>
      <c r="D958" s="10">
        <f>IF(RIGHT(creditcard[[#This Row],[YYYYMM]],2)="--","--","Q"&amp;ROUNDUP(VALUE(RIGHT(creditcard[[#This Row],[YYYYMM]],2))/3,0))</f>
        <v/>
      </c>
      <c r="E958" s="10" t="n">
        <v>11</v>
      </c>
      <c r="F958" s="151" t="inlineStr">
        <is>
          <t>市場總計</t>
        </is>
      </c>
      <c r="G958" s="152" t="inlineStr">
        <is>
          <t>11 市場總計</t>
        </is>
      </c>
      <c r="H958" s="153" t="n">
        <v>59713135</v>
      </c>
      <c r="I958" s="153" t="n">
        <v>40131168</v>
      </c>
      <c r="J958" s="153" t="n">
        <v>423156</v>
      </c>
      <c r="K958" s="153" t="n">
        <v>306601</v>
      </c>
      <c r="L958" s="153" t="n">
        <v>115363.762</v>
      </c>
      <c r="M958" s="161" t="n">
        <v>162009.647</v>
      </c>
      <c r="N958" s="153" t="n">
        <v>420155.903</v>
      </c>
      <c r="O958" s="161" t="n">
        <v>1484.966</v>
      </c>
      <c r="P958" s="12" t="n">
        <v>0.00234942026839242</v>
      </c>
      <c r="Q958" s="12" t="n">
        <v>0.000194661180633681</v>
      </c>
      <c r="R958" s="20" t="n">
        <v>5.16935452747849</v>
      </c>
      <c r="S958" s="161" t="n">
        <v>539.45</v>
      </c>
      <c r="T958" s="161" t="n">
        <v>2848.338</v>
      </c>
      <c r="U958" s="11" t="n"/>
      <c r="V958" s="154" t="n"/>
      <c r="W958" s="11">
        <f>SUMIFS(H:H,A:A,creditcard[[#This Row],[YYYYMM]],G:G,creditcard[[#This Row],[Item]])</f>
        <v/>
      </c>
      <c r="X958" s="4">
        <f>IFERROR(SUMIFS(H:H,A:A,creditcard[[#This Row],[YYYYMM]],E:E,"&lt;=5")/creditcard[[#This Row],[市場總計]],"")</f>
        <v/>
      </c>
      <c r="Y958" s="4">
        <f>IFERROR(SUMIFS(H:H,A:A,creditcard[[#This Row],[YYYYMM]],E:E,"&lt;=10")/creditcard[[#This Row],[市場總計]],"")</f>
        <v/>
      </c>
      <c r="Z958" s="4">
        <f>IFERROR(SUMIFS(I:I,A:A,creditcard[[#This Row],[YYYYMM]],E:E,"&lt;=5")/creditcard[[#This Row],[有效卡數]],"")</f>
        <v/>
      </c>
      <c r="AA958" s="4">
        <f>IFERROR(SUMIFS(I:I,A:A,creditcard[[#This Row],[YYYYMM]],E:E,"&lt;=10")/creditcard[[#This Row],[有效卡數]],"")</f>
        <v/>
      </c>
      <c r="AB958" s="4">
        <f>IFERROR(SUMIFS(J:J,A:A,creditcard[[#This Row],[YYYYMM]],E:E,"&lt;=5")/creditcard[[#This Row],[當月發卡數]],"")</f>
        <v/>
      </c>
      <c r="AC958" s="4">
        <f>IFERROR(SUMIFS(J:J,A:A,creditcard[[#This Row],[YYYYMM]],E:E,"&lt;=10")/creditcard[[#This Row],[當月發卡數]],"")</f>
        <v/>
      </c>
      <c r="AD958" s="4">
        <f>IFERROR(SUMIFS(K:K,A:A,creditcard[[#This Row],[YYYYMM]],E:E,"&lt;=5")/creditcard[[#This Row],[當月停卡數]],"")</f>
        <v/>
      </c>
      <c r="AE958" s="4">
        <f>IFERROR(SUMIFS(K:K,A:A,creditcard[[#This Row],[YYYYMM]],E:E,"&lt;=10")/creditcard[[#This Row],[當月停卡數]],"")</f>
        <v/>
      </c>
      <c r="AF958" s="4">
        <f>IFERROR(SUMIFS(L:L,A:A,creditcard[[#This Row],[YYYYMM]],E:E,"&lt;=5")/creditcard[[#This Row],[循環信用餘額]],"")</f>
        <v/>
      </c>
      <c r="AG958" s="4">
        <f>IFERROR(SUMIFS(L:L,A:A,creditcard[[#This Row],[YYYYMM]],E:E,"&lt;=10")/creditcard[[#This Row],[循環信用餘額]],"")</f>
        <v/>
      </c>
      <c r="AH958" s="4">
        <f>IFERROR(SUMIFS(N:N,A:A,creditcard[[#This Row],[YYYYMM]],E:E,"&lt;=5")/creditcard[[#This Row],[當月簽帳金額]],"")</f>
        <v/>
      </c>
      <c r="AI958" s="4">
        <f>IFERROR(SUMIFS(N:N,A:A,creditcard[[#This Row],[YYYYMM]],E:E,"&lt;=10")/creditcard[[#This Row],[當月簽帳金額]],"")</f>
        <v/>
      </c>
    </row>
    <row r="959">
      <c r="A959" s="14" t="n">
        <v>202604</v>
      </c>
      <c r="B959" s="15">
        <f>LEFT(creditcard[[#This Row],[YYYYMM]],4)</f>
        <v/>
      </c>
      <c r="C959" s="15">
        <f>RIGHT(creditcard[[#This Row],[YYYYMM]],2)</f>
        <v/>
      </c>
      <c r="D959" s="15">
        <f>IF(RIGHT(creditcard[[#This Row],[YYYYMM]],2)="--","--","Q"&amp;ROUNDUP(VALUE(RIGHT(creditcard[[#This Row],[YYYYMM]],2))/3,0))</f>
        <v/>
      </c>
      <c r="E959" s="15" t="n">
        <v>1</v>
      </c>
      <c r="F959" s="155" t="inlineStr">
        <is>
          <t>中信</t>
        </is>
      </c>
      <c r="G959" s="156" t="inlineStr">
        <is>
          <t>01 中信</t>
        </is>
      </c>
      <c r="H959" s="157" t="n">
        <v>9683632</v>
      </c>
      <c r="I959" s="157" t="n">
        <v>6854659</v>
      </c>
      <c r="J959" s="157" t="n">
        <v>125113</v>
      </c>
      <c r="K959" s="157" t="n">
        <v>56907</v>
      </c>
      <c r="L959" s="157" t="n">
        <v>17593.587</v>
      </c>
      <c r="M959" s="23" t="n">
        <v>21098.51</v>
      </c>
      <c r="N959" s="157" t="n">
        <v>80308.538</v>
      </c>
      <c r="O959" s="23" t="n">
        <v>488.904</v>
      </c>
      <c r="P959" s="17" t="n">
        <v>0.0012</v>
      </c>
      <c r="Q959" s="17" t="n">
        <v>0</v>
      </c>
      <c r="R959" s="19" t="n">
        <v>2.9381</v>
      </c>
      <c r="S959" s="23" t="n">
        <v>88.878</v>
      </c>
      <c r="T959" s="23" t="n">
        <v>345.838</v>
      </c>
      <c r="U959" s="24" t="n">
        <v>11383</v>
      </c>
      <c r="V959" s="158" t="n"/>
      <c r="W959" s="16" t="n"/>
      <c r="X959" s="18" t="n"/>
      <c r="Y959" s="18" t="n"/>
      <c r="Z959" s="18" t="n"/>
      <c r="AA959" s="18" t="n"/>
      <c r="AB959" s="18" t="n"/>
      <c r="AC959" s="18" t="n"/>
      <c r="AD959" s="18" t="n"/>
      <c r="AE959" s="18" t="n"/>
      <c r="AF959" s="18" t="n"/>
      <c r="AG959" s="18" t="n"/>
      <c r="AH959" s="18" t="n"/>
      <c r="AI959" s="18" t="n"/>
    </row>
    <row r="960">
      <c r="A960" s="9" t="n">
        <v>202604</v>
      </c>
      <c r="B960" s="10">
        <f>LEFT(creditcard[[#This Row],[YYYYMM]],4)</f>
        <v/>
      </c>
      <c r="C960" s="10">
        <f>RIGHT(creditcard[[#This Row],[YYYYMM]],2)</f>
        <v/>
      </c>
      <c r="D960" s="10">
        <f>IF(RIGHT(creditcard[[#This Row],[YYYYMM]],2)="--","--","Q"&amp;ROUNDUP(VALUE(RIGHT(creditcard[[#This Row],[YYYYMM]],2))/3,0))</f>
        <v/>
      </c>
      <c r="E960" s="10" t="n">
        <v>2</v>
      </c>
      <c r="F960" s="151" t="inlineStr">
        <is>
          <t>富邦</t>
        </is>
      </c>
      <c r="G960" s="152" t="inlineStr">
        <is>
          <t>02 富邦</t>
        </is>
      </c>
      <c r="H960" s="153" t="n">
        <v>7502574</v>
      </c>
      <c r="I960" s="153" t="n">
        <v>5867488</v>
      </c>
      <c r="J960" s="153" t="n">
        <v>56447</v>
      </c>
      <c r="K960" s="153" t="n">
        <v>12514</v>
      </c>
      <c r="L960" s="153" t="n">
        <v>11232.353</v>
      </c>
      <c r="M960" s="21" t="n">
        <v>30581.979</v>
      </c>
      <c r="N960" s="153" t="n">
        <v>51145.198</v>
      </c>
      <c r="O960" s="21" t="n">
        <v>96.294</v>
      </c>
      <c r="P960" s="12" t="n">
        <v>0.0018</v>
      </c>
      <c r="Q960" s="12" t="n">
        <v>0</v>
      </c>
      <c r="R960" s="20" t="n">
        <v>15.3345</v>
      </c>
      <c r="S960" s="21" t="n">
        <v>78.069</v>
      </c>
      <c r="T960" s="21" t="n">
        <v>328.499</v>
      </c>
      <c r="U960" s="11" t="n"/>
      <c r="V960" s="154" t="n"/>
      <c r="W960" s="11" t="n"/>
      <c r="X960" s="13" t="n"/>
      <c r="Y960" s="13" t="n"/>
      <c r="Z960" s="13" t="n"/>
      <c r="AA960" s="13" t="n"/>
      <c r="AB960" s="13" t="n"/>
      <c r="AC960" s="13" t="n"/>
      <c r="AD960" s="13" t="n"/>
      <c r="AE960" s="13" t="n"/>
      <c r="AF960" s="13" t="n"/>
      <c r="AG960" s="13" t="n"/>
      <c r="AH960" s="13" t="n"/>
      <c r="AI960" s="13" t="n"/>
    </row>
    <row r="961">
      <c r="A961" s="14" t="n">
        <v>202604</v>
      </c>
      <c r="B961" s="15">
        <f>LEFT(creditcard[[#This Row],[YYYYMM]],4)</f>
        <v/>
      </c>
      <c r="C961" s="15">
        <f>RIGHT(creditcard[[#This Row],[YYYYMM]],2)</f>
        <v/>
      </c>
      <c r="D961" s="15">
        <f>IF(RIGHT(creditcard[[#This Row],[YYYYMM]],2)="--","--","Q"&amp;ROUNDUP(VALUE(RIGHT(creditcard[[#This Row],[YYYYMM]],2))/3,0))</f>
        <v/>
      </c>
      <c r="E961" s="15" t="n">
        <v>3</v>
      </c>
      <c r="F961" s="155" t="inlineStr">
        <is>
          <t>國泰</t>
        </is>
      </c>
      <c r="G961" s="156" t="inlineStr">
        <is>
          <t>03 國泰</t>
        </is>
      </c>
      <c r="H961" s="157" t="n">
        <v>7436751</v>
      </c>
      <c r="I961" s="157" t="n">
        <v>5282104</v>
      </c>
      <c r="J961" s="157" t="n">
        <v>51918</v>
      </c>
      <c r="K961" s="157" t="n">
        <v>25166</v>
      </c>
      <c r="L961" s="157" t="n">
        <v>21799.619</v>
      </c>
      <c r="M961" s="23" t="n">
        <v>22488.465</v>
      </c>
      <c r="N961" s="157" t="n">
        <v>74647.98699999999</v>
      </c>
      <c r="O961" s="23" t="n">
        <v>200.212</v>
      </c>
      <c r="P961" s="17" t="n">
        <v>0.0022</v>
      </c>
      <c r="Q961" s="17" t="n">
        <v>0</v>
      </c>
      <c r="R961" s="19" t="n">
        <v>9.5589</v>
      </c>
      <c r="S961" s="23" t="n">
        <v>87.273</v>
      </c>
      <c r="T961" s="23" t="n">
        <v>376.028</v>
      </c>
      <c r="U961" s="16" t="n"/>
      <c r="V961" s="158" t="n"/>
      <c r="W961" s="16" t="n"/>
      <c r="X961" s="18" t="n"/>
      <c r="Y961" s="18" t="n"/>
      <c r="Z961" s="18" t="n"/>
      <c r="AA961" s="18" t="n"/>
      <c r="AB961" s="18" t="n"/>
      <c r="AC961" s="18" t="n"/>
      <c r="AD961" s="18" t="n"/>
      <c r="AE961" s="18" t="n"/>
      <c r="AF961" s="18" t="n"/>
      <c r="AG961" s="18" t="n"/>
      <c r="AH961" s="18" t="n"/>
      <c r="AI961" s="18" t="n"/>
    </row>
    <row r="962">
      <c r="A962" s="9" t="n">
        <v>202604</v>
      </c>
      <c r="B962" s="10">
        <f>LEFT(creditcard[[#This Row],[YYYYMM]],4)</f>
        <v/>
      </c>
      <c r="C962" s="10">
        <f>RIGHT(creditcard[[#This Row],[YYYYMM]],2)</f>
        <v/>
      </c>
      <c r="D962" s="10">
        <f>IF(RIGHT(creditcard[[#This Row],[YYYYMM]],2)="--","--","Q"&amp;ROUNDUP(VALUE(RIGHT(creditcard[[#This Row],[YYYYMM]],2))/3,0))</f>
        <v/>
      </c>
      <c r="E962" s="10" t="n">
        <v>4</v>
      </c>
      <c r="F962" s="151" t="inlineStr">
        <is>
          <t>玉山</t>
        </is>
      </c>
      <c r="G962" s="152" t="inlineStr">
        <is>
          <t>04 玉山</t>
        </is>
      </c>
      <c r="H962" s="153" t="n">
        <v>7456426</v>
      </c>
      <c r="I962" s="153" t="n">
        <v>4860784</v>
      </c>
      <c r="J962" s="153" t="n">
        <v>49612</v>
      </c>
      <c r="K962" s="153" t="n">
        <v>55934</v>
      </c>
      <c r="L962" s="153" t="n">
        <v>17599.801</v>
      </c>
      <c r="M962" s="21" t="n">
        <v>18411.944</v>
      </c>
      <c r="N962" s="153" t="n">
        <v>49602.827</v>
      </c>
      <c r="O962" s="21" t="n">
        <v>229.472</v>
      </c>
      <c r="P962" s="12" t="n">
        <v>0.0034</v>
      </c>
      <c r="Q962" s="12" t="n">
        <v>0.0009</v>
      </c>
      <c r="R962" s="20" t="n">
        <v>4.2967</v>
      </c>
      <c r="S962" s="21" t="n">
        <v>67.67100000000001</v>
      </c>
      <c r="T962" s="21" t="n">
        <v>322.838</v>
      </c>
      <c r="U962" s="11" t="n"/>
      <c r="V962" s="154" t="n"/>
      <c r="W962" s="11" t="n"/>
      <c r="X962" s="13" t="n"/>
      <c r="Y962" s="13" t="n"/>
      <c r="Z962" s="13" t="n"/>
      <c r="AA962" s="13" t="n"/>
      <c r="AB962" s="13" t="n"/>
      <c r="AC962" s="13" t="n"/>
      <c r="AD962" s="13" t="n"/>
      <c r="AE962" s="13" t="n"/>
      <c r="AF962" s="13" t="n"/>
      <c r="AG962" s="13" t="n"/>
      <c r="AH962" s="13" t="n"/>
      <c r="AI962" s="13" t="n"/>
    </row>
    <row r="963">
      <c r="A963" s="14" t="n">
        <v>202604</v>
      </c>
      <c r="B963" s="15">
        <f>LEFT(creditcard[[#This Row],[YYYYMM]],4)</f>
        <v/>
      </c>
      <c r="C963" s="15">
        <f>RIGHT(creditcard[[#This Row],[YYYYMM]],2)</f>
        <v/>
      </c>
      <c r="D963" s="15">
        <f>IF(RIGHT(creditcard[[#This Row],[YYYYMM]],2)="--","--","Q"&amp;ROUNDUP(VALUE(RIGHT(creditcard[[#This Row],[YYYYMM]],2))/3,0))</f>
        <v/>
      </c>
      <c r="E963" s="15" t="n">
        <v>5</v>
      </c>
      <c r="F963" s="155" t="inlineStr">
        <is>
          <t>台新</t>
        </is>
      </c>
      <c r="G963" s="156" t="inlineStr">
        <is>
          <t>05 台新</t>
        </is>
      </c>
      <c r="H963" s="157" t="n">
        <v>6657410</v>
      </c>
      <c r="I963" s="157" t="n">
        <v>4777775</v>
      </c>
      <c r="J963" s="157" t="n">
        <v>39162</v>
      </c>
      <c r="K963" s="157" t="n">
        <v>33288</v>
      </c>
      <c r="L963" s="157" t="n">
        <v>11135.328</v>
      </c>
      <c r="M963" s="23" t="n">
        <v>20294.316</v>
      </c>
      <c r="N963" s="157" t="n">
        <v>46769.773</v>
      </c>
      <c r="O963" s="23" t="n">
        <v>121.668</v>
      </c>
      <c r="P963" s="17" t="n">
        <v>0.002</v>
      </c>
      <c r="Q963" s="17" t="n">
        <v>0.0002</v>
      </c>
      <c r="R963" s="19" t="n">
        <v>6.6686</v>
      </c>
      <c r="S963" s="23" t="n">
        <v>36.143</v>
      </c>
      <c r="T963" s="23" t="n">
        <v>159.495</v>
      </c>
      <c r="U963" s="16" t="n"/>
      <c r="V963" s="158" t="n"/>
      <c r="W963" s="16" t="n"/>
      <c r="X963" s="18" t="n"/>
      <c r="Y963" s="18" t="n"/>
      <c r="Z963" s="18" t="n"/>
      <c r="AA963" s="18" t="n"/>
      <c r="AB963" s="18" t="n"/>
      <c r="AC963" s="18" t="n"/>
      <c r="AD963" s="18" t="n"/>
      <c r="AE963" s="18" t="n"/>
      <c r="AF963" s="18" t="n"/>
      <c r="AG963" s="18" t="n"/>
      <c r="AH963" s="18" t="n"/>
      <c r="AI963" s="18" t="n"/>
    </row>
    <row r="964">
      <c r="A964" s="9" t="n">
        <v>202604</v>
      </c>
      <c r="B964" s="10">
        <f>LEFT(creditcard[[#This Row],[YYYYMM]],4)</f>
        <v/>
      </c>
      <c r="C964" s="10">
        <f>RIGHT(creditcard[[#This Row],[YYYYMM]],2)</f>
        <v/>
      </c>
      <c r="D964" s="10">
        <f>IF(RIGHT(creditcard[[#This Row],[YYYYMM]],2)="--","--","Q"&amp;ROUNDUP(VALUE(RIGHT(creditcard[[#This Row],[YYYYMM]],2))/3,0))</f>
        <v/>
      </c>
      <c r="E964" s="10" t="n">
        <v>6</v>
      </c>
      <c r="F964" s="151" t="inlineStr">
        <is>
          <t>星展</t>
        </is>
      </c>
      <c r="G964" s="152" t="inlineStr">
        <is>
          <t>06 星展</t>
        </is>
      </c>
      <c r="H964" s="153" t="n">
        <v>3186632</v>
      </c>
      <c r="I964" s="153" t="n">
        <v>2062426</v>
      </c>
      <c r="J964" s="153" t="n">
        <v>8876</v>
      </c>
      <c r="K964" s="153" t="n">
        <v>16154</v>
      </c>
      <c r="L964" s="153" t="n">
        <v>8903.589</v>
      </c>
      <c r="M964" s="21" t="n">
        <v>14513.486</v>
      </c>
      <c r="N964" s="153" t="n">
        <v>20856.282</v>
      </c>
      <c r="O964" s="21" t="n">
        <v>122.722</v>
      </c>
      <c r="P964" s="12" t="n">
        <v>0.005</v>
      </c>
      <c r="Q964" s="12" t="n">
        <v>0.0002</v>
      </c>
      <c r="R964" s="20" t="n">
        <v>5.2028</v>
      </c>
      <c r="S964" s="21" t="n">
        <v>51.334</v>
      </c>
      <c r="T964" s="21" t="n">
        <v>201.957</v>
      </c>
      <c r="U964" s="11" t="n"/>
      <c r="V964" s="154" t="n"/>
      <c r="W964" s="11" t="n"/>
      <c r="X964" s="13" t="n"/>
      <c r="Y964" s="13" t="n"/>
      <c r="Z964" s="13" t="n"/>
      <c r="AA964" s="13" t="n"/>
      <c r="AB964" s="13" t="n"/>
      <c r="AC964" s="13" t="n"/>
      <c r="AD964" s="13" t="n"/>
      <c r="AE964" s="13" t="n"/>
      <c r="AF964" s="13" t="n"/>
      <c r="AG964" s="13" t="n"/>
      <c r="AH964" s="13" t="n"/>
      <c r="AI964" s="13" t="n"/>
    </row>
    <row r="965">
      <c r="A965" s="14" t="n">
        <v>202604</v>
      </c>
      <c r="B965" s="15">
        <f>LEFT(creditcard[[#This Row],[YYYYMM]],4)</f>
        <v/>
      </c>
      <c r="C965" s="15">
        <f>RIGHT(creditcard[[#This Row],[YYYYMM]],2)</f>
        <v/>
      </c>
      <c r="D965" s="15">
        <f>IF(RIGHT(creditcard[[#This Row],[YYYYMM]],2)="--","--","Q"&amp;ROUNDUP(VALUE(RIGHT(creditcard[[#This Row],[YYYYMM]],2))/3,0))</f>
        <v/>
      </c>
      <c r="E965" s="15" t="n">
        <v>7</v>
      </c>
      <c r="F965" s="155" t="inlineStr">
        <is>
          <t>聯邦</t>
        </is>
      </c>
      <c r="G965" s="156" t="inlineStr">
        <is>
          <t>07 聯邦</t>
        </is>
      </c>
      <c r="H965" s="157" t="n">
        <v>2746301</v>
      </c>
      <c r="I965" s="157" t="n">
        <v>1848148</v>
      </c>
      <c r="J965" s="157" t="n">
        <v>23028</v>
      </c>
      <c r="K965" s="157" t="n">
        <v>23089</v>
      </c>
      <c r="L965" s="157" t="n">
        <v>6499.507</v>
      </c>
      <c r="M965" s="23" t="n">
        <v>6375.158</v>
      </c>
      <c r="N965" s="157" t="n">
        <v>13593.499</v>
      </c>
      <c r="O965" s="23" t="n">
        <v>31.266</v>
      </c>
      <c r="P965" s="17" t="n">
        <v>0.0019</v>
      </c>
      <c r="Q965" s="17" t="n">
        <v>0</v>
      </c>
      <c r="R965" s="19" t="n">
        <v>2.5283</v>
      </c>
      <c r="S965" s="23" t="n">
        <v>24.524</v>
      </c>
      <c r="T965" s="23" t="n">
        <v>93.815</v>
      </c>
      <c r="U965" s="16" t="n"/>
      <c r="V965" s="158" t="n"/>
      <c r="W965" s="16" t="n"/>
      <c r="X965" s="18" t="n"/>
      <c r="Y965" s="18" t="n"/>
      <c r="Z965" s="18" t="n"/>
      <c r="AA965" s="18" t="n"/>
      <c r="AB965" s="18" t="n"/>
      <c r="AC965" s="18" t="n"/>
      <c r="AD965" s="18" t="n"/>
      <c r="AE965" s="18" t="n"/>
      <c r="AF965" s="18" t="n"/>
      <c r="AG965" s="18" t="n"/>
      <c r="AH965" s="18" t="n"/>
      <c r="AI965" s="18" t="n"/>
    </row>
    <row r="966">
      <c r="A966" s="9" t="n">
        <v>202604</v>
      </c>
      <c r="B966" s="10">
        <f>LEFT(creditcard[[#This Row],[YYYYMM]],4)</f>
        <v/>
      </c>
      <c r="C966" s="10">
        <f>RIGHT(creditcard[[#This Row],[YYYYMM]],2)</f>
        <v/>
      </c>
      <c r="D966" s="10">
        <f>IF(RIGHT(creditcard[[#This Row],[YYYYMM]],2)="--","--","Q"&amp;ROUNDUP(VALUE(RIGHT(creditcard[[#This Row],[YYYYMM]],2))/3,0))</f>
        <v/>
      </c>
      <c r="E966" s="10" t="n">
        <v>8</v>
      </c>
      <c r="F966" s="151" t="inlineStr">
        <is>
          <t>永豐</t>
        </is>
      </c>
      <c r="G966" s="152" t="inlineStr">
        <is>
          <t>08 永豐</t>
        </is>
      </c>
      <c r="H966" s="153" t="n">
        <v>2534599</v>
      </c>
      <c r="I966" s="153" t="n">
        <v>1533710</v>
      </c>
      <c r="J966" s="153" t="n">
        <v>18188</v>
      </c>
      <c r="K966" s="153" t="n">
        <v>6116</v>
      </c>
      <c r="L966" s="153" t="n">
        <v>3829.211</v>
      </c>
      <c r="M966" s="21" t="n">
        <v>5080.931</v>
      </c>
      <c r="N966" s="153" t="n">
        <v>14122.203</v>
      </c>
      <c r="O966" s="21" t="n">
        <v>59.166</v>
      </c>
      <c r="P966" s="12" t="n">
        <v>0.0015</v>
      </c>
      <c r="Q966" s="12" t="n">
        <v>0</v>
      </c>
      <c r="R966" s="20" t="n">
        <v>5.5159</v>
      </c>
      <c r="S966" s="21" t="n">
        <v>18.937</v>
      </c>
      <c r="T966" s="21" t="n">
        <v>68.532</v>
      </c>
      <c r="U966" s="11" t="n"/>
      <c r="V966" s="154" t="n"/>
      <c r="W966" s="11" t="n"/>
      <c r="X966" s="13" t="n"/>
      <c r="Y966" s="13" t="n"/>
      <c r="Z966" s="13" t="n"/>
      <c r="AA966" s="13" t="n"/>
      <c r="AB966" s="13" t="n"/>
      <c r="AC966" s="13" t="n"/>
      <c r="AD966" s="13" t="n"/>
      <c r="AE966" s="13" t="n"/>
      <c r="AF966" s="13" t="n"/>
      <c r="AG966" s="13" t="n"/>
      <c r="AH966" s="13" t="n"/>
      <c r="AI966" s="13" t="n"/>
    </row>
    <row r="967">
      <c r="A967" s="14" t="n">
        <v>202604</v>
      </c>
      <c r="B967" s="15">
        <f>LEFT(creditcard[[#This Row],[YYYYMM]],4)</f>
        <v/>
      </c>
      <c r="C967" s="15">
        <f>RIGHT(creditcard[[#This Row],[YYYYMM]],2)</f>
        <v/>
      </c>
      <c r="D967" s="15">
        <f>IF(RIGHT(creditcard[[#This Row],[YYYYMM]],2)="--","--","Q"&amp;ROUNDUP(VALUE(RIGHT(creditcard[[#This Row],[YYYYMM]],2))/3,0))</f>
        <v/>
      </c>
      <c r="E967" s="15" t="n">
        <v>9</v>
      </c>
      <c r="F967" s="155" t="inlineStr">
        <is>
          <t>第一</t>
        </is>
      </c>
      <c r="G967" s="156" t="inlineStr">
        <is>
          <t>09 第一</t>
        </is>
      </c>
      <c r="H967" s="157" t="n">
        <v>1555075</v>
      </c>
      <c r="I967" s="157" t="n">
        <v>952085</v>
      </c>
      <c r="J967" s="157" t="n">
        <v>13093</v>
      </c>
      <c r="K967" s="157" t="n">
        <v>7845</v>
      </c>
      <c r="L967" s="157" t="n">
        <v>1248.884</v>
      </c>
      <c r="M967" s="23" t="n">
        <v>1604.302</v>
      </c>
      <c r="N967" s="157" t="n">
        <v>6958.306</v>
      </c>
      <c r="O967" s="23" t="n">
        <v>5.285</v>
      </c>
      <c r="P967" s="17" t="n">
        <v>0.0012</v>
      </c>
      <c r="Q967" s="17" t="n">
        <v>0</v>
      </c>
      <c r="R967" s="19" t="n">
        <v>13.143</v>
      </c>
      <c r="S967" s="23" t="n">
        <v>7.436</v>
      </c>
      <c r="T967" s="23" t="n">
        <v>29.631</v>
      </c>
      <c r="U967" s="16" t="n"/>
      <c r="V967" s="158" t="n"/>
      <c r="W967" s="16" t="n"/>
      <c r="X967" s="18" t="n"/>
      <c r="Y967" s="18" t="n"/>
      <c r="Z967" s="18" t="n"/>
      <c r="AA967" s="18" t="n"/>
      <c r="AB967" s="18" t="n"/>
      <c r="AC967" s="18" t="n"/>
      <c r="AD967" s="18" t="n"/>
      <c r="AE967" s="18" t="n"/>
      <c r="AF967" s="18" t="n"/>
      <c r="AG967" s="18" t="n"/>
      <c r="AH967" s="18" t="n"/>
      <c r="AI967" s="18" t="n"/>
    </row>
    <row r="968">
      <c r="A968" s="9" t="n">
        <v>202604</v>
      </c>
      <c r="B968" s="10">
        <f>LEFT(creditcard[[#This Row],[YYYYMM]],4)</f>
        <v/>
      </c>
      <c r="C968" s="10">
        <f>RIGHT(creditcard[[#This Row],[YYYYMM]],2)</f>
        <v/>
      </c>
      <c r="D968" s="10">
        <f>IF(RIGHT(creditcard[[#This Row],[YYYYMM]],2)="--","--","Q"&amp;ROUNDUP(VALUE(RIGHT(creditcard[[#This Row],[YYYYMM]],2))/3,0))</f>
        <v/>
      </c>
      <c r="E968" s="10" t="n">
        <v>10</v>
      </c>
      <c r="F968" s="151" t="inlineStr">
        <is>
          <t>遠東</t>
        </is>
      </c>
      <c r="G968" s="152" t="inlineStr">
        <is>
          <t>10 遠東</t>
        </is>
      </c>
      <c r="H968" s="153" t="n">
        <v>1284536</v>
      </c>
      <c r="I968" s="153" t="n">
        <v>888524</v>
      </c>
      <c r="J968" s="153" t="n">
        <v>5969</v>
      </c>
      <c r="K968" s="153" t="n">
        <v>6984</v>
      </c>
      <c r="L968" s="153" t="n">
        <v>3103.932</v>
      </c>
      <c r="M968" s="21" t="n">
        <v>3392.808</v>
      </c>
      <c r="N968" s="153" t="n">
        <v>3881.644</v>
      </c>
      <c r="O968" s="21" t="n">
        <v>67.687</v>
      </c>
      <c r="P968" s="12" t="n">
        <v>0.0027</v>
      </c>
      <c r="Q968" s="12" t="n">
        <v>0.0003</v>
      </c>
      <c r="R968" s="20" t="n">
        <v>1.0302</v>
      </c>
      <c r="S968" s="21" t="n">
        <v>11.973</v>
      </c>
      <c r="T968" s="21" t="n">
        <v>46.361</v>
      </c>
      <c r="U968" s="11" t="n"/>
      <c r="V968" s="154" t="n"/>
      <c r="W968" s="11" t="n"/>
      <c r="X968" s="13" t="n"/>
      <c r="Y968" s="13" t="n"/>
      <c r="Z968" s="13" t="n"/>
      <c r="AA968" s="13" t="n"/>
      <c r="AB968" s="13" t="n"/>
      <c r="AC968" s="13" t="n"/>
      <c r="AD968" s="13" t="n"/>
      <c r="AE968" s="13" t="n"/>
      <c r="AF968" s="13" t="n"/>
      <c r="AG968" s="13" t="n"/>
      <c r="AH968" s="13" t="n"/>
      <c r="AI968" s="13" t="n"/>
    </row>
    <row r="969">
      <c r="A969" s="25" t="n">
        <v>202604</v>
      </c>
      <c r="B969" s="26">
        <f>LEFT(creditcard[[#This Row],[YYYYMM]],4)</f>
        <v/>
      </c>
      <c r="C969" s="26">
        <f>RIGHT(creditcard[[#This Row],[YYYYMM]],2)</f>
        <v/>
      </c>
      <c r="D969" s="26">
        <f>IF(RIGHT(creditcard[[#This Row],[YYYYMM]],2)="--","--","Q"&amp;ROUNDUP(VALUE(RIGHT(creditcard[[#This Row],[YYYYMM]],2))/3,0))</f>
        <v/>
      </c>
      <c r="E969" s="26" t="n">
        <v>11</v>
      </c>
      <c r="F969" s="162" t="inlineStr">
        <is>
          <t>市場總計</t>
        </is>
      </c>
      <c r="G969" s="163" t="inlineStr">
        <is>
          <t>11 市場總計</t>
        </is>
      </c>
      <c r="H969" s="164" t="n">
        <v>59577176</v>
      </c>
      <c r="I969" s="164" t="n">
        <v>40119422</v>
      </c>
      <c r="J969" s="164" t="n">
        <v>448401</v>
      </c>
      <c r="K969" s="164" t="n">
        <v>325424</v>
      </c>
      <c r="L969" s="164" t="n">
        <v>116522.14</v>
      </c>
      <c r="M969" s="165" t="n">
        <v>165666.992</v>
      </c>
      <c r="N969" s="164" t="n">
        <v>415926.228</v>
      </c>
      <c r="O969" s="165" t="n">
        <v>1493.435</v>
      </c>
      <c r="P969" s="27" t="n">
        <v>0.00233672923618975</v>
      </c>
      <c r="Q969" s="27" t="n">
        <v>0.000241697988056504</v>
      </c>
      <c r="R969" s="28" t="n">
        <v>5.12008452182493</v>
      </c>
      <c r="S969" s="165" t="n">
        <v>555.5839999999999</v>
      </c>
      <c r="T969" s="165" t="n">
        <v>2308.888</v>
      </c>
      <c r="U969" s="29" t="n"/>
      <c r="V969" s="166" t="n">
        <v>4.55</v>
      </c>
      <c r="W969" s="29">
        <f>SUMIFS(H:H,A:A,creditcard[[#This Row],[YYYYMM]],G:G,creditcard[[#This Row],[Item]])</f>
        <v/>
      </c>
      <c r="X969" s="4">
        <f>IFERROR(SUMIFS(H:H,A:A,creditcard[[#This Row],[YYYYMM]],E:E,"&lt;=5")/creditcard[[#This Row],[市場總計]],"")</f>
        <v/>
      </c>
      <c r="Y969" s="4">
        <f>IFERROR(SUMIFS(H:H,A:A,creditcard[[#This Row],[YYYYMM]],E:E,"&lt;=10")/creditcard[[#This Row],[市場總計]],"")</f>
        <v/>
      </c>
      <c r="Z969" s="4">
        <f>IFERROR(SUMIFS(I:I,A:A,creditcard[[#This Row],[YYYYMM]],E:E,"&lt;=5")/creditcard[[#This Row],[有效卡數]],"")</f>
        <v/>
      </c>
      <c r="AA969" s="4">
        <f>IFERROR(SUMIFS(I:I,A:A,creditcard[[#This Row],[YYYYMM]],E:E,"&lt;=10")/creditcard[[#This Row],[有效卡數]],"")</f>
        <v/>
      </c>
      <c r="AB969" s="4">
        <f>IFERROR(SUMIFS(J:J,A:A,creditcard[[#This Row],[YYYYMM]],E:E,"&lt;=5")/creditcard[[#This Row],[當月發卡數]],"")</f>
        <v/>
      </c>
      <c r="AC969" s="4">
        <f>IFERROR(SUMIFS(J:J,A:A,creditcard[[#This Row],[YYYYMM]],E:E,"&lt;=10")/creditcard[[#This Row],[當月發卡數]],"")</f>
        <v/>
      </c>
      <c r="AD969" s="4">
        <f>IFERROR(SUMIFS(K:K,A:A,creditcard[[#This Row],[YYYYMM]],E:E,"&lt;=5")/creditcard[[#This Row],[當月停卡數]],"")</f>
        <v/>
      </c>
      <c r="AE969" s="4">
        <f>IFERROR(SUMIFS(K:K,A:A,creditcard[[#This Row],[YYYYMM]],E:E,"&lt;=10")/creditcard[[#This Row],[當月停卡數]],"")</f>
        <v/>
      </c>
      <c r="AF969" s="4">
        <f>IFERROR(SUMIFS(L:L,A:A,creditcard[[#This Row],[YYYYMM]],E:E,"&lt;=5")/creditcard[[#This Row],[循環信用餘額]],"")</f>
        <v/>
      </c>
      <c r="AG969" s="4">
        <f>IFERROR(SUMIFS(L:L,A:A,creditcard[[#This Row],[YYYYMM]],E:E,"&lt;=10")/creditcard[[#This Row],[循環信用餘額]],"")</f>
        <v/>
      </c>
      <c r="AH969" s="4">
        <f>IFERROR(SUMIFS(N:N,A:A,creditcard[[#This Row],[YYYYMM]],E:E,"&lt;=5")/creditcard[[#This Row],[當月簽帳金額]],"")</f>
        <v/>
      </c>
      <c r="AI969" s="4">
        <f>IFERROR(SUMIFS(N:N,A:A,creditcard[[#This Row],[YYYYMM]],E:E,"&lt;=10")/creditcard[[#This Row],[當月簽帳金額]],"")</f>
        <v/>
      </c>
    </row>
    <row r="970">
      <c r="A970" s="14" t="n">
        <v>202606</v>
      </c>
      <c r="B970" s="15">
        <f>LEFT(creditcard[[#This Row],[YYYYMM]],4)</f>
        <v/>
      </c>
      <c r="C970" s="15">
        <f>RIGHT(creditcard[[#This Row],[YYYYMM]],2)</f>
        <v/>
      </c>
      <c r="D970" s="15">
        <f>IF(RIGHT(creditcard[[#This Row],[YYYYMM]],2)="--","--","Q"&amp;ROUNDUP(VALUE(RIGHT(creditcard[[#This Row],[YYYYMM]],2))/3,0))</f>
        <v/>
      </c>
      <c r="E970" s="15" t="n">
        <v>1</v>
      </c>
      <c r="F970" s="167" t="inlineStr">
        <is>
          <t>中信</t>
        </is>
      </c>
      <c r="G970" s="156" t="inlineStr">
        <is>
          <t>01 中信</t>
        </is>
      </c>
      <c r="H970" s="157" t="n">
        <v>9741923</v>
      </c>
      <c r="I970" s="157" t="n">
        <v>6869995</v>
      </c>
      <c r="J970" s="157" t="n">
        <v>122884</v>
      </c>
      <c r="K970" s="157" t="n">
        <v>130647</v>
      </c>
      <c r="L970" s="157" t="n">
        <v>17767.112</v>
      </c>
      <c r="M970" s="23" t="n">
        <v>39729.423</v>
      </c>
      <c r="N970" s="157" t="n">
        <v>155865.771</v>
      </c>
      <c r="O970" s="23" t="n">
        <v>545.8440000000001</v>
      </c>
      <c r="P970" s="17" t="n">
        <v>0.0008</v>
      </c>
      <c r="Q970" s="17" t="n">
        <v>0</v>
      </c>
      <c r="R970" s="19" t="n">
        <v>2.9231</v>
      </c>
      <c r="S970" s="23" t="n">
        <v>84.07599999999999</v>
      </c>
      <c r="T970" s="23" t="n">
        <v>515.573</v>
      </c>
      <c r="U970" s="24" t="n">
        <v>13378.451</v>
      </c>
      <c r="V970" s="158" t="n"/>
      <c r="W970" s="16" t="n"/>
      <c r="X970" s="18" t="n"/>
      <c r="Y970" s="18" t="n"/>
      <c r="Z970" s="18" t="n"/>
      <c r="AA970" s="18" t="n"/>
      <c r="AB970" s="18" t="n"/>
      <c r="AC970" s="18" t="n"/>
      <c r="AD970" s="18" t="n"/>
      <c r="AE970" s="18" t="n"/>
      <c r="AF970" s="18" t="n"/>
      <c r="AG970" s="18" t="n"/>
      <c r="AH970" s="18" t="n"/>
      <c r="AI970" s="18" t="n"/>
    </row>
    <row r="971">
      <c r="A971" s="9" t="n">
        <v>202606</v>
      </c>
      <c r="B971" s="10">
        <f>LEFT(creditcard[[#This Row],[YYYYMM]],4)</f>
        <v/>
      </c>
      <c r="C971" s="10">
        <f>RIGHT(creditcard[[#This Row],[YYYYMM]],2)</f>
        <v/>
      </c>
      <c r="D971" s="10">
        <f>IF(RIGHT(creditcard[[#This Row],[YYYYMM]],2)="--","--","Q"&amp;ROUNDUP(VALUE(RIGHT(creditcard[[#This Row],[YYYYMM]],2))/3,0))</f>
        <v/>
      </c>
      <c r="E971" s="10" t="n">
        <v>2</v>
      </c>
      <c r="F971" s="168" t="inlineStr">
        <is>
          <t>富邦</t>
        </is>
      </c>
      <c r="G971" s="152" t="inlineStr">
        <is>
          <t>02 富邦</t>
        </is>
      </c>
      <c r="H971" s="153" t="n">
        <v>7534494</v>
      </c>
      <c r="I971" s="153" t="n">
        <v>5857704</v>
      </c>
      <c r="J971" s="153" t="n">
        <v>41133</v>
      </c>
      <c r="K971" s="153" t="n">
        <v>33330</v>
      </c>
      <c r="L971" s="153" t="n">
        <v>11486.316</v>
      </c>
      <c r="M971" s="21" t="n">
        <v>32380.588</v>
      </c>
      <c r="N971" s="153" t="n">
        <v>75499.69899999999</v>
      </c>
      <c r="O971" s="21" t="n">
        <v>104.692</v>
      </c>
      <c r="P971" s="12" t="n">
        <v>0.0015</v>
      </c>
      <c r="Q971" s="12" t="n">
        <v>0</v>
      </c>
      <c r="R971" s="20" t="n">
        <v>16.4613</v>
      </c>
      <c r="S971" s="21" t="n">
        <v>80.334</v>
      </c>
      <c r="T971" s="21" t="n">
        <v>493.367</v>
      </c>
      <c r="U971" s="11" t="n"/>
      <c r="V971" s="154" t="n"/>
      <c r="W971" s="11" t="n"/>
      <c r="X971" s="13" t="n"/>
      <c r="Y971" s="13" t="n"/>
      <c r="Z971" s="13" t="n"/>
      <c r="AA971" s="13" t="n"/>
      <c r="AB971" s="13" t="n"/>
      <c r="AC971" s="13" t="n"/>
      <c r="AD971" s="13" t="n"/>
      <c r="AE971" s="13" t="n"/>
      <c r="AF971" s="13" t="n"/>
      <c r="AG971" s="13" t="n"/>
      <c r="AH971" s="13" t="n"/>
      <c r="AI971" s="13" t="n"/>
    </row>
    <row r="972">
      <c r="A972" s="14" t="n">
        <v>202606</v>
      </c>
      <c r="B972" s="15">
        <f>LEFT(creditcard[[#This Row],[YYYYMM]],4)</f>
        <v/>
      </c>
      <c r="C972" s="15">
        <f>RIGHT(creditcard[[#This Row],[YYYYMM]],2)</f>
        <v/>
      </c>
      <c r="D972" s="15">
        <f>IF(RIGHT(creditcard[[#This Row],[YYYYMM]],2)="--","--","Q"&amp;ROUNDUP(VALUE(RIGHT(creditcard[[#This Row],[YYYYMM]],2))/3,0))</f>
        <v/>
      </c>
      <c r="E972" s="15" t="n">
        <v>3</v>
      </c>
      <c r="F972" s="167" t="inlineStr">
        <is>
          <t>國泰</t>
        </is>
      </c>
      <c r="G972" s="156" t="inlineStr">
        <is>
          <t>03 國泰</t>
        </is>
      </c>
      <c r="H972" s="157" t="n">
        <v>7671588</v>
      </c>
      <c r="I972" s="157" t="n">
        <v>5346630</v>
      </c>
      <c r="J972" s="157" t="n">
        <v>228020</v>
      </c>
      <c r="K972" s="157" t="n">
        <v>24769</v>
      </c>
      <c r="L972" s="157" t="n">
        <v>21636.723</v>
      </c>
      <c r="M972" s="23" t="n">
        <v>48401.544</v>
      </c>
      <c r="N972" s="157" t="n">
        <v>124707.57</v>
      </c>
      <c r="O972" s="23" t="n">
        <v>225.036</v>
      </c>
      <c r="P972" s="17" t="n">
        <v>0.0015</v>
      </c>
      <c r="Q972" s="17" t="n">
        <v>0</v>
      </c>
      <c r="R972" s="19" t="n">
        <v>9.735300000000001</v>
      </c>
      <c r="S972" s="23" t="n">
        <v>90.358</v>
      </c>
      <c r="T972" s="23" t="n">
        <v>549.546</v>
      </c>
      <c r="U972" s="16" t="n"/>
      <c r="V972" s="158" t="n"/>
      <c r="W972" s="16" t="n"/>
      <c r="X972" s="18" t="n"/>
      <c r="Y972" s="18" t="n"/>
      <c r="Z972" s="18" t="n"/>
      <c r="AA972" s="18" t="n"/>
      <c r="AB972" s="18" t="n"/>
      <c r="AC972" s="18" t="n"/>
      <c r="AD972" s="18" t="n"/>
      <c r="AE972" s="18" t="n"/>
      <c r="AF972" s="18" t="n"/>
      <c r="AG972" s="18" t="n"/>
      <c r="AH972" s="18" t="n"/>
      <c r="AI972" s="18" t="n"/>
    </row>
    <row r="973">
      <c r="A973" s="9" t="n">
        <v>202606</v>
      </c>
      <c r="B973" s="10">
        <f>LEFT(creditcard[[#This Row],[YYYYMM]],4)</f>
        <v/>
      </c>
      <c r="C973" s="10">
        <f>RIGHT(creditcard[[#This Row],[YYYYMM]],2)</f>
        <v/>
      </c>
      <c r="D973" s="10">
        <f>IF(RIGHT(creditcard[[#This Row],[YYYYMM]],2)="--","--","Q"&amp;ROUNDUP(VALUE(RIGHT(creditcard[[#This Row],[YYYYMM]],2))/3,0))</f>
        <v/>
      </c>
      <c r="E973" s="10" t="n">
        <v>4</v>
      </c>
      <c r="F973" s="168" t="inlineStr">
        <is>
          <t>玉山</t>
        </is>
      </c>
      <c r="G973" s="152" t="inlineStr">
        <is>
          <t>04 玉山</t>
        </is>
      </c>
      <c r="H973" s="153" t="n">
        <v>7480363</v>
      </c>
      <c r="I973" s="153" t="n">
        <v>4881285</v>
      </c>
      <c r="J973" s="153" t="n">
        <v>64424</v>
      </c>
      <c r="K973" s="153" t="n">
        <v>47091</v>
      </c>
      <c r="L973" s="153" t="n">
        <v>17466.752</v>
      </c>
      <c r="M973" s="21" t="n">
        <v>31123.436</v>
      </c>
      <c r="N973" s="153" t="n">
        <v>160895.369</v>
      </c>
      <c r="O973" s="21" t="n">
        <v>257.141</v>
      </c>
      <c r="P973" s="12" t="n">
        <v>0.0018</v>
      </c>
      <c r="Q973" s="12" t="n">
        <v>0.0002</v>
      </c>
      <c r="R973" s="20" t="n">
        <v>5.012799999999999</v>
      </c>
      <c r="S973" s="21" t="n">
        <v>82.331</v>
      </c>
      <c r="T973" s="21" t="n">
        <v>486.958</v>
      </c>
      <c r="U973" s="11" t="n"/>
      <c r="V973" s="154" t="n"/>
      <c r="W973" s="11" t="n"/>
      <c r="X973" s="13" t="n"/>
      <c r="Y973" s="13" t="n"/>
      <c r="Z973" s="13" t="n"/>
      <c r="AA973" s="13" t="n"/>
      <c r="AB973" s="13" t="n"/>
      <c r="AC973" s="13" t="n"/>
      <c r="AD973" s="13" t="n"/>
      <c r="AE973" s="13" t="n"/>
      <c r="AF973" s="13" t="n"/>
      <c r="AG973" s="13" t="n"/>
      <c r="AH973" s="13" t="n"/>
      <c r="AI973" s="13" t="n"/>
    </row>
    <row r="974">
      <c r="A974" s="14" t="n">
        <v>202606</v>
      </c>
      <c r="B974" s="15">
        <f>LEFT(creditcard[[#This Row],[YYYYMM]],4)</f>
        <v/>
      </c>
      <c r="C974" s="15">
        <f>RIGHT(creditcard[[#This Row],[YYYYMM]],2)</f>
        <v/>
      </c>
      <c r="D974" s="15">
        <f>IF(RIGHT(creditcard[[#This Row],[YYYYMM]],2)="--","--","Q"&amp;ROUNDUP(VALUE(RIGHT(creditcard[[#This Row],[YYYYMM]],2))/3,0))</f>
        <v/>
      </c>
      <c r="E974" s="15" t="n">
        <v>5</v>
      </c>
      <c r="F974" s="167" t="inlineStr">
        <is>
          <t>台新</t>
        </is>
      </c>
      <c r="G974" s="156" t="inlineStr">
        <is>
          <t>05 台新</t>
        </is>
      </c>
      <c r="H974" s="157" t="n">
        <v>6675828</v>
      </c>
      <c r="I974" s="157" t="n">
        <v>4771101</v>
      </c>
      <c r="J974" s="157" t="n">
        <v>37701</v>
      </c>
      <c r="K974" s="157" t="n">
        <v>29019</v>
      </c>
      <c r="L974" s="157" t="n">
        <v>11247.968</v>
      </c>
      <c r="M974" s="23" t="n">
        <v>41493.556</v>
      </c>
      <c r="N974" s="157" t="n">
        <v>91838.44100000001</v>
      </c>
      <c r="O974" s="23" t="n">
        <v>129.981</v>
      </c>
      <c r="P974" s="17" t="n">
        <v>0.0014</v>
      </c>
      <c r="Q974" s="17" t="n">
        <v>0.0001</v>
      </c>
      <c r="R974" s="19" t="n">
        <v>9.7333</v>
      </c>
      <c r="S974" s="23" t="n">
        <v>43.29</v>
      </c>
      <c r="T974" s="23" t="n">
        <v>237.798</v>
      </c>
      <c r="U974" s="16" t="n"/>
      <c r="V974" s="158" t="n"/>
      <c r="W974" s="16" t="n"/>
      <c r="X974" s="18" t="n"/>
      <c r="Y974" s="18" t="n"/>
      <c r="Z974" s="18" t="n"/>
      <c r="AA974" s="18" t="n"/>
      <c r="AB974" s="18" t="n"/>
      <c r="AC974" s="18" t="n"/>
      <c r="AD974" s="18" t="n"/>
      <c r="AE974" s="18" t="n"/>
      <c r="AF974" s="18" t="n"/>
      <c r="AG974" s="18" t="n"/>
      <c r="AH974" s="18" t="n"/>
      <c r="AI974" s="18" t="n"/>
    </row>
    <row r="975">
      <c r="A975" s="9" t="n">
        <v>202606</v>
      </c>
      <c r="B975" s="10">
        <f>LEFT(creditcard[[#This Row],[YYYYMM]],4)</f>
        <v/>
      </c>
      <c r="C975" s="10">
        <f>RIGHT(creditcard[[#This Row],[YYYYMM]],2)</f>
        <v/>
      </c>
      <c r="D975" s="10">
        <f>IF(RIGHT(creditcard[[#This Row],[YYYYMM]],2)="--","--","Q"&amp;ROUNDUP(VALUE(RIGHT(creditcard[[#This Row],[YYYYMM]],2))/3,0))</f>
        <v/>
      </c>
      <c r="E975" s="10" t="n">
        <v>6</v>
      </c>
      <c r="F975" s="168" t="inlineStr">
        <is>
          <t>星展</t>
        </is>
      </c>
      <c r="G975" s="152" t="inlineStr">
        <is>
          <t>06 星展</t>
        </is>
      </c>
      <c r="H975" s="153" t="n">
        <v>3062211</v>
      </c>
      <c r="I975" s="153" t="n">
        <v>2029603</v>
      </c>
      <c r="J975" s="153" t="n">
        <v>8346</v>
      </c>
      <c r="K975" s="153" t="n">
        <v>157860</v>
      </c>
      <c r="L975" s="153" t="n">
        <v>9062.486999999999</v>
      </c>
      <c r="M975" s="21" t="n">
        <v>17391.417</v>
      </c>
      <c r="N975" s="153" t="n">
        <v>30830.103</v>
      </c>
      <c r="O975" s="21" t="n">
        <v>131.108</v>
      </c>
      <c r="P975" s="12" t="n">
        <v>0.0043</v>
      </c>
      <c r="Q975" s="12" t="n">
        <v>0.0001</v>
      </c>
      <c r="R975" s="20" t="n">
        <v>5.1889</v>
      </c>
      <c r="S975" s="21" t="n">
        <v>45.031</v>
      </c>
      <c r="T975" s="21" t="n">
        <v>287.246</v>
      </c>
      <c r="U975" s="11" t="n"/>
      <c r="V975" s="154" t="n"/>
      <c r="W975" s="11" t="n"/>
      <c r="X975" s="13" t="n"/>
      <c r="Y975" s="13" t="n"/>
      <c r="Z975" s="13" t="n"/>
      <c r="AA975" s="13" t="n"/>
      <c r="AB975" s="13" t="n"/>
      <c r="AC975" s="13" t="n"/>
      <c r="AD975" s="13" t="n"/>
      <c r="AE975" s="13" t="n"/>
      <c r="AF975" s="13" t="n"/>
      <c r="AG975" s="13" t="n"/>
      <c r="AH975" s="13" t="n"/>
      <c r="AI975" s="13" t="n"/>
    </row>
    <row r="976">
      <c r="A976" s="14" t="n">
        <v>202606</v>
      </c>
      <c r="B976" s="15">
        <f>LEFT(creditcard[[#This Row],[YYYYMM]],4)</f>
        <v/>
      </c>
      <c r="C976" s="15">
        <f>RIGHT(creditcard[[#This Row],[YYYYMM]],2)</f>
        <v/>
      </c>
      <c r="D976" s="15">
        <f>IF(RIGHT(creditcard[[#This Row],[YYYYMM]],2)="--","--","Q"&amp;ROUNDUP(VALUE(RIGHT(creditcard[[#This Row],[YYYYMM]],2))/3,0))</f>
        <v/>
      </c>
      <c r="E976" s="15" t="n">
        <v>7</v>
      </c>
      <c r="F976" s="167" t="inlineStr">
        <is>
          <t>聯邦</t>
        </is>
      </c>
      <c r="G976" s="156" t="inlineStr">
        <is>
          <t>07 聯邦</t>
        </is>
      </c>
      <c r="H976" s="157" t="n">
        <v>2744386</v>
      </c>
      <c r="I976" s="157" t="n">
        <v>1841618</v>
      </c>
      <c r="J976" s="157" t="n">
        <v>20831</v>
      </c>
      <c r="K976" s="157" t="n">
        <v>21982</v>
      </c>
      <c r="L976" s="157" t="n">
        <v>6589.875</v>
      </c>
      <c r="M976" s="23" t="n">
        <v>9930.223</v>
      </c>
      <c r="N976" s="157" t="n">
        <v>21225.751</v>
      </c>
      <c r="O976" s="23" t="n">
        <v>32.645</v>
      </c>
      <c r="P976" s="17" t="n">
        <v>0.0015</v>
      </c>
      <c r="Q976" s="17" t="n">
        <v>0</v>
      </c>
      <c r="R976" s="19" t="n">
        <v>2.3313</v>
      </c>
      <c r="S976" s="23" t="n">
        <v>22.882</v>
      </c>
      <c r="T976" s="23" t="n">
        <v>141.348</v>
      </c>
      <c r="U976" s="16" t="n"/>
      <c r="V976" s="158" t="n"/>
      <c r="W976" s="16" t="n"/>
      <c r="X976" s="18" t="n"/>
      <c r="Y976" s="18" t="n"/>
      <c r="Z976" s="18" t="n"/>
      <c r="AA976" s="18" t="n"/>
      <c r="AB976" s="18" t="n"/>
      <c r="AC976" s="18" t="n"/>
      <c r="AD976" s="18" t="n"/>
      <c r="AE976" s="18" t="n"/>
      <c r="AF976" s="18" t="n"/>
      <c r="AG976" s="18" t="n"/>
      <c r="AH976" s="18" t="n"/>
      <c r="AI976" s="18" t="n"/>
    </row>
    <row r="977">
      <c r="A977" s="9" t="n">
        <v>202606</v>
      </c>
      <c r="B977" s="10">
        <f>LEFT(creditcard[[#This Row],[YYYYMM]],4)</f>
        <v/>
      </c>
      <c r="C977" s="10">
        <f>RIGHT(creditcard[[#This Row],[YYYYMM]],2)</f>
        <v/>
      </c>
      <c r="D977" s="10">
        <f>IF(RIGHT(creditcard[[#This Row],[YYYYMM]],2)="--","--","Q"&amp;ROUNDUP(VALUE(RIGHT(creditcard[[#This Row],[YYYYMM]],2))/3,0))</f>
        <v/>
      </c>
      <c r="E977" s="10" t="n">
        <v>8</v>
      </c>
      <c r="F977" s="168" t="inlineStr">
        <is>
          <t>永豐</t>
        </is>
      </c>
      <c r="G977" s="152" t="inlineStr">
        <is>
          <t>08 永豐</t>
        </is>
      </c>
      <c r="H977" s="153" t="n">
        <v>2553350</v>
      </c>
      <c r="I977" s="153" t="n">
        <v>1521130</v>
      </c>
      <c r="J977" s="153" t="n">
        <v>15654</v>
      </c>
      <c r="K977" s="153" t="n">
        <v>6222</v>
      </c>
      <c r="L977" s="153" t="n">
        <v>3896.498</v>
      </c>
      <c r="M977" s="21" t="n">
        <v>7122.332</v>
      </c>
      <c r="N977" s="153" t="n">
        <v>22309.131</v>
      </c>
      <c r="O977" s="21" t="n">
        <v>61.555</v>
      </c>
      <c r="P977" s="12" t="n">
        <v>0.0014</v>
      </c>
      <c r="Q977" s="12" t="n">
        <v>0</v>
      </c>
      <c r="R977" s="20" t="n">
        <v>5.600499999999999</v>
      </c>
      <c r="S977" s="21" t="n">
        <v>14.927</v>
      </c>
      <c r="T977" s="21" t="n">
        <v>100.571</v>
      </c>
      <c r="U977" s="11" t="n"/>
      <c r="V977" s="154" t="n"/>
      <c r="W977" s="11" t="n"/>
      <c r="X977" s="13" t="n"/>
      <c r="Y977" s="13" t="n"/>
      <c r="Z977" s="13" t="n"/>
      <c r="AA977" s="13" t="n"/>
      <c r="AB977" s="13" t="n"/>
      <c r="AC977" s="13" t="n"/>
      <c r="AD977" s="13" t="n"/>
      <c r="AE977" s="13" t="n"/>
      <c r="AF977" s="13" t="n"/>
      <c r="AG977" s="13" t="n"/>
      <c r="AH977" s="13" t="n"/>
      <c r="AI977" s="13" t="n"/>
    </row>
    <row r="978">
      <c r="A978" s="14" t="n">
        <v>202606</v>
      </c>
      <c r="B978" s="15">
        <f>LEFT(creditcard[[#This Row],[YYYYMM]],4)</f>
        <v/>
      </c>
      <c r="C978" s="15">
        <f>RIGHT(creditcard[[#This Row],[YYYYMM]],2)</f>
        <v/>
      </c>
      <c r="D978" s="15">
        <f>IF(RIGHT(creditcard[[#This Row],[YYYYMM]],2)="--","--","Q"&amp;ROUNDUP(VALUE(RIGHT(creditcard[[#This Row],[YYYYMM]],2))/3,0))</f>
        <v/>
      </c>
      <c r="E978" s="15" t="n">
        <v>9</v>
      </c>
      <c r="F978" s="167" t="inlineStr">
        <is>
          <t>第一</t>
        </is>
      </c>
      <c r="G978" s="156" t="inlineStr">
        <is>
          <t>09 第一</t>
        </is>
      </c>
      <c r="H978" s="157" t="n">
        <v>1561903</v>
      </c>
      <c r="I978" s="157" t="n">
        <v>947392</v>
      </c>
      <c r="J978" s="157" t="n">
        <v>11867</v>
      </c>
      <c r="K978" s="157" t="n">
        <v>7463</v>
      </c>
      <c r="L978" s="157" t="n">
        <v>1243.545</v>
      </c>
      <c r="M978" s="23" t="n">
        <v>4429.119</v>
      </c>
      <c r="N978" s="157" t="n">
        <v>14406.139</v>
      </c>
      <c r="O978" s="23" t="n">
        <v>6.449</v>
      </c>
      <c r="P978" s="17" t="n">
        <v>0.0005999999999999999</v>
      </c>
      <c r="Q978" s="17" t="n">
        <v>0</v>
      </c>
      <c r="R978" s="19" t="n">
        <v>13.4904</v>
      </c>
      <c r="S978" s="23" t="n">
        <v>6.271</v>
      </c>
      <c r="T978" s="23" t="n">
        <v>42.766</v>
      </c>
      <c r="U978" s="16" t="n"/>
      <c r="V978" s="158" t="n"/>
      <c r="W978" s="16" t="n"/>
      <c r="X978" s="18" t="n"/>
      <c r="Y978" s="18" t="n"/>
      <c r="Z978" s="18" t="n"/>
      <c r="AA978" s="18" t="n"/>
      <c r="AB978" s="18" t="n"/>
      <c r="AC978" s="18" t="n"/>
      <c r="AD978" s="18" t="n"/>
      <c r="AE978" s="18" t="n"/>
      <c r="AF978" s="18" t="n"/>
      <c r="AG978" s="18" t="n"/>
      <c r="AH978" s="18" t="n"/>
      <c r="AI978" s="18" t="n"/>
    </row>
    <row r="979">
      <c r="A979" s="9" t="n">
        <v>202606</v>
      </c>
      <c r="B979" s="10">
        <f>LEFT(creditcard[[#This Row],[YYYYMM]],4)</f>
        <v/>
      </c>
      <c r="C979" s="10">
        <f>RIGHT(creditcard[[#This Row],[YYYYMM]],2)</f>
        <v/>
      </c>
      <c r="D979" s="10">
        <f>IF(RIGHT(creditcard[[#This Row],[YYYYMM]],2)="--","--","Q"&amp;ROUNDUP(VALUE(RIGHT(creditcard[[#This Row],[YYYYMM]],2))/3,0))</f>
        <v/>
      </c>
      <c r="E979" s="10" t="n">
        <v>10</v>
      </c>
      <c r="F979" s="168" t="inlineStr">
        <is>
          <t>遠東</t>
        </is>
      </c>
      <c r="G979" s="152" t="inlineStr">
        <is>
          <t>10 遠東</t>
        </is>
      </c>
      <c r="H979" s="153" t="n">
        <v>1281495</v>
      </c>
      <c r="I979" s="153" t="n">
        <v>873842</v>
      </c>
      <c r="J979" s="153" t="n">
        <v>5841</v>
      </c>
      <c r="K979" s="153" t="n">
        <v>7271</v>
      </c>
      <c r="L979" s="153" t="n">
        <v>3135.937</v>
      </c>
      <c r="M979" s="21" t="n">
        <v>3519.906</v>
      </c>
      <c r="N979" s="153" t="n">
        <v>5263.585</v>
      </c>
      <c r="O979" s="21" t="n">
        <v>75.577</v>
      </c>
      <c r="P979" s="12" t="n">
        <v>0.0026</v>
      </c>
      <c r="Q979" s="12" t="n">
        <v>0.0002</v>
      </c>
      <c r="R979" s="20" t="n">
        <v>1.0298</v>
      </c>
      <c r="S979" s="21" t="n">
        <v>11.235</v>
      </c>
      <c r="T979" s="21" t="n">
        <v>67.676</v>
      </c>
      <c r="U979" s="11" t="n"/>
      <c r="V979" s="154" t="n"/>
      <c r="W979" s="11" t="n"/>
      <c r="X979" s="13" t="n"/>
      <c r="Y979" s="13" t="n"/>
      <c r="Z979" s="13" t="n"/>
      <c r="AA979" s="13" t="n"/>
      <c r="AB979" s="13" t="n"/>
      <c r="AC979" s="13" t="n"/>
      <c r="AD979" s="13" t="n"/>
      <c r="AE979" s="13" t="n"/>
      <c r="AF979" s="13" t="n"/>
      <c r="AG979" s="13" t="n"/>
      <c r="AH979" s="13" t="n"/>
      <c r="AI979" s="13" t="n"/>
    </row>
    <row r="980">
      <c r="A980" s="25" t="n">
        <v>202606</v>
      </c>
      <c r="B980" s="26">
        <f>LEFT(creditcard[[#This Row],[YYYYMM]],4)</f>
        <v/>
      </c>
      <c r="C980" s="26">
        <f>RIGHT(creditcard[[#This Row],[YYYYMM]],2)</f>
        <v/>
      </c>
      <c r="D980" s="26">
        <f>IF(RIGHT(creditcard[[#This Row],[YYYYMM]],2)="--","--","Q"&amp;ROUNDUP(VALUE(RIGHT(creditcard[[#This Row],[YYYYMM]],2))/3,0))</f>
        <v/>
      </c>
      <c r="E980" s="26" t="n">
        <v>11</v>
      </c>
      <c r="F980" s="169" t="inlineStr">
        <is>
          <t>市場總計</t>
        </is>
      </c>
      <c r="G980" s="163" t="inlineStr">
        <is>
          <t>11 市場總計</t>
        </is>
      </c>
      <c r="H980" s="164" t="n">
        <v>59810994</v>
      </c>
      <c r="I980" s="164" t="n">
        <v>40105051</v>
      </c>
      <c r="J980" s="164" t="n">
        <v>615884</v>
      </c>
      <c r="K980" s="164" t="n">
        <v>544147</v>
      </c>
      <c r="L980" s="164" t="n">
        <v>117264.938</v>
      </c>
      <c r="M980" s="165" t="n">
        <v>266022.356</v>
      </c>
      <c r="N980" s="164" t="n">
        <v>788696.075</v>
      </c>
      <c r="O980" s="165" t="n">
        <v>1643.662</v>
      </c>
      <c r="P980" s="27" t="n">
        <v>0.001592686906880461</v>
      </c>
      <c r="Q980" s="27" t="n">
        <v>0.0001047119210845731</v>
      </c>
      <c r="R980" s="28" t="n">
        <v>5.446994722818038</v>
      </c>
      <c r="S980" s="165" t="n">
        <v>594.109</v>
      </c>
      <c r="T980" s="165" t="n">
        <v>3442.447</v>
      </c>
      <c r="U980" s="29" t="n"/>
      <c r="V980" s="166" t="n"/>
      <c r="W980" s="29">
        <f>SUMIFS(H:H,A:A,creditcard[[#This Row],[YYYYMM]],G:G,creditcard[[#This Row],[Item]])</f>
        <v/>
      </c>
      <c r="X980" s="4">
        <f>IFERROR(SUMIFS(H:H,A:A,creditcard[[#This Row],[YYYYMM]],E:E,"&lt;=5")/creditcard[[#This Row],[市場總計]],"")</f>
        <v/>
      </c>
      <c r="Y980" s="4">
        <f>IFERROR(SUMIFS(H:H,A:A,creditcard[[#This Row],[YYYYMM]],E:E,"&lt;=10")/creditcard[[#This Row],[市場總計]],"")</f>
        <v/>
      </c>
      <c r="Z980" s="4">
        <f>IFERROR(SUMIFS(I:I,A:A,creditcard[[#This Row],[YYYYMM]],E:E,"&lt;=5")/creditcard[[#This Row],[有效卡數]],"")</f>
        <v/>
      </c>
      <c r="AA980" s="4">
        <f>IFERROR(SUMIFS(I:I,A:A,creditcard[[#This Row],[YYYYMM]],E:E,"&lt;=10")/creditcard[[#This Row],[有效卡數]],"")</f>
        <v/>
      </c>
      <c r="AB980" s="4">
        <f>IFERROR(SUMIFS(J:J,A:A,creditcard[[#This Row],[YYYYMM]],E:E,"&lt;=5")/creditcard[[#This Row],[當月發卡數]],"")</f>
        <v/>
      </c>
      <c r="AC980" s="4">
        <f>IFERROR(SUMIFS(J:J,A:A,creditcard[[#This Row],[YYYYMM]],E:E,"&lt;=10")/creditcard[[#This Row],[當月發卡數]],"")</f>
        <v/>
      </c>
      <c r="AD980" s="4">
        <f>IFERROR(SUMIFS(K:K,A:A,creditcard[[#This Row],[YYYYMM]],E:E,"&lt;=5")/creditcard[[#This Row],[當月停卡數]],"")</f>
        <v/>
      </c>
      <c r="AE980" s="4">
        <f>IFERROR(SUMIFS(K:K,A:A,creditcard[[#This Row],[YYYYMM]],E:E,"&lt;=10")/creditcard[[#This Row],[當月停卡數]],"")</f>
        <v/>
      </c>
      <c r="AF980" s="4">
        <f>IFERROR(SUMIFS(L:L,A:A,creditcard[[#This Row],[YYYYMM]],E:E,"&lt;=5")/creditcard[[#This Row],[循環信用餘額]],"")</f>
        <v/>
      </c>
      <c r="AG980" s="4">
        <f>IFERROR(SUMIFS(L:L,A:A,creditcard[[#This Row],[YYYYMM]],E:E,"&lt;=10")/creditcard[[#This Row],[循環信用餘額]],"")</f>
        <v/>
      </c>
      <c r="AH980" s="4">
        <f>IFERROR(SUMIFS(N:N,A:A,creditcard[[#This Row],[YYYYMM]],E:E,"&lt;=5")/creditcard[[#This Row],[當月簽帳金額]],"")</f>
        <v/>
      </c>
      <c r="AI980" s="4">
        <f>IFERROR(SUMIFS(N:N,A:A,creditcard[[#This Row],[YYYYMM]],E:E,"&lt;=10")/creditcard[[#This Row],[當月簽帳金額]],"")</f>
        <v/>
      </c>
    </row>
    <row r="981">
      <c r="A981" s="14" t="n">
        <v>202607</v>
      </c>
      <c r="B981" s="15">
        <f>LEFT(creditcard[[#This Row],[YYYYMM]],4)</f>
        <v/>
      </c>
      <c r="C981" s="15">
        <f>RIGHT(creditcard[[#This Row],[YYYYMM]],2)</f>
        <v/>
      </c>
      <c r="D981" s="15">
        <f>IF(RIGHT(creditcard[[#This Row],[YYYYMM]],2)="--","--","Q"&amp;ROUNDUP(VALUE(RIGHT(creditcard[[#This Row],[YYYYMM]],2))/3,0))</f>
        <v/>
      </c>
      <c r="E981" s="15" t="n">
        <v>1</v>
      </c>
      <c r="F981" s="167" t="inlineStr">
        <is>
          <t>中信</t>
        </is>
      </c>
      <c r="G981" s="156" t="inlineStr">
        <is>
          <t>01 中信</t>
        </is>
      </c>
      <c r="H981" s="157" t="n">
        <v>9787283</v>
      </c>
      <c r="I981" s="157" t="n">
        <v>6904052</v>
      </c>
      <c r="J981" s="157" t="n">
        <v>109018</v>
      </c>
      <c r="K981" s="157" t="n">
        <v>63658</v>
      </c>
      <c r="L981" s="157" t="n">
        <v>18264.535</v>
      </c>
      <c r="M981" s="23" t="n">
        <v>36383.319</v>
      </c>
      <c r="N981" s="157" t="n">
        <v>90354.61599999999</v>
      </c>
      <c r="O981" s="23" t="n">
        <v>614.86</v>
      </c>
      <c r="P981" s="17" t="n">
        <v>0.0009</v>
      </c>
      <c r="Q981" s="17" t="n">
        <v>0</v>
      </c>
      <c r="R981" s="19" t="n">
        <v>2.8876</v>
      </c>
      <c r="S981" s="23" t="n">
        <v>87.217</v>
      </c>
      <c r="T981" s="23" t="n">
        <v>602.79</v>
      </c>
      <c r="U981" s="24" t="n">
        <v>11853.789</v>
      </c>
      <c r="V981" s="158" t="n"/>
      <c r="W981" s="16" t="n"/>
      <c r="X981" s="18" t="n"/>
      <c r="Y981" s="18" t="n"/>
      <c r="Z981" s="18" t="n"/>
      <c r="AA981" s="18" t="n"/>
      <c r="AB981" s="18" t="n"/>
      <c r="AC981" s="18" t="n"/>
      <c r="AD981" s="18" t="n"/>
      <c r="AE981" s="18" t="n"/>
      <c r="AF981" s="18" t="n"/>
      <c r="AG981" s="18" t="n"/>
      <c r="AH981" s="18" t="n"/>
      <c r="AI981" s="18" t="n"/>
    </row>
    <row r="982">
      <c r="A982" s="9" t="n">
        <v>202607</v>
      </c>
      <c r="B982" s="10">
        <f>LEFT(creditcard[[#This Row],[YYYYMM]],4)</f>
        <v/>
      </c>
      <c r="C982" s="10">
        <f>RIGHT(creditcard[[#This Row],[YYYYMM]],2)</f>
        <v/>
      </c>
      <c r="D982" s="10">
        <f>IF(RIGHT(creditcard[[#This Row],[YYYYMM]],2)="--","--","Q"&amp;ROUNDUP(VALUE(RIGHT(creditcard[[#This Row],[YYYYMM]],2))/3,0))</f>
        <v/>
      </c>
      <c r="E982" s="10" t="n">
        <v>2</v>
      </c>
      <c r="F982" s="168" t="inlineStr">
        <is>
          <t>富邦</t>
        </is>
      </c>
      <c r="G982" s="152" t="inlineStr">
        <is>
          <t>02 富邦</t>
        </is>
      </c>
      <c r="H982" s="153" t="n">
        <v>7564017</v>
      </c>
      <c r="I982" s="153" t="n">
        <v>5867144</v>
      </c>
      <c r="J982" s="153" t="n">
        <v>42622</v>
      </c>
      <c r="K982" s="153" t="n">
        <v>13099</v>
      </c>
      <c r="L982" s="153" t="n">
        <v>11433.377</v>
      </c>
      <c r="M982" s="21" t="n">
        <v>32675.932</v>
      </c>
      <c r="N982" s="153" t="n">
        <v>55014.969</v>
      </c>
      <c r="O982" s="21" t="n">
        <v>124.284</v>
      </c>
      <c r="P982" s="12" t="n">
        <v>0.0017</v>
      </c>
      <c r="Q982" s="12" t="n">
        <v>0</v>
      </c>
      <c r="R982" s="20" t="n">
        <v>16.2213</v>
      </c>
      <c r="S982" s="21" t="n">
        <v>76.31</v>
      </c>
      <c r="T982" s="21" t="n">
        <v>569.677</v>
      </c>
      <c r="U982" s="11" t="n"/>
      <c r="V982" s="154" t="n"/>
      <c r="W982" s="11" t="n"/>
      <c r="X982" s="13" t="n"/>
      <c r="Y982" s="13" t="n"/>
      <c r="Z982" s="13" t="n"/>
      <c r="AA982" s="13" t="n"/>
      <c r="AB982" s="13" t="n"/>
      <c r="AC982" s="13" t="n"/>
      <c r="AD982" s="13" t="n"/>
      <c r="AE982" s="13" t="n"/>
      <c r="AF982" s="13" t="n"/>
      <c r="AG982" s="13" t="n"/>
      <c r="AH982" s="13" t="n"/>
      <c r="AI982" s="13" t="n"/>
    </row>
    <row r="983">
      <c r="A983" s="14" t="n">
        <v>202607</v>
      </c>
      <c r="B983" s="15">
        <f>LEFT(creditcard[[#This Row],[YYYYMM]],4)</f>
        <v/>
      </c>
      <c r="C983" s="15">
        <f>RIGHT(creditcard[[#This Row],[YYYYMM]],2)</f>
        <v/>
      </c>
      <c r="D983" s="15">
        <f>IF(RIGHT(creditcard[[#This Row],[YYYYMM]],2)="--","--","Q"&amp;ROUNDUP(VALUE(RIGHT(creditcard[[#This Row],[YYYYMM]],2))/3,0))</f>
        <v/>
      </c>
      <c r="E983" s="15" t="n">
        <v>3</v>
      </c>
      <c r="F983" s="167" t="inlineStr">
        <is>
          <t>國泰</t>
        </is>
      </c>
      <c r="G983" s="156" t="inlineStr">
        <is>
          <t>03 國泰</t>
        </is>
      </c>
      <c r="H983" s="157" t="n">
        <v>7257654</v>
      </c>
      <c r="I983" s="157" t="n">
        <v>5119242</v>
      </c>
      <c r="J983" s="157" t="n">
        <v>56635</v>
      </c>
      <c r="K983" s="157" t="n">
        <v>470570</v>
      </c>
      <c r="L983" s="157" t="n">
        <v>22528.397</v>
      </c>
      <c r="M983" s="23" t="n">
        <v>46154.841</v>
      </c>
      <c r="N983" s="157" t="n">
        <v>80321.23299999999</v>
      </c>
      <c r="O983" s="23" t="n">
        <v>263.166</v>
      </c>
      <c r="P983" s="17" t="n">
        <v>0.0017</v>
      </c>
      <c r="Q983" s="17" t="n">
        <v>0</v>
      </c>
      <c r="R983" s="19" t="n">
        <v>9.691599999999999</v>
      </c>
      <c r="S983" s="23" t="n">
        <v>80.878</v>
      </c>
      <c r="T983" s="23" t="n">
        <v>630.424</v>
      </c>
      <c r="U983" s="16" t="n"/>
      <c r="V983" s="158" t="n"/>
      <c r="W983" s="16" t="n"/>
      <c r="X983" s="18" t="n"/>
      <c r="Y983" s="18" t="n"/>
      <c r="Z983" s="18" t="n"/>
      <c r="AA983" s="18" t="n"/>
      <c r="AB983" s="18" t="n"/>
      <c r="AC983" s="18" t="n"/>
      <c r="AD983" s="18" t="n"/>
      <c r="AE983" s="18" t="n"/>
      <c r="AF983" s="18" t="n"/>
      <c r="AG983" s="18" t="n"/>
      <c r="AH983" s="18" t="n"/>
      <c r="AI983" s="18" t="n"/>
    </row>
    <row r="984">
      <c r="A984" s="9" t="n">
        <v>202607</v>
      </c>
      <c r="B984" s="10">
        <f>LEFT(creditcard[[#This Row],[YYYYMM]],4)</f>
        <v/>
      </c>
      <c r="C984" s="10">
        <f>RIGHT(creditcard[[#This Row],[YYYYMM]],2)</f>
        <v/>
      </c>
      <c r="D984" s="10">
        <f>IF(RIGHT(creditcard[[#This Row],[YYYYMM]],2)="--","--","Q"&amp;ROUNDUP(VALUE(RIGHT(creditcard[[#This Row],[YYYYMM]],2))/3,0))</f>
        <v/>
      </c>
      <c r="E984" s="10" t="n">
        <v>4</v>
      </c>
      <c r="F984" s="168" t="inlineStr">
        <is>
          <t>玉山</t>
        </is>
      </c>
      <c r="G984" s="152" t="inlineStr">
        <is>
          <t>04 玉山</t>
        </is>
      </c>
      <c r="H984" s="153" t="n">
        <v>7497711</v>
      </c>
      <c r="I984" s="153" t="n">
        <v>4888279</v>
      </c>
      <c r="J984" s="153" t="n">
        <v>66251</v>
      </c>
      <c r="K984" s="153" t="n">
        <v>48903</v>
      </c>
      <c r="L984" s="153" t="n">
        <v>17464.385</v>
      </c>
      <c r="M984" s="21" t="n">
        <v>39117.555</v>
      </c>
      <c r="N984" s="153" t="n">
        <v>57051.262</v>
      </c>
      <c r="O984" s="21" t="n">
        <v>291.62</v>
      </c>
      <c r="P984" s="12" t="n">
        <v>0.002</v>
      </c>
      <c r="Q984" s="12" t="n">
        <v>0.0002</v>
      </c>
      <c r="R984" s="20" t="n">
        <v>5.1804</v>
      </c>
      <c r="S984" s="21" t="n">
        <v>79.352</v>
      </c>
      <c r="T984" s="21" t="n">
        <v>566.3099999999999</v>
      </c>
      <c r="U984" s="11" t="n"/>
      <c r="V984" s="154" t="n"/>
      <c r="W984" s="11" t="n"/>
      <c r="X984" s="13" t="n"/>
      <c r="Y984" s="13" t="n"/>
      <c r="Z984" s="13" t="n"/>
      <c r="AA984" s="13" t="n"/>
      <c r="AB984" s="13" t="n"/>
      <c r="AC984" s="13" t="n"/>
      <c r="AD984" s="13" t="n"/>
      <c r="AE984" s="13" t="n"/>
      <c r="AF984" s="13" t="n"/>
      <c r="AG984" s="13" t="n"/>
      <c r="AH984" s="13" t="n"/>
      <c r="AI984" s="13" t="n"/>
    </row>
    <row r="985">
      <c r="A985" s="14" t="n">
        <v>202607</v>
      </c>
      <c r="B985" s="15">
        <f>LEFT(creditcard[[#This Row],[YYYYMM]],4)</f>
        <v/>
      </c>
      <c r="C985" s="15">
        <f>RIGHT(creditcard[[#This Row],[YYYYMM]],2)</f>
        <v/>
      </c>
      <c r="D985" s="15">
        <f>IF(RIGHT(creditcard[[#This Row],[YYYYMM]],2)="--","--","Q"&amp;ROUNDUP(VALUE(RIGHT(creditcard[[#This Row],[YYYYMM]],2))/3,0))</f>
        <v/>
      </c>
      <c r="E985" s="15" t="n">
        <v>5</v>
      </c>
      <c r="F985" s="167" t="inlineStr">
        <is>
          <t>台新</t>
        </is>
      </c>
      <c r="G985" s="156" t="inlineStr">
        <is>
          <t>05 台新</t>
        </is>
      </c>
      <c r="H985" s="157" t="n">
        <v>6685959</v>
      </c>
      <c r="I985" s="157" t="n">
        <v>4806088</v>
      </c>
      <c r="J985" s="157" t="n">
        <v>42946</v>
      </c>
      <c r="K985" s="157" t="n">
        <v>32815</v>
      </c>
      <c r="L985" s="157" t="n">
        <v>11487.445</v>
      </c>
      <c r="M985" s="23" t="n">
        <v>39562.117</v>
      </c>
      <c r="N985" s="157" t="n">
        <v>50460.227</v>
      </c>
      <c r="O985" s="23" t="n">
        <v>155.139</v>
      </c>
      <c r="P985" s="17" t="n">
        <v>0.0014</v>
      </c>
      <c r="Q985" s="17" t="n">
        <v>0.0001</v>
      </c>
      <c r="R985" s="19" t="n">
        <v>9.0242</v>
      </c>
      <c r="S985" s="23" t="n">
        <v>39.723</v>
      </c>
      <c r="T985" s="23" t="n">
        <v>277.521</v>
      </c>
      <c r="U985" s="16" t="n"/>
      <c r="V985" s="158" t="n"/>
      <c r="W985" s="16" t="n"/>
      <c r="X985" s="18" t="n"/>
      <c r="Y985" s="18" t="n"/>
      <c r="Z985" s="18" t="n"/>
      <c r="AA985" s="18" t="n"/>
      <c r="AB985" s="18" t="n"/>
      <c r="AC985" s="18" t="n"/>
      <c r="AD985" s="18" t="n"/>
      <c r="AE985" s="18" t="n"/>
      <c r="AF985" s="18" t="n"/>
      <c r="AG985" s="18" t="n"/>
      <c r="AH985" s="18" t="n"/>
      <c r="AI985" s="18" t="n"/>
    </row>
    <row r="986">
      <c r="A986" s="9" t="n">
        <v>202607</v>
      </c>
      <c r="B986" s="10">
        <f>LEFT(creditcard[[#This Row],[YYYYMM]],4)</f>
        <v/>
      </c>
      <c r="C986" s="10">
        <f>RIGHT(creditcard[[#This Row],[YYYYMM]],2)</f>
        <v/>
      </c>
      <c r="D986" s="10">
        <f>IF(RIGHT(creditcard[[#This Row],[YYYYMM]],2)="--","--","Q"&amp;ROUNDUP(VALUE(RIGHT(creditcard[[#This Row],[YYYYMM]],2))/3,0))</f>
        <v/>
      </c>
      <c r="E986" s="10" t="n">
        <v>6</v>
      </c>
      <c r="F986" s="168" t="inlineStr">
        <is>
          <t>星展</t>
        </is>
      </c>
      <c r="G986" s="152" t="inlineStr">
        <is>
          <t>06 星展</t>
        </is>
      </c>
      <c r="H986" s="153" t="n">
        <v>3066038</v>
      </c>
      <c r="I986" s="153" t="n">
        <v>2022447</v>
      </c>
      <c r="J986" s="153" t="n">
        <v>10120</v>
      </c>
      <c r="K986" s="153" t="n">
        <v>15410</v>
      </c>
      <c r="L986" s="153" t="n">
        <v>9153.632</v>
      </c>
      <c r="M986" s="21" t="n">
        <v>16815.365</v>
      </c>
      <c r="N986" s="153" t="n">
        <v>21650.896</v>
      </c>
      <c r="O986" s="21" t="n">
        <v>145.147</v>
      </c>
      <c r="P986" s="12" t="n">
        <v>0.0048</v>
      </c>
      <c r="Q986" s="12" t="n">
        <v>0.0002</v>
      </c>
      <c r="R986" s="20" t="n">
        <v>5.403200000000001</v>
      </c>
      <c r="S986" s="21" t="n">
        <v>45.565</v>
      </c>
      <c r="T986" s="21" t="n">
        <v>332.811</v>
      </c>
      <c r="U986" s="11" t="n"/>
      <c r="V986" s="154" t="n"/>
      <c r="W986" s="11" t="n"/>
      <c r="X986" s="13" t="n"/>
      <c r="Y986" s="13" t="n"/>
      <c r="Z986" s="13" t="n"/>
      <c r="AA986" s="13" t="n"/>
      <c r="AB986" s="13" t="n"/>
      <c r="AC986" s="13" t="n"/>
      <c r="AD986" s="13" t="n"/>
      <c r="AE986" s="13" t="n"/>
      <c r="AF986" s="13" t="n"/>
      <c r="AG986" s="13" t="n"/>
      <c r="AH986" s="13" t="n"/>
      <c r="AI986" s="13" t="n"/>
    </row>
    <row r="987">
      <c r="A987" s="14" t="n">
        <v>202607</v>
      </c>
      <c r="B987" s="15">
        <f>LEFT(creditcard[[#This Row],[YYYYMM]],4)</f>
        <v/>
      </c>
      <c r="C987" s="15">
        <f>RIGHT(creditcard[[#This Row],[YYYYMM]],2)</f>
        <v/>
      </c>
      <c r="D987" s="15">
        <f>IF(RIGHT(creditcard[[#This Row],[YYYYMM]],2)="--","--","Q"&amp;ROUNDUP(VALUE(RIGHT(creditcard[[#This Row],[YYYYMM]],2))/3,0))</f>
        <v/>
      </c>
      <c r="E987" s="15" t="n">
        <v>7</v>
      </c>
      <c r="F987" s="167" t="inlineStr">
        <is>
          <t>聯邦</t>
        </is>
      </c>
      <c r="G987" s="156" t="inlineStr">
        <is>
          <t>07 聯邦</t>
        </is>
      </c>
      <c r="H987" s="157" t="n">
        <v>2769620</v>
      </c>
      <c r="I987" s="157" t="n">
        <v>1835226</v>
      </c>
      <c r="J987" s="157" t="n">
        <v>49694</v>
      </c>
      <c r="K987" s="157" t="n">
        <v>24460</v>
      </c>
      <c r="L987" s="157" t="n">
        <v>6621.539</v>
      </c>
      <c r="M987" s="23" t="n">
        <v>9588.928</v>
      </c>
      <c r="N987" s="157" t="n">
        <v>14645.491</v>
      </c>
      <c r="O987" s="23" t="n">
        <v>42.686</v>
      </c>
      <c r="P987" s="17" t="n">
        <v>0.0015</v>
      </c>
      <c r="Q987" s="17" t="n">
        <v>0</v>
      </c>
      <c r="R987" s="19" t="n">
        <v>2.1687</v>
      </c>
      <c r="S987" s="23" t="n">
        <v>25.93</v>
      </c>
      <c r="T987" s="23" t="n">
        <v>167.278</v>
      </c>
      <c r="U987" s="16" t="n"/>
      <c r="V987" s="158" t="n"/>
      <c r="W987" s="16" t="n"/>
      <c r="X987" s="18" t="n"/>
      <c r="Y987" s="18" t="n"/>
      <c r="Z987" s="18" t="n"/>
      <c r="AA987" s="18" t="n"/>
      <c r="AB987" s="18" t="n"/>
      <c r="AC987" s="18" t="n"/>
      <c r="AD987" s="18" t="n"/>
      <c r="AE987" s="18" t="n"/>
      <c r="AF987" s="18" t="n"/>
      <c r="AG987" s="18" t="n"/>
      <c r="AH987" s="18" t="n"/>
      <c r="AI987" s="18" t="n"/>
    </row>
    <row r="988">
      <c r="A988" s="9" t="n">
        <v>202607</v>
      </c>
      <c r="B988" s="10">
        <f>LEFT(creditcard[[#This Row],[YYYYMM]],4)</f>
        <v/>
      </c>
      <c r="C988" s="10">
        <f>RIGHT(creditcard[[#This Row],[YYYYMM]],2)</f>
        <v/>
      </c>
      <c r="D988" s="10">
        <f>IF(RIGHT(creditcard[[#This Row],[YYYYMM]],2)="--","--","Q"&amp;ROUNDUP(VALUE(RIGHT(creditcard[[#This Row],[YYYYMM]],2))/3,0))</f>
        <v/>
      </c>
      <c r="E988" s="10" t="n">
        <v>8</v>
      </c>
      <c r="F988" s="168" t="inlineStr">
        <is>
          <t>永豐</t>
        </is>
      </c>
      <c r="G988" s="152" t="inlineStr">
        <is>
          <t>08 永豐</t>
        </is>
      </c>
      <c r="H988" s="153" t="n">
        <v>2564033</v>
      </c>
      <c r="I988" s="153" t="n">
        <v>1515608</v>
      </c>
      <c r="J988" s="153" t="n">
        <v>18912</v>
      </c>
      <c r="K988" s="153" t="n">
        <v>7876</v>
      </c>
      <c r="L988" s="153" t="n">
        <v>3850.433</v>
      </c>
      <c r="M988" s="21" t="n">
        <v>6872.568</v>
      </c>
      <c r="N988" s="153" t="n">
        <v>15204.077</v>
      </c>
      <c r="O988" s="21" t="n">
        <v>71.245</v>
      </c>
      <c r="P988" s="12" t="n">
        <v>0.0014</v>
      </c>
      <c r="Q988" s="12" t="n">
        <v>0</v>
      </c>
      <c r="R988" s="20" t="n">
        <v>6.0143</v>
      </c>
      <c r="S988" s="21" t="n">
        <v>18.474</v>
      </c>
      <c r="T988" s="21" t="n">
        <v>119.045</v>
      </c>
      <c r="U988" s="11" t="n"/>
      <c r="V988" s="154" t="n"/>
      <c r="W988" s="11" t="n"/>
      <c r="X988" s="13" t="n"/>
      <c r="Y988" s="13" t="n"/>
      <c r="Z988" s="13" t="n"/>
      <c r="AA988" s="13" t="n"/>
      <c r="AB988" s="13" t="n"/>
      <c r="AC988" s="13" t="n"/>
      <c r="AD988" s="13" t="n"/>
      <c r="AE988" s="13" t="n"/>
      <c r="AF988" s="13" t="n"/>
      <c r="AG988" s="13" t="n"/>
      <c r="AH988" s="13" t="n"/>
      <c r="AI988" s="13" t="n"/>
    </row>
    <row r="989">
      <c r="A989" s="14" t="n">
        <v>202607</v>
      </c>
      <c r="B989" s="15">
        <f>LEFT(creditcard[[#This Row],[YYYYMM]],4)</f>
        <v/>
      </c>
      <c r="C989" s="15">
        <f>RIGHT(creditcard[[#This Row],[YYYYMM]],2)</f>
        <v/>
      </c>
      <c r="D989" s="15">
        <f>IF(RIGHT(creditcard[[#This Row],[YYYYMM]],2)="--","--","Q"&amp;ROUNDUP(VALUE(RIGHT(creditcard[[#This Row],[YYYYMM]],2))/3,0))</f>
        <v/>
      </c>
      <c r="E989" s="15" t="n">
        <v>9</v>
      </c>
      <c r="F989" s="167" t="inlineStr">
        <is>
          <t>第一</t>
        </is>
      </c>
      <c r="G989" s="156" t="inlineStr">
        <is>
          <t>09 第一</t>
        </is>
      </c>
      <c r="H989" s="157" t="n">
        <v>1568251</v>
      </c>
      <c r="I989" s="157" t="n">
        <v>951279</v>
      </c>
      <c r="J989" s="157" t="n">
        <v>13043</v>
      </c>
      <c r="K989" s="157" t="n">
        <v>7086</v>
      </c>
      <c r="L989" s="157" t="n">
        <v>1254.531</v>
      </c>
      <c r="M989" s="23" t="n">
        <v>4174.125</v>
      </c>
      <c r="N989" s="157" t="n">
        <v>7479.18</v>
      </c>
      <c r="O989" s="23" t="n">
        <v>7.832</v>
      </c>
      <c r="P989" s="17" t="n">
        <v>0.0009</v>
      </c>
      <c r="Q989" s="17" t="n">
        <v>0</v>
      </c>
      <c r="R989" s="19" t="n">
        <v>13.4074</v>
      </c>
      <c r="S989" s="23" t="n">
        <v>4.994</v>
      </c>
      <c r="T989" s="23" t="n">
        <v>47.76</v>
      </c>
      <c r="U989" s="16" t="n"/>
      <c r="V989" s="158" t="n"/>
      <c r="W989" s="16" t="n"/>
      <c r="X989" s="18" t="n"/>
      <c r="Y989" s="18" t="n"/>
      <c r="Z989" s="18" t="n"/>
      <c r="AA989" s="18" t="n"/>
      <c r="AB989" s="18" t="n"/>
      <c r="AC989" s="18" t="n"/>
      <c r="AD989" s="18" t="n"/>
      <c r="AE989" s="18" t="n"/>
      <c r="AF989" s="18" t="n"/>
      <c r="AG989" s="18" t="n"/>
      <c r="AH989" s="18" t="n"/>
      <c r="AI989" s="18" t="n"/>
    </row>
    <row r="990">
      <c r="A990" s="9" t="n">
        <v>202607</v>
      </c>
      <c r="B990" s="10">
        <f>LEFT(creditcard[[#This Row],[YYYYMM]],4)</f>
        <v/>
      </c>
      <c r="C990" s="10">
        <f>RIGHT(creditcard[[#This Row],[YYYYMM]],2)</f>
        <v/>
      </c>
      <c r="D990" s="10">
        <f>IF(RIGHT(creditcard[[#This Row],[YYYYMM]],2)="--","--","Q"&amp;ROUNDUP(VALUE(RIGHT(creditcard[[#This Row],[YYYYMM]],2))/3,0))</f>
        <v/>
      </c>
      <c r="E990" s="10" t="n">
        <v>10</v>
      </c>
      <c r="F990" s="168" t="inlineStr">
        <is>
          <t>遠東</t>
        </is>
      </c>
      <c r="G990" s="152" t="inlineStr">
        <is>
          <t>10 遠東</t>
        </is>
      </c>
      <c r="H990" s="153" t="n">
        <v>1280168</v>
      </c>
      <c r="I990" s="153" t="n">
        <v>870466</v>
      </c>
      <c r="J990" s="153" t="n">
        <v>6439</v>
      </c>
      <c r="K990" s="153" t="n">
        <v>7804</v>
      </c>
      <c r="L990" s="153" t="n">
        <v>3096.841</v>
      </c>
      <c r="M990" s="21" t="n">
        <v>3486.457</v>
      </c>
      <c r="N990" s="153" t="n">
        <v>4002.822</v>
      </c>
      <c r="O990" s="21" t="n">
        <v>84.672</v>
      </c>
      <c r="P990" s="12" t="n">
        <v>0.0027</v>
      </c>
      <c r="Q990" s="12" t="n">
        <v>0.0001</v>
      </c>
      <c r="R990" s="20" t="n">
        <v>1.0292</v>
      </c>
      <c r="S990" s="21" t="n">
        <v>9.849</v>
      </c>
      <c r="T990" s="21" t="n">
        <v>77.52500000000001</v>
      </c>
      <c r="U990" s="11" t="n"/>
      <c r="V990" s="154" t="n"/>
      <c r="W990" s="11" t="n"/>
      <c r="X990" s="13" t="n"/>
      <c r="Y990" s="13" t="n"/>
      <c r="Z990" s="13" t="n"/>
      <c r="AA990" s="13" t="n"/>
      <c r="AB990" s="13" t="n"/>
      <c r="AC990" s="13" t="n"/>
      <c r="AD990" s="13" t="n"/>
      <c r="AE990" s="13" t="n"/>
      <c r="AF990" s="13" t="n"/>
      <c r="AG990" s="13" t="n"/>
      <c r="AH990" s="13" t="n"/>
      <c r="AI990" s="13" t="n"/>
    </row>
    <row r="991">
      <c r="A991" s="25" t="n">
        <v>202607</v>
      </c>
      <c r="B991" s="26">
        <f>LEFT(creditcard[[#This Row],[YYYYMM]],4)</f>
        <v/>
      </c>
      <c r="C991" s="26">
        <f>RIGHT(creditcard[[#This Row],[YYYYMM]],2)</f>
        <v/>
      </c>
      <c r="D991" s="26">
        <f>IF(RIGHT(creditcard[[#This Row],[YYYYMM]],2)="--","--","Q"&amp;ROUNDUP(VALUE(RIGHT(creditcard[[#This Row],[YYYYMM]],2))/3,0))</f>
        <v/>
      </c>
      <c r="E991" s="26" t="n">
        <v>11</v>
      </c>
      <c r="F991" s="169" t="inlineStr">
        <is>
          <t>市場總計</t>
        </is>
      </c>
      <c r="G991" s="163" t="inlineStr">
        <is>
          <t>11 市場總計</t>
        </is>
      </c>
      <c r="H991" s="164" t="n">
        <v>59488690</v>
      </c>
      <c r="I991" s="164" t="n">
        <v>39938830</v>
      </c>
      <c r="J991" s="164" t="n">
        <v>478438</v>
      </c>
      <c r="K991" s="164" t="n">
        <v>816360</v>
      </c>
      <c r="L991" s="164" t="n">
        <v>119005.791</v>
      </c>
      <c r="M991" s="165" t="n">
        <v>263916.396</v>
      </c>
      <c r="N991" s="164" t="n">
        <v>454359.233</v>
      </c>
      <c r="O991" s="165" t="n">
        <v>1885.515</v>
      </c>
      <c r="P991" s="27" t="n">
        <v>0.001820942871502294</v>
      </c>
      <c r="Q991" s="27" t="n">
        <v>0.0001246779230073608</v>
      </c>
      <c r="R991" s="28" t="n">
        <v>5.427548781580438</v>
      </c>
      <c r="S991" s="165" t="n">
        <v>544.0890000000001</v>
      </c>
      <c r="T991" s="165" t="n">
        <v>3986.536</v>
      </c>
      <c r="U991" s="29" t="n"/>
      <c r="V991" s="166" t="n"/>
      <c r="W991" s="29">
        <f>SUMIFS(H:H,A:A,creditcard[[#This Row],[YYYYMM]],G:G,creditcard[[#This Row],[Item]])</f>
        <v/>
      </c>
      <c r="X991" s="4">
        <f>IFERROR(SUMIFS(H:H,A:A,creditcard[[#This Row],[YYYYMM]],E:E,"&lt;=5")/creditcard[[#This Row],[市場總計]],"")</f>
        <v/>
      </c>
      <c r="Y991" s="4">
        <f>IFERROR(SUMIFS(H:H,A:A,creditcard[[#This Row],[YYYYMM]],E:E,"&lt;=10")/creditcard[[#This Row],[市場總計]],"")</f>
        <v/>
      </c>
      <c r="Z991" s="4">
        <f>IFERROR(SUMIFS(I:I,A:A,creditcard[[#This Row],[YYYYMM]],E:E,"&lt;=5")/creditcard[[#This Row],[有效卡數]],"")</f>
        <v/>
      </c>
      <c r="AA991" s="4">
        <f>IFERROR(SUMIFS(I:I,A:A,creditcard[[#This Row],[YYYYMM]],E:E,"&lt;=10")/creditcard[[#This Row],[有效卡數]],"")</f>
        <v/>
      </c>
      <c r="AB991" s="4">
        <f>IFERROR(SUMIFS(J:J,A:A,creditcard[[#This Row],[YYYYMM]],E:E,"&lt;=5")/creditcard[[#This Row],[當月發卡數]],"")</f>
        <v/>
      </c>
      <c r="AC991" s="4">
        <f>IFERROR(SUMIFS(J:J,A:A,creditcard[[#This Row],[YYYYMM]],E:E,"&lt;=10")/creditcard[[#This Row],[當月發卡數]],"")</f>
        <v/>
      </c>
      <c r="AD991" s="4">
        <f>IFERROR(SUMIFS(K:K,A:A,creditcard[[#This Row],[YYYYMM]],E:E,"&lt;=5")/creditcard[[#This Row],[當月停卡數]],"")</f>
        <v/>
      </c>
      <c r="AE991" s="4">
        <f>IFERROR(SUMIFS(K:K,A:A,creditcard[[#This Row],[YYYYMM]],E:E,"&lt;=10")/creditcard[[#This Row],[當月停卡數]],"")</f>
        <v/>
      </c>
      <c r="AF991" s="4">
        <f>IFERROR(SUMIFS(L:L,A:A,creditcard[[#This Row],[YYYYMM]],E:E,"&lt;=5")/creditcard[[#This Row],[循環信用餘額]],"")</f>
        <v/>
      </c>
      <c r="AG991" s="4">
        <f>IFERROR(SUMIFS(L:L,A:A,creditcard[[#This Row],[YYYYMM]],E:E,"&lt;=10")/creditcard[[#This Row],[循環信用餘額]],"")</f>
        <v/>
      </c>
      <c r="AH991" s="4">
        <f>IFERROR(SUMIFS(N:N,A:A,creditcard[[#This Row],[YYYYMM]],E:E,"&lt;=5")/creditcard[[#This Row],[當月簽帳金額]],"")</f>
        <v/>
      </c>
      <c r="AI991" s="4">
        <f>IFERROR(SUMIFS(N:N,A:A,creditcard[[#This Row],[YYYYMM]],E:E,"&lt;=10")/creditcard[[#This Row],[當月簽帳金額]],"")</f>
        <v/>
      </c>
    </row>
    <row r="992">
      <c r="A992" s="14" t="n">
        <v>202608</v>
      </c>
      <c r="B992" s="15">
        <f>LEFT(creditcard[[#This Row],[YYYYMM]],4)</f>
        <v/>
      </c>
      <c r="C992" s="15">
        <f>RIGHT(creditcard[[#This Row],[YYYYMM]],2)</f>
        <v/>
      </c>
      <c r="D992" s="15">
        <f>IF(RIGHT(creditcard[[#This Row],[YYYYMM]],2)="--","--","Q"&amp;ROUNDUP(VALUE(RIGHT(creditcard[[#This Row],[YYYYMM]],2))/3,0))</f>
        <v/>
      </c>
      <c r="E992" s="15" t="n">
        <v>1</v>
      </c>
      <c r="F992" s="167" t="inlineStr">
        <is>
          <t>中信</t>
        </is>
      </c>
      <c r="G992" s="156" t="inlineStr">
        <is>
          <t>01 中信</t>
        </is>
      </c>
      <c r="H992" s="157" t="n">
        <v>9828182</v>
      </c>
      <c r="I992" s="157" t="n">
        <v>6955633</v>
      </c>
      <c r="J992" s="157" t="n">
        <v>105673</v>
      </c>
      <c r="K992" s="157" t="n">
        <v>64774</v>
      </c>
      <c r="L992" s="157" t="n">
        <v>18127.53</v>
      </c>
      <c r="M992" s="23" t="n">
        <v>32146.481</v>
      </c>
      <c r="N992" s="157" t="n">
        <v>85965.75599999999</v>
      </c>
      <c r="O992" s="23" t="n">
        <v>477.047</v>
      </c>
      <c r="P992" s="17" t="n">
        <v>0.001</v>
      </c>
      <c r="Q992" s="17" t="n">
        <v>0</v>
      </c>
      <c r="R992" s="19" t="n">
        <v>2.9105</v>
      </c>
      <c r="S992" s="23" t="n">
        <v>86.18000000000001</v>
      </c>
      <c r="T992" s="23" t="n">
        <v>688.971</v>
      </c>
      <c r="U992" s="24" t="n">
        <v>12040.289</v>
      </c>
      <c r="V992" s="158" t="n"/>
      <c r="W992" s="16" t="n"/>
      <c r="X992" s="18" t="n"/>
      <c r="Y992" s="18" t="n"/>
      <c r="Z992" s="18" t="n"/>
      <c r="AA992" s="18" t="n"/>
      <c r="AB992" s="18" t="n"/>
      <c r="AC992" s="18" t="n"/>
      <c r="AD992" s="18" t="n"/>
      <c r="AE992" s="18" t="n"/>
      <c r="AF992" s="18" t="n"/>
      <c r="AG992" s="18" t="n"/>
      <c r="AH992" s="18" t="n"/>
      <c r="AI992" s="18" t="n"/>
    </row>
    <row r="993">
      <c r="A993" s="9" t="n">
        <v>202608</v>
      </c>
      <c r="B993" s="10">
        <f>LEFT(creditcard[[#This Row],[YYYYMM]],4)</f>
        <v/>
      </c>
      <c r="C993" s="10">
        <f>RIGHT(creditcard[[#This Row],[YYYYMM]],2)</f>
        <v/>
      </c>
      <c r="D993" s="10">
        <f>IF(RIGHT(creditcard[[#This Row],[YYYYMM]],2)="--","--","Q"&amp;ROUNDUP(VALUE(RIGHT(creditcard[[#This Row],[YYYYMM]],2))/3,0))</f>
        <v/>
      </c>
      <c r="E993" s="10" t="n">
        <v>2</v>
      </c>
      <c r="F993" s="168" t="inlineStr">
        <is>
          <t>富邦</t>
        </is>
      </c>
      <c r="G993" s="152" t="inlineStr">
        <is>
          <t>02 富邦</t>
        </is>
      </c>
      <c r="H993" s="153" t="n">
        <v>7592487</v>
      </c>
      <c r="I993" s="153" t="n">
        <v>5883816</v>
      </c>
      <c r="J993" s="153" t="n">
        <v>41211</v>
      </c>
      <c r="K993" s="153" t="n">
        <v>12741</v>
      </c>
      <c r="L993" s="153" t="n">
        <v>11639.822</v>
      </c>
      <c r="M993" s="21" t="n">
        <v>31675.418</v>
      </c>
      <c r="N993" s="153" t="n">
        <v>51295.615</v>
      </c>
      <c r="O993" s="21" t="n">
        <v>90.47199999999999</v>
      </c>
      <c r="P993" s="12" t="n">
        <v>0.0016</v>
      </c>
      <c r="Q993" s="12" t="n">
        <v>0</v>
      </c>
      <c r="R993" s="20" t="n">
        <v>16.9006</v>
      </c>
      <c r="S993" s="21" t="n">
        <v>87.589</v>
      </c>
      <c r="T993" s="21" t="n">
        <v>657.266</v>
      </c>
      <c r="U993" s="11" t="n"/>
      <c r="V993" s="154" t="n"/>
      <c r="W993" s="11" t="n"/>
      <c r="X993" s="13" t="n"/>
      <c r="Y993" s="13" t="n"/>
      <c r="Z993" s="13" t="n"/>
      <c r="AA993" s="13" t="n"/>
      <c r="AB993" s="13" t="n"/>
      <c r="AC993" s="13" t="n"/>
      <c r="AD993" s="13" t="n"/>
      <c r="AE993" s="13" t="n"/>
      <c r="AF993" s="13" t="n"/>
      <c r="AG993" s="13" t="n"/>
      <c r="AH993" s="13" t="n"/>
      <c r="AI993" s="13" t="n"/>
    </row>
    <row r="994">
      <c r="A994" s="14" t="n">
        <v>202608</v>
      </c>
      <c r="B994" s="15">
        <f>LEFT(creditcard[[#This Row],[YYYYMM]],4)</f>
        <v/>
      </c>
      <c r="C994" s="15">
        <f>RIGHT(creditcard[[#This Row],[YYYYMM]],2)</f>
        <v/>
      </c>
      <c r="D994" s="15">
        <f>IF(RIGHT(creditcard[[#This Row],[YYYYMM]],2)="--","--","Q"&amp;ROUNDUP(VALUE(RIGHT(creditcard[[#This Row],[YYYYMM]],2))/3,0))</f>
        <v/>
      </c>
      <c r="E994" s="15" t="n">
        <v>3</v>
      </c>
      <c r="F994" s="167" t="inlineStr">
        <is>
          <t>國泰</t>
        </is>
      </c>
      <c r="G994" s="156" t="inlineStr">
        <is>
          <t>03 國泰</t>
        </is>
      </c>
      <c r="H994" s="157" t="n">
        <v>7268930</v>
      </c>
      <c r="I994" s="157" t="n">
        <v>5200819</v>
      </c>
      <c r="J994" s="157" t="n">
        <v>45357</v>
      </c>
      <c r="K994" s="157" t="n">
        <v>34081</v>
      </c>
      <c r="L994" s="157" t="n">
        <v>22947.429</v>
      </c>
      <c r="M994" s="23" t="n">
        <v>43088.417</v>
      </c>
      <c r="N994" s="157" t="n">
        <v>76600.952</v>
      </c>
      <c r="O994" s="23" t="n">
        <v>185.407</v>
      </c>
      <c r="P994" s="17" t="n">
        <v>0.0017</v>
      </c>
      <c r="Q994" s="17" t="n">
        <v>0</v>
      </c>
      <c r="R994" s="19" t="n">
        <v>9.599299999999999</v>
      </c>
      <c r="S994" s="23" t="n">
        <v>81.624</v>
      </c>
      <c r="T994" s="23" t="n">
        <v>712.048</v>
      </c>
      <c r="U994" s="16" t="n"/>
      <c r="V994" s="158" t="n"/>
      <c r="W994" s="16" t="n"/>
      <c r="X994" s="18" t="n"/>
      <c r="Y994" s="18" t="n"/>
      <c r="Z994" s="18" t="n"/>
      <c r="AA994" s="18" t="n"/>
      <c r="AB994" s="18" t="n"/>
      <c r="AC994" s="18" t="n"/>
      <c r="AD994" s="18" t="n"/>
      <c r="AE994" s="18" t="n"/>
      <c r="AF994" s="18" t="n"/>
      <c r="AG994" s="18" t="n"/>
      <c r="AH994" s="18" t="n"/>
      <c r="AI994" s="18" t="n"/>
    </row>
    <row r="995">
      <c r="A995" s="9" t="n">
        <v>202608</v>
      </c>
      <c r="B995" s="10">
        <f>LEFT(creditcard[[#This Row],[YYYYMM]],4)</f>
        <v/>
      </c>
      <c r="C995" s="10">
        <f>RIGHT(creditcard[[#This Row],[YYYYMM]],2)</f>
        <v/>
      </c>
      <c r="D995" s="10">
        <f>IF(RIGHT(creditcard[[#This Row],[YYYYMM]],2)="--","--","Q"&amp;ROUNDUP(VALUE(RIGHT(creditcard[[#This Row],[YYYYMM]],2))/3,0))</f>
        <v/>
      </c>
      <c r="E995" s="10" t="n">
        <v>4</v>
      </c>
      <c r="F995" s="168" t="inlineStr">
        <is>
          <t>玉山</t>
        </is>
      </c>
      <c r="G995" s="152" t="inlineStr">
        <is>
          <t>04 玉山</t>
        </is>
      </c>
      <c r="H995" s="153" t="n">
        <v>7513121</v>
      </c>
      <c r="I995" s="153" t="n">
        <v>4896297</v>
      </c>
      <c r="J995" s="153" t="n">
        <v>68226</v>
      </c>
      <c r="K995" s="153" t="n">
        <v>52816</v>
      </c>
      <c r="L995" s="153" t="n">
        <v>17067.688</v>
      </c>
      <c r="M995" s="21" t="n">
        <v>35327.96</v>
      </c>
      <c r="N995" s="153" t="n">
        <v>54432.575</v>
      </c>
      <c r="O995" s="21" t="n">
        <v>220.295</v>
      </c>
      <c r="P995" s="12" t="n">
        <v>0.0019</v>
      </c>
      <c r="Q995" s="12" t="n">
        <v>0.0001</v>
      </c>
      <c r="R995" s="20" t="n">
        <v>5.694500000000001</v>
      </c>
      <c r="S995" s="21" t="n">
        <v>79.107</v>
      </c>
      <c r="T995" s="21" t="n">
        <v>645.417</v>
      </c>
      <c r="U995" s="11" t="n"/>
      <c r="V995" s="154" t="n"/>
      <c r="W995" s="11" t="n"/>
      <c r="X995" s="13" t="n"/>
      <c r="Y995" s="13" t="n"/>
      <c r="Z995" s="13" t="n"/>
      <c r="AA995" s="13" t="n"/>
      <c r="AB995" s="13" t="n"/>
      <c r="AC995" s="13" t="n"/>
      <c r="AD995" s="13" t="n"/>
      <c r="AE995" s="13" t="n"/>
      <c r="AF995" s="13" t="n"/>
      <c r="AG995" s="13" t="n"/>
      <c r="AH995" s="13" t="n"/>
      <c r="AI995" s="13" t="n"/>
    </row>
    <row r="996">
      <c r="A996" s="14" t="n">
        <v>202608</v>
      </c>
      <c r="B996" s="15">
        <f>LEFT(creditcard[[#This Row],[YYYYMM]],4)</f>
        <v/>
      </c>
      <c r="C996" s="15">
        <f>RIGHT(creditcard[[#This Row],[YYYYMM]],2)</f>
        <v/>
      </c>
      <c r="D996" s="15">
        <f>IF(RIGHT(creditcard[[#This Row],[YYYYMM]],2)="--","--","Q"&amp;ROUNDUP(VALUE(RIGHT(creditcard[[#This Row],[YYYYMM]],2))/3,0))</f>
        <v/>
      </c>
      <c r="E996" s="15" t="n">
        <v>5</v>
      </c>
      <c r="F996" s="167" t="inlineStr">
        <is>
          <t>台新</t>
        </is>
      </c>
      <c r="G996" s="156" t="inlineStr">
        <is>
          <t>05 台新</t>
        </is>
      </c>
      <c r="H996" s="157" t="n">
        <v>6698958</v>
      </c>
      <c r="I996" s="157" t="n">
        <v>4802813</v>
      </c>
      <c r="J996" s="157" t="n">
        <v>47042</v>
      </c>
      <c r="K996" s="157" t="n">
        <v>34043</v>
      </c>
      <c r="L996" s="157" t="n">
        <v>11480.545</v>
      </c>
      <c r="M996" s="23" t="n">
        <v>36678.363</v>
      </c>
      <c r="N996" s="157" t="n">
        <v>48035.417</v>
      </c>
      <c r="O996" s="23" t="n">
        <v>113.643</v>
      </c>
      <c r="P996" s="17" t="n">
        <v>0.0015</v>
      </c>
      <c r="Q996" s="17" t="n">
        <v>0.0001</v>
      </c>
      <c r="R996" s="19" t="n">
        <v>8.6251</v>
      </c>
      <c r="S996" s="23" t="n">
        <v>41.21</v>
      </c>
      <c r="T996" s="23" t="n">
        <v>318.731</v>
      </c>
      <c r="U996" s="16" t="n"/>
      <c r="V996" s="158" t="n"/>
      <c r="W996" s="16" t="n"/>
      <c r="X996" s="18" t="n"/>
      <c r="Y996" s="18" t="n"/>
      <c r="Z996" s="18" t="n"/>
      <c r="AA996" s="18" t="n"/>
      <c r="AB996" s="18" t="n"/>
      <c r="AC996" s="18" t="n"/>
      <c r="AD996" s="18" t="n"/>
      <c r="AE996" s="18" t="n"/>
      <c r="AF996" s="18" t="n"/>
      <c r="AG996" s="18" t="n"/>
      <c r="AH996" s="18" t="n"/>
      <c r="AI996" s="18" t="n"/>
    </row>
    <row r="997">
      <c r="A997" s="9" t="n">
        <v>202608</v>
      </c>
      <c r="B997" s="10">
        <f>LEFT(creditcard[[#This Row],[YYYYMM]],4)</f>
        <v/>
      </c>
      <c r="C997" s="10">
        <f>RIGHT(creditcard[[#This Row],[YYYYMM]],2)</f>
        <v/>
      </c>
      <c r="D997" s="10">
        <f>IF(RIGHT(creditcard[[#This Row],[YYYYMM]],2)="--","--","Q"&amp;ROUNDUP(VALUE(RIGHT(creditcard[[#This Row],[YYYYMM]],2))/3,0))</f>
        <v/>
      </c>
      <c r="E997" s="10" t="n">
        <v>6</v>
      </c>
      <c r="F997" s="168" t="inlineStr">
        <is>
          <t>星展</t>
        </is>
      </c>
      <c r="G997" s="152" t="inlineStr">
        <is>
          <t>06 星展</t>
        </is>
      </c>
      <c r="H997" s="153" t="n">
        <v>3069505</v>
      </c>
      <c r="I997" s="153" t="n">
        <v>2019789</v>
      </c>
      <c r="J997" s="153" t="n">
        <v>9605</v>
      </c>
      <c r="K997" s="153" t="n">
        <v>14908</v>
      </c>
      <c r="L997" s="153" t="n">
        <v>9255.141</v>
      </c>
      <c r="M997" s="21" t="n">
        <v>16189.215</v>
      </c>
      <c r="N997" s="153" t="n">
        <v>20167.154</v>
      </c>
      <c r="O997" s="21" t="n">
        <v>121.508</v>
      </c>
      <c r="P997" s="12" t="n">
        <v>0.0049</v>
      </c>
      <c r="Q997" s="12" t="n">
        <v>0.0003</v>
      </c>
      <c r="R997" s="20" t="n">
        <v>5.2974</v>
      </c>
      <c r="S997" s="21" t="n">
        <v>47.496</v>
      </c>
      <c r="T997" s="21" t="n">
        <v>380.307</v>
      </c>
      <c r="U997" s="11" t="n"/>
      <c r="V997" s="154" t="n"/>
      <c r="W997" s="11" t="n"/>
      <c r="X997" s="13" t="n"/>
      <c r="Y997" s="13" t="n"/>
      <c r="Z997" s="13" t="n"/>
      <c r="AA997" s="13" t="n"/>
      <c r="AB997" s="13" t="n"/>
      <c r="AC997" s="13" t="n"/>
      <c r="AD997" s="13" t="n"/>
      <c r="AE997" s="13" t="n"/>
      <c r="AF997" s="13" t="n"/>
      <c r="AG997" s="13" t="n"/>
      <c r="AH997" s="13" t="n"/>
      <c r="AI997" s="13" t="n"/>
    </row>
    <row r="998">
      <c r="A998" s="14" t="n">
        <v>202608</v>
      </c>
      <c r="B998" s="15">
        <f>LEFT(creditcard[[#This Row],[YYYYMM]],4)</f>
        <v/>
      </c>
      <c r="C998" s="15">
        <f>RIGHT(creditcard[[#This Row],[YYYYMM]],2)</f>
        <v/>
      </c>
      <c r="D998" s="15">
        <f>IF(RIGHT(creditcard[[#This Row],[YYYYMM]],2)="--","--","Q"&amp;ROUNDUP(VALUE(RIGHT(creditcard[[#This Row],[YYYYMM]],2))/3,0))</f>
        <v/>
      </c>
      <c r="E998" s="15" t="n">
        <v>7</v>
      </c>
      <c r="F998" s="167" t="inlineStr">
        <is>
          <t>聯邦</t>
        </is>
      </c>
      <c r="G998" s="156" t="inlineStr">
        <is>
          <t>07 聯邦</t>
        </is>
      </c>
      <c r="H998" s="157" t="n">
        <v>2771141</v>
      </c>
      <c r="I998" s="157" t="n">
        <v>1849963</v>
      </c>
      <c r="J998" s="157" t="n">
        <v>24175</v>
      </c>
      <c r="K998" s="157" t="n">
        <v>22654</v>
      </c>
      <c r="L998" s="157" t="n">
        <v>6659.599</v>
      </c>
      <c r="M998" s="23" t="n">
        <v>9231.319</v>
      </c>
      <c r="N998" s="157" t="n">
        <v>14747.776</v>
      </c>
      <c r="O998" s="23" t="n">
        <v>27.704</v>
      </c>
      <c r="P998" s="17" t="n">
        <v>0.0015</v>
      </c>
      <c r="Q998" s="17" t="n">
        <v>0</v>
      </c>
      <c r="R998" s="19" t="n">
        <v>2.1322</v>
      </c>
      <c r="S998" s="23" t="n">
        <v>21.495</v>
      </c>
      <c r="T998" s="23" t="n">
        <v>188.773</v>
      </c>
      <c r="U998" s="16" t="n"/>
      <c r="V998" s="158" t="n"/>
      <c r="W998" s="16" t="n"/>
      <c r="X998" s="18" t="n"/>
      <c r="Y998" s="18" t="n"/>
      <c r="Z998" s="18" t="n"/>
      <c r="AA998" s="18" t="n"/>
      <c r="AB998" s="18" t="n"/>
      <c r="AC998" s="18" t="n"/>
      <c r="AD998" s="18" t="n"/>
      <c r="AE998" s="18" t="n"/>
      <c r="AF998" s="18" t="n"/>
      <c r="AG998" s="18" t="n"/>
      <c r="AH998" s="18" t="n"/>
      <c r="AI998" s="18" t="n"/>
    </row>
    <row r="999">
      <c r="A999" s="9" t="n">
        <v>202608</v>
      </c>
      <c r="B999" s="10">
        <f>LEFT(creditcard[[#This Row],[YYYYMM]],4)</f>
        <v/>
      </c>
      <c r="C999" s="10">
        <f>RIGHT(creditcard[[#This Row],[YYYYMM]],2)</f>
        <v/>
      </c>
      <c r="D999" s="10">
        <f>IF(RIGHT(creditcard[[#This Row],[YYYYMM]],2)="--","--","Q"&amp;ROUNDUP(VALUE(RIGHT(creditcard[[#This Row],[YYYYMM]],2))/3,0))</f>
        <v/>
      </c>
      <c r="E999" s="10" t="n">
        <v>8</v>
      </c>
      <c r="F999" s="168" t="inlineStr">
        <is>
          <t>永豐</t>
        </is>
      </c>
      <c r="G999" s="152" t="inlineStr">
        <is>
          <t>08 永豐</t>
        </is>
      </c>
      <c r="H999" s="153" t="n">
        <v>2572877</v>
      </c>
      <c r="I999" s="153" t="n">
        <v>1515887</v>
      </c>
      <c r="J999" s="153" t="n">
        <v>17919</v>
      </c>
      <c r="K999" s="153" t="n">
        <v>8284</v>
      </c>
      <c r="L999" s="153" t="n">
        <v>3785.143</v>
      </c>
      <c r="M999" s="21" t="n">
        <v>6393.42</v>
      </c>
      <c r="N999" s="153" t="n">
        <v>14221.769</v>
      </c>
      <c r="O999" s="21" t="n">
        <v>56.387</v>
      </c>
      <c r="P999" s="12" t="n">
        <v>0.0013</v>
      </c>
      <c r="Q999" s="12" t="n">
        <v>0</v>
      </c>
      <c r="R999" s="20" t="n">
        <v>6.1159</v>
      </c>
      <c r="S999" s="21" t="n">
        <v>17.124</v>
      </c>
      <c r="T999" s="21" t="n">
        <v>136.169</v>
      </c>
      <c r="U999" s="11" t="n"/>
      <c r="V999" s="154" t="n"/>
      <c r="W999" s="11" t="n"/>
      <c r="X999" s="13" t="n"/>
      <c r="Y999" s="13" t="n"/>
      <c r="Z999" s="13" t="n"/>
      <c r="AA999" s="13" t="n"/>
      <c r="AB999" s="13" t="n"/>
      <c r="AC999" s="13" t="n"/>
      <c r="AD999" s="13" t="n"/>
      <c r="AE999" s="13" t="n"/>
      <c r="AF999" s="13" t="n"/>
      <c r="AG999" s="13" t="n"/>
      <c r="AH999" s="13" t="n"/>
      <c r="AI999" s="13" t="n"/>
    </row>
    <row r="1000">
      <c r="A1000" s="14" t="n">
        <v>202608</v>
      </c>
      <c r="B1000" s="15">
        <f>LEFT(creditcard[[#This Row],[YYYYMM]],4)</f>
        <v/>
      </c>
      <c r="C1000" s="15">
        <f>RIGHT(creditcard[[#This Row],[YYYYMM]],2)</f>
        <v/>
      </c>
      <c r="D1000" s="15">
        <f>IF(RIGHT(creditcard[[#This Row],[YYYYMM]],2)="--","--","Q"&amp;ROUNDUP(VALUE(RIGHT(creditcard[[#This Row],[YYYYMM]],2))/3,0))</f>
        <v/>
      </c>
      <c r="E1000" s="15" t="n">
        <v>9</v>
      </c>
      <c r="F1000" s="167" t="inlineStr">
        <is>
          <t>第一</t>
        </is>
      </c>
      <c r="G1000" s="156" t="inlineStr">
        <is>
          <t>09 第一</t>
        </is>
      </c>
      <c r="H1000" s="157" t="n">
        <v>1569010</v>
      </c>
      <c r="I1000" s="157" t="n">
        <v>960753</v>
      </c>
      <c r="J1000" s="157" t="n">
        <v>12727</v>
      </c>
      <c r="K1000" s="157" t="n">
        <v>12326</v>
      </c>
      <c r="L1000" s="157" t="n">
        <v>1268.232</v>
      </c>
      <c r="M1000" s="23" t="n">
        <v>3840.974</v>
      </c>
      <c r="N1000" s="157" t="n">
        <v>7086.146</v>
      </c>
      <c r="O1000" s="23" t="n">
        <v>5.856</v>
      </c>
      <c r="P1000" s="17" t="n">
        <v>0.0009</v>
      </c>
      <c r="Q1000" s="17" t="n">
        <v>0</v>
      </c>
      <c r="R1000" s="19" t="n">
        <v>12.6809</v>
      </c>
      <c r="S1000" s="23" t="n">
        <v>5.494</v>
      </c>
      <c r="T1000" s="23" t="n">
        <v>53.254</v>
      </c>
      <c r="U1000" s="16" t="n"/>
      <c r="V1000" s="158" t="n"/>
      <c r="W1000" s="16" t="n"/>
      <c r="X1000" s="18" t="n"/>
      <c r="Y1000" s="18" t="n"/>
      <c r="Z1000" s="18" t="n"/>
      <c r="AA1000" s="18" t="n"/>
      <c r="AB1000" s="18" t="n"/>
      <c r="AC1000" s="18" t="n"/>
      <c r="AD1000" s="18" t="n"/>
      <c r="AE1000" s="18" t="n"/>
      <c r="AF1000" s="18" t="n"/>
      <c r="AG1000" s="18" t="n"/>
      <c r="AH1000" s="18" t="n"/>
      <c r="AI1000" s="18" t="n"/>
    </row>
    <row r="1001">
      <c r="A1001" s="9" t="n">
        <v>202608</v>
      </c>
      <c r="B1001" s="10">
        <f>LEFT(creditcard[[#This Row],[YYYYMM]],4)</f>
        <v/>
      </c>
      <c r="C1001" s="10">
        <f>RIGHT(creditcard[[#This Row],[YYYYMM]],2)</f>
        <v/>
      </c>
      <c r="D1001" s="10">
        <f>IF(RIGHT(creditcard[[#This Row],[YYYYMM]],2)="--","--","Q"&amp;ROUNDUP(VALUE(RIGHT(creditcard[[#This Row],[YYYYMM]],2))/3,0))</f>
        <v/>
      </c>
      <c r="E1001" s="10" t="n">
        <v>10</v>
      </c>
      <c r="F1001" s="168" t="inlineStr">
        <is>
          <t>遠東</t>
        </is>
      </c>
      <c r="G1001" s="152" t="inlineStr">
        <is>
          <t>10 遠東</t>
        </is>
      </c>
      <c r="H1001" s="153" t="n">
        <v>1278389</v>
      </c>
      <c r="I1001" s="153" t="n">
        <v>866880</v>
      </c>
      <c r="J1001" s="153" t="n">
        <v>6259</v>
      </c>
      <c r="K1001" s="153" t="n">
        <v>8063</v>
      </c>
      <c r="L1001" s="153" t="n">
        <v>3130.903</v>
      </c>
      <c r="M1001" s="21" t="n">
        <v>3328.027</v>
      </c>
      <c r="N1001" s="153" t="n">
        <v>4000.644</v>
      </c>
      <c r="O1001" s="21" t="n">
        <v>59.318</v>
      </c>
      <c r="P1001" s="12" t="n">
        <v>0.0025</v>
      </c>
      <c r="Q1001" s="12" t="n">
        <v>0.0001</v>
      </c>
      <c r="R1001" s="20" t="n">
        <v>1.0304</v>
      </c>
      <c r="S1001" s="21" t="n">
        <v>11.809</v>
      </c>
      <c r="T1001" s="21" t="n">
        <v>89.334</v>
      </c>
      <c r="U1001" s="11" t="n"/>
      <c r="V1001" s="154" t="n"/>
      <c r="W1001" s="11" t="n"/>
      <c r="X1001" s="13" t="n"/>
      <c r="Y1001" s="13" t="n"/>
      <c r="Z1001" s="13" t="n"/>
      <c r="AA1001" s="13" t="n"/>
      <c r="AB1001" s="13" t="n"/>
      <c r="AC1001" s="13" t="n"/>
      <c r="AD1001" s="13" t="n"/>
      <c r="AE1001" s="13" t="n"/>
      <c r="AF1001" s="13" t="n"/>
      <c r="AG1001" s="13" t="n"/>
      <c r="AH1001" s="13" t="n"/>
      <c r="AI1001" s="13" t="n"/>
    </row>
    <row r="1002">
      <c r="A1002" s="25" t="n">
        <v>202608</v>
      </c>
      <c r="B1002" s="26">
        <f>LEFT(creditcard[[#This Row],[YYYYMM]],4)</f>
        <v/>
      </c>
      <c r="C1002" s="26">
        <f>RIGHT(creditcard[[#This Row],[YYYYMM]],2)</f>
        <v/>
      </c>
      <c r="D1002" s="26">
        <f>IF(RIGHT(creditcard[[#This Row],[YYYYMM]],2)="--","--","Q"&amp;ROUNDUP(VALUE(RIGHT(creditcard[[#This Row],[YYYYMM]],2))/3,0))</f>
        <v/>
      </c>
      <c r="E1002" s="26" t="n">
        <v>11</v>
      </c>
      <c r="F1002" s="169" t="inlineStr">
        <is>
          <t>市場總計</t>
        </is>
      </c>
      <c r="G1002" s="163" t="inlineStr">
        <is>
          <t>11 市場總計</t>
        </is>
      </c>
      <c r="H1002" s="164" t="n"/>
      <c r="I1002" s="164" t="n"/>
      <c r="J1002" s="164" t="n"/>
      <c r="K1002" s="164" t="n"/>
      <c r="L1002" s="164" t="n"/>
      <c r="M1002" s="165" t="n"/>
      <c r="N1002" s="164" t="n"/>
      <c r="O1002" s="165" t="n"/>
      <c r="P1002" s="27" t="n"/>
      <c r="Q1002" s="27" t="n"/>
      <c r="R1002" s="28" t="n"/>
      <c r="S1002" s="165" t="n"/>
      <c r="T1002" s="165" t="n"/>
      <c r="U1002" s="29" t="n"/>
      <c r="V1002" s="166" t="n"/>
      <c r="W1002" s="29">
        <f>SUMIFS(H:H,A:A,creditcard[[#This Row],[YYYYMM]],G:G,creditcard[[#This Row],[Item]])</f>
        <v/>
      </c>
      <c r="X1002" s="4">
        <f>IFERROR(SUMIFS(H:H,A:A,creditcard[[#This Row],[YYYYMM]],E:E,"&lt;=5")/creditcard[[#This Row],[市場總計]],"")</f>
        <v/>
      </c>
      <c r="Y1002" s="4">
        <f>IFERROR(SUMIFS(H:H,A:A,creditcard[[#This Row],[YYYYMM]],E:E,"&lt;=10")/creditcard[[#This Row],[市場總計]],"")</f>
        <v/>
      </c>
      <c r="Z1002" s="4">
        <f>IFERROR(SUMIFS(I:I,A:A,creditcard[[#This Row],[YYYYMM]],E:E,"&lt;=5")/creditcard[[#This Row],[有效卡數]],"")</f>
        <v/>
      </c>
      <c r="AA1002" s="4">
        <f>IFERROR(SUMIFS(I:I,A:A,creditcard[[#This Row],[YYYYMM]],E:E,"&lt;=10")/creditcard[[#This Row],[有效卡數]],"")</f>
        <v/>
      </c>
      <c r="AB1002" s="4">
        <f>IFERROR(SUMIFS(J:J,A:A,creditcard[[#This Row],[YYYYMM]],E:E,"&lt;=5")/creditcard[[#This Row],[當月發卡數]],"")</f>
        <v/>
      </c>
      <c r="AC1002" s="4">
        <f>IFERROR(SUMIFS(J:J,A:A,creditcard[[#This Row],[YYYYMM]],E:E,"&lt;=10")/creditcard[[#This Row],[當月發卡數]],"")</f>
        <v/>
      </c>
      <c r="AD1002" s="4">
        <f>IFERROR(SUMIFS(K:K,A:A,creditcard[[#This Row],[YYYYMM]],E:E,"&lt;=5")/creditcard[[#This Row],[當月停卡數]],"")</f>
        <v/>
      </c>
      <c r="AE1002" s="4">
        <f>IFERROR(SUMIFS(K:K,A:A,creditcard[[#This Row],[YYYYMM]],E:E,"&lt;=10")/creditcard[[#This Row],[當月停卡數]],"")</f>
        <v/>
      </c>
      <c r="AF1002" s="4">
        <f>IFERROR(SUMIFS(L:L,A:A,creditcard[[#This Row],[YYYYMM]],E:E,"&lt;=5")/creditcard[[#This Row],[循環信用餘額]],"")</f>
        <v/>
      </c>
      <c r="AG1002" s="4">
        <f>IFERROR(SUMIFS(L:L,A:A,creditcard[[#This Row],[YYYYMM]],E:E,"&lt;=10")/creditcard[[#This Row],[循環信用餘額]],"")</f>
        <v/>
      </c>
      <c r="AH1002" s="4">
        <f>IFERROR(SUMIFS(N:N,A:A,creditcard[[#This Row],[YYYYMM]],E:E,"&lt;=5")/creditcard[[#This Row],[當月簽帳金額]],"")</f>
        <v/>
      </c>
      <c r="AI1002" s="4">
        <f>IFERROR(SUMIFS(N:N,A:A,creditcard[[#This Row],[YYYYMM]],E:E,"&lt;=10")/creditcard[[#This Row],[當月簽帳金額]],"")</f>
        <v/>
      </c>
    </row>
    <row r="1003">
      <c r="A1003" s="14" t="n">
        <v>202609</v>
      </c>
      <c r="B1003" s="15">
        <f>LEFT(creditcard[[#This Row],[YYYYMM]],4)</f>
        <v/>
      </c>
      <c r="C1003" s="15">
        <f>RIGHT(creditcard[[#This Row],[YYYYMM]],2)</f>
        <v/>
      </c>
      <c r="D1003" s="15">
        <f>IF(RIGHT(creditcard[[#This Row],[YYYYMM]],2)="--","--","Q"&amp;ROUNDUP(VALUE(RIGHT(creditcard[[#This Row],[YYYYMM]],2))/3,0))</f>
        <v/>
      </c>
      <c r="E1003" s="15" t="n">
        <v>1</v>
      </c>
      <c r="F1003" s="167" t="inlineStr">
        <is>
          <t>中信</t>
        </is>
      </c>
      <c r="G1003" s="156" t="inlineStr">
        <is>
          <t>01 中信</t>
        </is>
      </c>
      <c r="H1003" s="157" t="n">
        <v>9945679</v>
      </c>
      <c r="I1003" s="157" t="n">
        <v>6982402</v>
      </c>
      <c r="J1003" s="157" t="n">
        <v>181574</v>
      </c>
      <c r="K1003" s="157" t="n">
        <v>64077</v>
      </c>
      <c r="L1003" s="157" t="n">
        <v>18464.265</v>
      </c>
      <c r="M1003" s="23" t="n">
        <v>28335.566</v>
      </c>
      <c r="N1003" s="157" t="n">
        <v>89009.838</v>
      </c>
      <c r="O1003" s="23" t="n">
        <v>485.85</v>
      </c>
      <c r="P1003" s="17" t="n">
        <v>0.001</v>
      </c>
      <c r="Q1003" s="17" t="n">
        <v>0</v>
      </c>
      <c r="R1003" s="19" t="n">
        <v>2.8964</v>
      </c>
      <c r="S1003" s="23" t="n">
        <v>85.11799999999999</v>
      </c>
      <c r="T1003" s="23" t="n">
        <v>774.0890000000001</v>
      </c>
      <c r="U1003" s="24" t="n">
        <v>12649.854</v>
      </c>
      <c r="V1003" s="158" t="n"/>
      <c r="W1003" s="16" t="n"/>
      <c r="X1003" s="18" t="n"/>
      <c r="Y1003" s="18" t="n"/>
      <c r="Z1003" s="18" t="n"/>
      <c r="AA1003" s="18" t="n"/>
      <c r="AB1003" s="18" t="n"/>
      <c r="AC1003" s="18" t="n"/>
      <c r="AD1003" s="18" t="n"/>
      <c r="AE1003" s="18" t="n"/>
      <c r="AF1003" s="18" t="n"/>
      <c r="AG1003" s="18" t="n"/>
      <c r="AH1003" s="18" t="n"/>
      <c r="AI1003" s="18" t="n"/>
    </row>
    <row r="1004">
      <c r="A1004" s="9" t="n">
        <v>202609</v>
      </c>
      <c r="B1004" s="10">
        <f>LEFT(creditcard[[#This Row],[YYYYMM]],4)</f>
        <v/>
      </c>
      <c r="C1004" s="10">
        <f>RIGHT(creditcard[[#This Row],[YYYYMM]],2)</f>
        <v/>
      </c>
      <c r="D1004" s="10">
        <f>IF(RIGHT(creditcard[[#This Row],[YYYYMM]],2)="--","--","Q"&amp;ROUNDUP(VALUE(RIGHT(creditcard[[#This Row],[YYYYMM]],2))/3,0))</f>
        <v/>
      </c>
      <c r="E1004" s="10" t="n">
        <v>2</v>
      </c>
      <c r="F1004" s="168" t="inlineStr">
        <is>
          <t>富邦</t>
        </is>
      </c>
      <c r="G1004" s="152" t="inlineStr">
        <is>
          <t>02 富邦</t>
        </is>
      </c>
      <c r="H1004" s="153" t="n">
        <v>7617169</v>
      </c>
      <c r="I1004" s="153" t="n">
        <v>5888400</v>
      </c>
      <c r="J1004" s="153" t="n">
        <v>38036</v>
      </c>
      <c r="K1004" s="153" t="n">
        <v>13354</v>
      </c>
      <c r="L1004" s="153" t="n">
        <v>11770.448</v>
      </c>
      <c r="M1004" s="21" t="n">
        <v>31453.859</v>
      </c>
      <c r="N1004" s="153" t="n">
        <v>57317.848</v>
      </c>
      <c r="O1004" s="21" t="n">
        <v>95.81699999999999</v>
      </c>
      <c r="P1004" s="12" t="n">
        <v>0.0017</v>
      </c>
      <c r="Q1004" s="12" t="n">
        <v>0</v>
      </c>
      <c r="R1004" s="20" t="n">
        <v>16.2531</v>
      </c>
      <c r="S1004" s="21" t="n">
        <v>70.467</v>
      </c>
      <c r="T1004" s="21" t="n">
        <v>727.7329999999999</v>
      </c>
      <c r="U1004" s="11" t="n"/>
      <c r="V1004" s="154" t="n"/>
      <c r="W1004" s="11" t="n"/>
      <c r="X1004" s="13" t="n"/>
      <c r="Y1004" s="13" t="n"/>
      <c r="Z1004" s="13" t="n"/>
      <c r="AA1004" s="13" t="n"/>
      <c r="AB1004" s="13" t="n"/>
      <c r="AC1004" s="13" t="n"/>
      <c r="AD1004" s="13" t="n"/>
      <c r="AE1004" s="13" t="n"/>
      <c r="AF1004" s="13" t="n"/>
      <c r="AG1004" s="13" t="n"/>
      <c r="AH1004" s="13" t="n"/>
      <c r="AI1004" s="13" t="n"/>
    </row>
    <row r="1005">
      <c r="A1005" s="14" t="n">
        <v>202609</v>
      </c>
      <c r="B1005" s="15">
        <f>LEFT(creditcard[[#This Row],[YYYYMM]],4)</f>
        <v/>
      </c>
      <c r="C1005" s="15">
        <f>RIGHT(creditcard[[#This Row],[YYYYMM]],2)</f>
        <v/>
      </c>
      <c r="D1005" s="15">
        <f>IF(RIGHT(creditcard[[#This Row],[YYYYMM]],2)="--","--","Q"&amp;ROUNDUP(VALUE(RIGHT(creditcard[[#This Row],[YYYYMM]],2))/3,0))</f>
        <v/>
      </c>
      <c r="E1005" s="15" t="n">
        <v>3</v>
      </c>
      <c r="F1005" s="167" t="inlineStr">
        <is>
          <t>國泰</t>
        </is>
      </c>
      <c r="G1005" s="156" t="inlineStr">
        <is>
          <t>03 國泰</t>
        </is>
      </c>
      <c r="H1005" s="157" t="n">
        <v>7274938</v>
      </c>
      <c r="I1005" s="157" t="n">
        <v>5235605</v>
      </c>
      <c r="J1005" s="157" t="n">
        <v>44615</v>
      </c>
      <c r="K1005" s="157" t="n">
        <v>38607</v>
      </c>
      <c r="L1005" s="157" t="n">
        <v>21555.338</v>
      </c>
      <c r="M1005" s="23" t="n">
        <v>40906.221</v>
      </c>
      <c r="N1005" s="157" t="n">
        <v>84299.86599999999</v>
      </c>
      <c r="O1005" s="23" t="n">
        <v>192.156</v>
      </c>
      <c r="P1005" s="17" t="n">
        <v>0.0016</v>
      </c>
      <c r="Q1005" s="17" t="n">
        <v>0</v>
      </c>
      <c r="R1005" s="19" t="n">
        <v>9.7537</v>
      </c>
      <c r="S1005" s="23" t="n">
        <v>88.73699999999999</v>
      </c>
      <c r="T1005" s="23" t="n">
        <v>800.785</v>
      </c>
      <c r="U1005" s="16" t="n"/>
      <c r="V1005" s="158" t="n"/>
      <c r="W1005" s="16" t="n"/>
      <c r="X1005" s="18" t="n"/>
      <c r="Y1005" s="18" t="n"/>
      <c r="Z1005" s="18" t="n"/>
      <c r="AA1005" s="18" t="n"/>
      <c r="AB1005" s="18" t="n"/>
      <c r="AC1005" s="18" t="n"/>
      <c r="AD1005" s="18" t="n"/>
      <c r="AE1005" s="18" t="n"/>
      <c r="AF1005" s="18" t="n"/>
      <c r="AG1005" s="18" t="n"/>
      <c r="AH1005" s="18" t="n"/>
      <c r="AI1005" s="18" t="n"/>
    </row>
    <row r="1006">
      <c r="A1006" s="9" t="n">
        <v>202609</v>
      </c>
      <c r="B1006" s="10">
        <f>LEFT(creditcard[[#This Row],[YYYYMM]],4)</f>
        <v/>
      </c>
      <c r="C1006" s="10">
        <f>RIGHT(creditcard[[#This Row],[YYYYMM]],2)</f>
        <v/>
      </c>
      <c r="D1006" s="10">
        <f>IF(RIGHT(creditcard[[#This Row],[YYYYMM]],2)="--","--","Q"&amp;ROUNDUP(VALUE(RIGHT(creditcard[[#This Row],[YYYYMM]],2))/3,0))</f>
        <v/>
      </c>
      <c r="E1006" s="10" t="n">
        <v>4</v>
      </c>
      <c r="F1006" s="168" t="inlineStr">
        <is>
          <t>玉山</t>
        </is>
      </c>
      <c r="G1006" s="152" t="inlineStr">
        <is>
          <t>04 玉山</t>
        </is>
      </c>
      <c r="H1006" s="153" t="n">
        <v>7518514</v>
      </c>
      <c r="I1006" s="153" t="n">
        <v>4920475</v>
      </c>
      <c r="J1006" s="153" t="n">
        <v>67795</v>
      </c>
      <c r="K1006" s="153" t="n">
        <v>62402</v>
      </c>
      <c r="L1006" s="153" t="n">
        <v>15925.753</v>
      </c>
      <c r="M1006" s="21" t="n">
        <v>33144.879</v>
      </c>
      <c r="N1006" s="153" t="n">
        <v>55645.497</v>
      </c>
      <c r="O1006" s="21" t="n">
        <v>222.709</v>
      </c>
      <c r="P1006" s="12" t="n">
        <v>0.0017</v>
      </c>
      <c r="Q1006" s="12" t="n">
        <v>0</v>
      </c>
      <c r="R1006" s="20" t="n">
        <v>5.992100000000001</v>
      </c>
      <c r="S1006" s="21" t="n">
        <v>78.663</v>
      </c>
      <c r="T1006" s="21" t="n">
        <v>724.08</v>
      </c>
      <c r="U1006" s="11" t="n"/>
      <c r="V1006" s="154" t="n"/>
      <c r="W1006" s="11" t="n"/>
      <c r="X1006" s="13" t="n"/>
      <c r="Y1006" s="13" t="n"/>
      <c r="Z1006" s="13" t="n"/>
      <c r="AA1006" s="13" t="n"/>
      <c r="AB1006" s="13" t="n"/>
      <c r="AC1006" s="13" t="n"/>
      <c r="AD1006" s="13" t="n"/>
      <c r="AE1006" s="13" t="n"/>
      <c r="AF1006" s="13" t="n"/>
      <c r="AG1006" s="13" t="n"/>
      <c r="AH1006" s="13" t="n"/>
      <c r="AI1006" s="13" t="n"/>
    </row>
    <row r="1007">
      <c r="A1007" s="14" t="n">
        <v>202609</v>
      </c>
      <c r="B1007" s="15">
        <f>LEFT(creditcard[[#This Row],[YYYYMM]],4)</f>
        <v/>
      </c>
      <c r="C1007" s="15">
        <f>RIGHT(creditcard[[#This Row],[YYYYMM]],2)</f>
        <v/>
      </c>
      <c r="D1007" s="15">
        <f>IF(RIGHT(creditcard[[#This Row],[YYYYMM]],2)="--","--","Q"&amp;ROUNDUP(VALUE(RIGHT(creditcard[[#This Row],[YYYYMM]],2))/3,0))</f>
        <v/>
      </c>
      <c r="E1007" s="15" t="n">
        <v>5</v>
      </c>
      <c r="F1007" s="167" t="inlineStr">
        <is>
          <t>台新</t>
        </is>
      </c>
      <c r="G1007" s="156" t="inlineStr">
        <is>
          <t>05 台新</t>
        </is>
      </c>
      <c r="H1007" s="157" t="n">
        <v>6712122</v>
      </c>
      <c r="I1007" s="157" t="n">
        <v>4814928</v>
      </c>
      <c r="J1007" s="157" t="n">
        <v>43329</v>
      </c>
      <c r="K1007" s="157" t="n">
        <v>30165</v>
      </c>
      <c r="L1007" s="157" t="n">
        <v>11656.923</v>
      </c>
      <c r="M1007" s="23" t="n">
        <v>34558.725</v>
      </c>
      <c r="N1007" s="157" t="n">
        <v>51429.376</v>
      </c>
      <c r="O1007" s="23" t="n">
        <v>127.316</v>
      </c>
      <c r="P1007" s="17" t="n">
        <v>0.0016</v>
      </c>
      <c r="Q1007" s="17" t="n">
        <v>0.0001</v>
      </c>
      <c r="R1007" s="19" t="n">
        <v>8.1974</v>
      </c>
      <c r="S1007" s="23" t="n">
        <v>35.567</v>
      </c>
      <c r="T1007" s="23" t="n">
        <v>354.298</v>
      </c>
      <c r="U1007" s="16" t="n"/>
      <c r="V1007" s="158" t="n"/>
      <c r="W1007" s="16" t="n"/>
      <c r="X1007" s="18" t="n"/>
      <c r="Y1007" s="18" t="n"/>
      <c r="Z1007" s="18" t="n"/>
      <c r="AA1007" s="18" t="n"/>
      <c r="AB1007" s="18" t="n"/>
      <c r="AC1007" s="18" t="n"/>
      <c r="AD1007" s="18" t="n"/>
      <c r="AE1007" s="18" t="n"/>
      <c r="AF1007" s="18" t="n"/>
      <c r="AG1007" s="18" t="n"/>
      <c r="AH1007" s="18" t="n"/>
      <c r="AI1007" s="18" t="n"/>
    </row>
    <row r="1008">
      <c r="A1008" s="9" t="n">
        <v>202609</v>
      </c>
      <c r="B1008" s="10">
        <f>LEFT(creditcard[[#This Row],[YYYYMM]],4)</f>
        <v/>
      </c>
      <c r="C1008" s="10">
        <f>RIGHT(creditcard[[#This Row],[YYYYMM]],2)</f>
        <v/>
      </c>
      <c r="D1008" s="10">
        <f>IF(RIGHT(creditcard[[#This Row],[YYYYMM]],2)="--","--","Q"&amp;ROUNDUP(VALUE(RIGHT(creditcard[[#This Row],[YYYYMM]],2))/3,0))</f>
        <v/>
      </c>
      <c r="E1008" s="10" t="n">
        <v>6</v>
      </c>
      <c r="F1008" s="168" t="inlineStr">
        <is>
          <t>星展</t>
        </is>
      </c>
      <c r="G1008" s="152" t="inlineStr">
        <is>
          <t>06 星展</t>
        </is>
      </c>
      <c r="H1008" s="153" t="n">
        <v>2922477</v>
      </c>
      <c r="I1008" s="153" t="n">
        <v>2010447</v>
      </c>
      <c r="J1008" s="153" t="n">
        <v>9309</v>
      </c>
      <c r="K1008" s="153" t="n">
        <v>181677</v>
      </c>
      <c r="L1008" s="153" t="n">
        <v>9413.478999999999</v>
      </c>
      <c r="M1008" s="21" t="n">
        <v>16233.175</v>
      </c>
      <c r="N1008" s="153" t="n">
        <v>22135.322</v>
      </c>
      <c r="O1008" s="21" t="n">
        <v>113.024</v>
      </c>
      <c r="P1008" s="12" t="n">
        <v>0.004500000000000001</v>
      </c>
      <c r="Q1008" s="12" t="n">
        <v>0.0001</v>
      </c>
      <c r="R1008" s="20" t="n">
        <v>5.428500000000001</v>
      </c>
      <c r="S1008" s="21" t="n">
        <v>44.025</v>
      </c>
      <c r="T1008" s="21" t="n">
        <v>424.332</v>
      </c>
      <c r="U1008" s="11" t="n"/>
      <c r="V1008" s="154" t="n"/>
      <c r="W1008" s="11" t="n"/>
      <c r="X1008" s="13" t="n"/>
      <c r="Y1008" s="13" t="n"/>
      <c r="Z1008" s="13" t="n"/>
      <c r="AA1008" s="13" t="n"/>
      <c r="AB1008" s="13" t="n"/>
      <c r="AC1008" s="13" t="n"/>
      <c r="AD1008" s="13" t="n"/>
      <c r="AE1008" s="13" t="n"/>
      <c r="AF1008" s="13" t="n"/>
      <c r="AG1008" s="13" t="n"/>
      <c r="AH1008" s="13" t="n"/>
      <c r="AI1008" s="13" t="n"/>
    </row>
    <row r="1009">
      <c r="A1009" s="14" t="n">
        <v>202609</v>
      </c>
      <c r="B1009" s="15">
        <f>LEFT(creditcard[[#This Row],[YYYYMM]],4)</f>
        <v/>
      </c>
      <c r="C1009" s="15">
        <f>RIGHT(creditcard[[#This Row],[YYYYMM]],2)</f>
        <v/>
      </c>
      <c r="D1009" s="15">
        <f>IF(RIGHT(creditcard[[#This Row],[YYYYMM]],2)="--","--","Q"&amp;ROUNDUP(VALUE(RIGHT(creditcard[[#This Row],[YYYYMM]],2))/3,0))</f>
        <v/>
      </c>
      <c r="E1009" s="15" t="n">
        <v>7</v>
      </c>
      <c r="F1009" s="167" t="inlineStr">
        <is>
          <t>聯邦</t>
        </is>
      </c>
      <c r="G1009" s="156" t="inlineStr">
        <is>
          <t>07 聯邦</t>
        </is>
      </c>
      <c r="H1009" s="157" t="n">
        <v>2770856</v>
      </c>
      <c r="I1009" s="157" t="n">
        <v>1852005</v>
      </c>
      <c r="J1009" s="157" t="n">
        <v>22262</v>
      </c>
      <c r="K1009" s="157" t="n">
        <v>22547</v>
      </c>
      <c r="L1009" s="157" t="n">
        <v>6658.959</v>
      </c>
      <c r="M1009" s="23" t="n">
        <v>9003.366</v>
      </c>
      <c r="N1009" s="157" t="n">
        <v>14392.921</v>
      </c>
      <c r="O1009" s="23" t="n">
        <v>30.889</v>
      </c>
      <c r="P1009" s="17" t="n">
        <v>0.0016</v>
      </c>
      <c r="Q1009" s="17" t="n">
        <v>0</v>
      </c>
      <c r="R1009" s="19" t="n">
        <v>2.0218</v>
      </c>
      <c r="S1009" s="23" t="n">
        <v>24.808</v>
      </c>
      <c r="T1009" s="23" t="n">
        <v>213.581</v>
      </c>
      <c r="U1009" s="16" t="n"/>
      <c r="V1009" s="158" t="n"/>
      <c r="W1009" s="16" t="n"/>
      <c r="X1009" s="18" t="n"/>
      <c r="Y1009" s="18" t="n"/>
      <c r="Z1009" s="18" t="n"/>
      <c r="AA1009" s="18" t="n"/>
      <c r="AB1009" s="18" t="n"/>
      <c r="AC1009" s="18" t="n"/>
      <c r="AD1009" s="18" t="n"/>
      <c r="AE1009" s="18" t="n"/>
      <c r="AF1009" s="18" t="n"/>
      <c r="AG1009" s="18" t="n"/>
      <c r="AH1009" s="18" t="n"/>
      <c r="AI1009" s="18" t="n"/>
    </row>
    <row r="1010">
      <c r="A1010" s="9" t="n">
        <v>202609</v>
      </c>
      <c r="B1010" s="10">
        <f>LEFT(creditcard[[#This Row],[YYYYMM]],4)</f>
        <v/>
      </c>
      <c r="C1010" s="10">
        <f>RIGHT(creditcard[[#This Row],[YYYYMM]],2)</f>
        <v/>
      </c>
      <c r="D1010" s="10">
        <f>IF(RIGHT(creditcard[[#This Row],[YYYYMM]],2)="--","--","Q"&amp;ROUNDUP(VALUE(RIGHT(creditcard[[#This Row],[YYYYMM]],2))/3,0))</f>
        <v/>
      </c>
      <c r="E1010" s="10" t="n">
        <v>8</v>
      </c>
      <c r="F1010" s="168" t="inlineStr">
        <is>
          <t>永豐</t>
        </is>
      </c>
      <c r="G1010" s="152" t="inlineStr">
        <is>
          <t>08 永豐</t>
        </is>
      </c>
      <c r="H1010" s="153" t="n">
        <v>2579424</v>
      </c>
      <c r="I1010" s="153" t="n">
        <v>1514063</v>
      </c>
      <c r="J1010" s="153" t="n">
        <v>16153</v>
      </c>
      <c r="K1010" s="153" t="n">
        <v>9177</v>
      </c>
      <c r="L1010" s="153" t="n">
        <v>4048.133</v>
      </c>
      <c r="M1010" s="21" t="n">
        <v>6054.294</v>
      </c>
      <c r="N1010" s="153" t="n">
        <v>15194.108</v>
      </c>
      <c r="O1010" s="21" t="n">
        <v>58.766</v>
      </c>
      <c r="P1010" s="12" t="n">
        <v>0.0013</v>
      </c>
      <c r="Q1010" s="12" t="n">
        <v>0</v>
      </c>
      <c r="R1010" s="20" t="n">
        <v>6.157999999999999</v>
      </c>
      <c r="S1010" s="21" t="n">
        <v>17.098</v>
      </c>
      <c r="T1010" s="21" t="n">
        <v>153.267</v>
      </c>
      <c r="U1010" s="11" t="n"/>
      <c r="V1010" s="154" t="n"/>
      <c r="W1010" s="11" t="n"/>
      <c r="X1010" s="13" t="n"/>
      <c r="Y1010" s="13" t="n"/>
      <c r="Z1010" s="13" t="n"/>
      <c r="AA1010" s="13" t="n"/>
      <c r="AB1010" s="13" t="n"/>
      <c r="AC1010" s="13" t="n"/>
      <c r="AD1010" s="13" t="n"/>
      <c r="AE1010" s="13" t="n"/>
      <c r="AF1010" s="13" t="n"/>
      <c r="AG1010" s="13" t="n"/>
      <c r="AH1010" s="13" t="n"/>
      <c r="AI1010" s="13" t="n"/>
    </row>
    <row r="1011">
      <c r="A1011" s="14" t="n">
        <v>202609</v>
      </c>
      <c r="B1011" s="15">
        <f>LEFT(creditcard[[#This Row],[YYYYMM]],4)</f>
        <v/>
      </c>
      <c r="C1011" s="15">
        <f>RIGHT(creditcard[[#This Row],[YYYYMM]],2)</f>
        <v/>
      </c>
      <c r="D1011" s="15">
        <f>IF(RIGHT(creditcard[[#This Row],[YYYYMM]],2)="--","--","Q"&amp;ROUNDUP(VALUE(RIGHT(creditcard[[#This Row],[YYYYMM]],2))/3,0))</f>
        <v/>
      </c>
      <c r="E1011" s="15" t="n">
        <v>9</v>
      </c>
      <c r="F1011" s="167" t="inlineStr">
        <is>
          <t>第一</t>
        </is>
      </c>
      <c r="G1011" s="156" t="inlineStr">
        <is>
          <t>09 第一</t>
        </is>
      </c>
      <c r="H1011" s="157" t="n">
        <v>1573734</v>
      </c>
      <c r="I1011" s="157" t="n">
        <v>964805</v>
      </c>
      <c r="J1011" s="157" t="n">
        <v>11576</v>
      </c>
      <c r="K1011" s="157" t="n">
        <v>7315</v>
      </c>
      <c r="L1011" s="157" t="n">
        <v>1284.495</v>
      </c>
      <c r="M1011" s="23" t="n">
        <v>3654.894</v>
      </c>
      <c r="N1011" s="157" t="n">
        <v>7662.896</v>
      </c>
      <c r="O1011" s="23" t="n">
        <v>6.38</v>
      </c>
      <c r="P1011" s="17" t="n">
        <v>0.001</v>
      </c>
      <c r="Q1011" s="17" t="n">
        <v>0</v>
      </c>
      <c r="R1011" s="19" t="n">
        <v>12.0878</v>
      </c>
      <c r="S1011" s="23" t="n">
        <v>5.809</v>
      </c>
      <c r="T1011" s="23" t="n">
        <v>59.063</v>
      </c>
      <c r="U1011" s="16" t="n"/>
      <c r="V1011" s="158" t="n"/>
      <c r="W1011" s="16" t="n"/>
      <c r="X1011" s="18" t="n"/>
      <c r="Y1011" s="18" t="n"/>
      <c r="Z1011" s="18" t="n"/>
      <c r="AA1011" s="18" t="n"/>
      <c r="AB1011" s="18" t="n"/>
      <c r="AC1011" s="18" t="n"/>
      <c r="AD1011" s="18" t="n"/>
      <c r="AE1011" s="18" t="n"/>
      <c r="AF1011" s="18" t="n"/>
      <c r="AG1011" s="18" t="n"/>
      <c r="AH1011" s="18" t="n"/>
      <c r="AI1011" s="18" t="n"/>
    </row>
    <row r="1012">
      <c r="A1012" s="9" t="n">
        <v>202609</v>
      </c>
      <c r="B1012" s="10">
        <f>LEFT(creditcard[[#This Row],[YYYYMM]],4)</f>
        <v/>
      </c>
      <c r="C1012" s="10">
        <f>RIGHT(creditcard[[#This Row],[YYYYMM]],2)</f>
        <v/>
      </c>
      <c r="D1012" s="10">
        <f>IF(RIGHT(creditcard[[#This Row],[YYYYMM]],2)="--","--","Q"&amp;ROUNDUP(VALUE(RIGHT(creditcard[[#This Row],[YYYYMM]],2))/3,0))</f>
        <v/>
      </c>
      <c r="E1012" s="10" t="n">
        <v>10</v>
      </c>
      <c r="F1012" s="168" t="inlineStr">
        <is>
          <t>遠東</t>
        </is>
      </c>
      <c r="G1012" s="152" t="inlineStr">
        <is>
          <t>10 遠東</t>
        </is>
      </c>
      <c r="H1012" s="153" t="n">
        <v>1245644</v>
      </c>
      <c r="I1012" s="153" t="n">
        <v>860766</v>
      </c>
      <c r="J1012" s="153" t="n">
        <v>8096</v>
      </c>
      <c r="K1012" s="153" t="n">
        <v>40881</v>
      </c>
      <c r="L1012" s="153" t="n">
        <v>3136.284</v>
      </c>
      <c r="M1012" s="21" t="n">
        <v>3319.631</v>
      </c>
      <c r="N1012" s="153" t="n">
        <v>4014.27</v>
      </c>
      <c r="O1012" s="21" t="n">
        <v>70.702</v>
      </c>
      <c r="P1012" s="12" t="n">
        <v>0.0023</v>
      </c>
      <c r="Q1012" s="12" t="n">
        <v>0.0001</v>
      </c>
      <c r="R1012" s="20" t="n">
        <v>1.03</v>
      </c>
      <c r="S1012" s="21" t="n">
        <v>11.109</v>
      </c>
      <c r="T1012" s="21" t="n">
        <v>100.442</v>
      </c>
      <c r="U1012" s="11" t="n"/>
      <c r="V1012" s="154" t="n"/>
      <c r="W1012" s="11" t="n"/>
      <c r="X1012" s="13" t="n"/>
      <c r="Y1012" s="13" t="n"/>
      <c r="Z1012" s="13" t="n"/>
      <c r="AA1012" s="13" t="n"/>
      <c r="AB1012" s="13" t="n"/>
      <c r="AC1012" s="13" t="n"/>
      <c r="AD1012" s="13" t="n"/>
      <c r="AE1012" s="13" t="n"/>
      <c r="AF1012" s="13" t="n"/>
      <c r="AG1012" s="13" t="n"/>
      <c r="AH1012" s="13" t="n"/>
      <c r="AI1012" s="13" t="n"/>
    </row>
    <row r="1013">
      <c r="A1013" s="25" t="n">
        <v>202609</v>
      </c>
      <c r="B1013" s="26">
        <f>LEFT(creditcard[[#This Row],[YYYYMM]],4)</f>
        <v/>
      </c>
      <c r="C1013" s="26">
        <f>RIGHT(creditcard[[#This Row],[YYYYMM]],2)</f>
        <v/>
      </c>
      <c r="D1013" s="26">
        <f>IF(RIGHT(creditcard[[#This Row],[YYYYMM]],2)="--","--","Q"&amp;ROUNDUP(VALUE(RIGHT(creditcard[[#This Row],[YYYYMM]],2))/3,0))</f>
        <v/>
      </c>
      <c r="E1013" s="26" t="n">
        <v>11</v>
      </c>
      <c r="F1013" s="169" t="inlineStr">
        <is>
          <t>市場總計</t>
        </is>
      </c>
      <c r="G1013" s="163" t="inlineStr">
        <is>
          <t>11 市場總計</t>
        </is>
      </c>
      <c r="H1013" s="164" t="n"/>
      <c r="I1013" s="164" t="n"/>
      <c r="J1013" s="164" t="n"/>
      <c r="K1013" s="164" t="n"/>
      <c r="L1013" s="164" t="n"/>
      <c r="M1013" s="165" t="n"/>
      <c r="N1013" s="164" t="n"/>
      <c r="O1013" s="165" t="n"/>
      <c r="P1013" s="27" t="n"/>
      <c r="Q1013" s="27" t="n"/>
      <c r="R1013" s="28" t="n"/>
      <c r="S1013" s="165" t="n"/>
      <c r="T1013" s="165" t="n"/>
      <c r="U1013" s="29" t="n"/>
      <c r="V1013" s="166" t="n"/>
      <c r="W1013" s="29">
        <f>SUMIFS(H:H,A:A,creditcard[[#This Row],[YYYYMM]],G:G,creditcard[[#This Row],[Item]])</f>
        <v/>
      </c>
      <c r="X1013" s="4">
        <f>IFERROR(SUMIFS(H:H,A:A,creditcard[[#This Row],[YYYYMM]],E:E,"&lt;=5")/creditcard[[#This Row],[市場總計]],"")</f>
        <v/>
      </c>
      <c r="Y1013" s="4">
        <f>IFERROR(SUMIFS(H:H,A:A,creditcard[[#This Row],[YYYYMM]],E:E,"&lt;=10")/creditcard[[#This Row],[市場總計]],"")</f>
        <v/>
      </c>
      <c r="Z1013" s="4">
        <f>IFERROR(SUMIFS(I:I,A:A,creditcard[[#This Row],[YYYYMM]],E:E,"&lt;=5")/creditcard[[#This Row],[有效卡數]],"")</f>
        <v/>
      </c>
      <c r="AA1013" s="4">
        <f>IFERROR(SUMIFS(I:I,A:A,creditcard[[#This Row],[YYYYMM]],E:E,"&lt;=10")/creditcard[[#This Row],[有效卡數]],"")</f>
        <v/>
      </c>
      <c r="AB1013" s="4">
        <f>IFERROR(SUMIFS(J:J,A:A,creditcard[[#This Row],[YYYYMM]],E:E,"&lt;=5")/creditcard[[#This Row],[當月發卡數]],"")</f>
        <v/>
      </c>
      <c r="AC1013" s="4">
        <f>IFERROR(SUMIFS(J:J,A:A,creditcard[[#This Row],[YYYYMM]],E:E,"&lt;=10")/creditcard[[#This Row],[當月發卡數]],"")</f>
        <v/>
      </c>
      <c r="AD1013" s="4">
        <f>IFERROR(SUMIFS(K:K,A:A,creditcard[[#This Row],[YYYYMM]],E:E,"&lt;=5")/creditcard[[#This Row],[當月停卡數]],"")</f>
        <v/>
      </c>
      <c r="AE1013" s="4">
        <f>IFERROR(SUMIFS(K:K,A:A,creditcard[[#This Row],[YYYYMM]],E:E,"&lt;=10")/creditcard[[#This Row],[當月停卡數]],"")</f>
        <v/>
      </c>
      <c r="AF1013" s="4">
        <f>IFERROR(SUMIFS(L:L,A:A,creditcard[[#This Row],[YYYYMM]],E:E,"&lt;=5")/creditcard[[#This Row],[循環信用餘額]],"")</f>
        <v/>
      </c>
      <c r="AG1013" s="4">
        <f>IFERROR(SUMIFS(L:L,A:A,creditcard[[#This Row],[YYYYMM]],E:E,"&lt;=10")/creditcard[[#This Row],[循環信用餘額]],"")</f>
        <v/>
      </c>
      <c r="AH1013" s="4">
        <f>IFERROR(SUMIFS(N:N,A:A,creditcard[[#This Row],[YYYYMM]],E:E,"&lt;=5")/creditcard[[#This Row],[當月簽帳金額]],"")</f>
        <v/>
      </c>
      <c r="AI1013" s="4">
        <f>IFERROR(SUMIFS(N:N,A:A,creditcard[[#This Row],[YYYYMM]],E:E,"&lt;=10")/creditcard[[#This Row],[當月簽帳金額]],"")</f>
        <v/>
      </c>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H133"/>
  <sheetViews>
    <sheetView tabSelected="1" topLeftCell="BV58" workbookViewId="0">
      <selection activeCell="CB68" sqref="CB68"/>
    </sheetView>
  </sheetViews>
  <sheetFormatPr baseColWidth="8" defaultColWidth="8.90625" defaultRowHeight="15.5"/>
  <cols>
    <col width="21.6328125" customWidth="1" style="72" min="1" max="1"/>
    <col hidden="1" outlineLevel="2" width="16.453125" customWidth="1" style="72" min="2" max="22"/>
    <col hidden="1" outlineLevel="2" width="18.08984375" customWidth="1" style="72" min="23" max="49"/>
    <col hidden="1" outlineLevel="2" width="15.90625" customWidth="1" style="72" min="50" max="73"/>
    <col outlineLevel="1" collapsed="1" width="15.90625" customWidth="1" style="72" min="74" max="74"/>
    <col outlineLevel="1" width="15.90625" customWidth="1" style="72" min="75" max="85"/>
    <col outlineLevel="1" width="4.26953125" customWidth="1" style="72" min="86" max="86"/>
    <col width="8.90625" customWidth="1" style="72" min="87" max="94"/>
    <col width="12" customWidth="1" style="72" min="95" max="95"/>
    <col width="8.90625" customWidth="1" style="72" min="96" max="96"/>
    <col width="8.90625" customWidth="1" style="72" min="97" max="16384"/>
  </cols>
  <sheetData>
    <row r="1">
      <c r="A1" s="141" t="inlineStr">
        <is>
          <t>持卡人數(萬人)</t>
        </is>
      </c>
      <c r="B1" s="141" t="n">
        <v>202001</v>
      </c>
      <c r="C1" s="141" t="n">
        <v>202002</v>
      </c>
      <c r="D1" s="141" t="n">
        <v>202003</v>
      </c>
      <c r="E1" s="141" t="n">
        <v>202004</v>
      </c>
      <c r="F1" s="141" t="n">
        <v>202005</v>
      </c>
      <c r="G1" s="141" t="n">
        <v>202006</v>
      </c>
      <c r="H1" s="141" t="n">
        <v>202007</v>
      </c>
      <c r="I1" s="141" t="n">
        <v>200008</v>
      </c>
      <c r="J1" s="141" t="n">
        <v>202009</v>
      </c>
      <c r="K1" s="141" t="n">
        <v>202010</v>
      </c>
      <c r="L1" s="141" t="n">
        <v>202011</v>
      </c>
      <c r="M1" s="141" t="n">
        <v>202012</v>
      </c>
      <c r="N1" s="141" t="n">
        <v>202101</v>
      </c>
      <c r="O1" s="141" t="n">
        <v>202102</v>
      </c>
      <c r="P1" s="141" t="n">
        <v>202103</v>
      </c>
      <c r="Q1" s="141" t="n">
        <v>202104</v>
      </c>
      <c r="R1" s="141" t="n">
        <v>202105</v>
      </c>
      <c r="S1" s="141" t="n">
        <v>202106</v>
      </c>
      <c r="T1" s="141" t="n">
        <v>202107</v>
      </c>
      <c r="U1" s="141" t="n">
        <v>202108</v>
      </c>
      <c r="V1" s="141" t="n">
        <v>202109</v>
      </c>
      <c r="W1" s="141" t="n">
        <v>202110</v>
      </c>
      <c r="X1" s="141" t="n">
        <v>202111</v>
      </c>
      <c r="Y1" s="141" t="n">
        <v>202112</v>
      </c>
      <c r="Z1" s="141" t="n">
        <v>202201</v>
      </c>
      <c r="AA1" s="141" t="n">
        <v>202202</v>
      </c>
      <c r="AB1" s="141" t="n">
        <v>202203</v>
      </c>
      <c r="AC1" s="141" t="n">
        <v>202204</v>
      </c>
      <c r="AD1" s="141" t="n">
        <v>202205</v>
      </c>
      <c r="AE1" s="141" t="n">
        <v>202206</v>
      </c>
      <c r="AF1" s="141" t="n">
        <v>202207</v>
      </c>
      <c r="AG1" s="141" t="n">
        <v>202208</v>
      </c>
      <c r="AH1" s="141" t="n">
        <v>202209</v>
      </c>
      <c r="AI1" s="141" t="n">
        <v>202210</v>
      </c>
      <c r="AJ1" s="141" t="n">
        <v>202211</v>
      </c>
      <c r="AK1" s="141" t="n">
        <v>202212</v>
      </c>
      <c r="AL1" s="141" t="n">
        <v>202301</v>
      </c>
      <c r="AM1" s="141" t="n">
        <v>202302</v>
      </c>
      <c r="AN1" s="141" t="n">
        <v>202303</v>
      </c>
      <c r="AO1" s="141" t="n">
        <v>202304</v>
      </c>
      <c r="AP1" s="141" t="n">
        <v>202305</v>
      </c>
      <c r="AQ1" s="141" t="n">
        <v>202306</v>
      </c>
      <c r="AR1" s="141" t="n">
        <v>202307</v>
      </c>
      <c r="AS1" s="141" t="n">
        <v>202308</v>
      </c>
      <c r="AT1" s="141" t="n">
        <v>202309</v>
      </c>
      <c r="AU1" s="141" t="n">
        <v>202310</v>
      </c>
      <c r="AV1" s="141" t="n">
        <v>202311</v>
      </c>
      <c r="AW1" s="141" t="n">
        <v>202312</v>
      </c>
      <c r="AX1" s="141" t="n">
        <v>202401</v>
      </c>
      <c r="AY1" s="141" t="n">
        <v>202402</v>
      </c>
      <c r="AZ1" s="141" t="n">
        <v>202403</v>
      </c>
      <c r="BA1" s="141" t="n">
        <v>202404</v>
      </c>
      <c r="BB1" s="141" t="n">
        <v>202405</v>
      </c>
      <c r="BC1" s="141" t="n">
        <v>202406</v>
      </c>
      <c r="BD1" s="141" t="n">
        <v>202407</v>
      </c>
      <c r="BE1" s="141" t="n">
        <v>202408</v>
      </c>
      <c r="BF1" s="141" t="n">
        <v>202409</v>
      </c>
      <c r="BG1" s="141" t="n">
        <v>202410</v>
      </c>
      <c r="BH1" s="141" t="n">
        <v>202411</v>
      </c>
      <c r="BI1" s="141" t="n">
        <v>202412</v>
      </c>
      <c r="BJ1" s="141" t="n">
        <v>202501</v>
      </c>
      <c r="BK1" s="141" t="n">
        <v>202502</v>
      </c>
      <c r="BL1" s="141" t="n">
        <v>202503</v>
      </c>
      <c r="BM1" s="141" t="n">
        <v>202504</v>
      </c>
      <c r="BN1" s="141" t="n">
        <v>202505</v>
      </c>
      <c r="BO1" s="141" t="n">
        <v>202506</v>
      </c>
      <c r="BP1" s="141" t="n">
        <v>202507</v>
      </c>
      <c r="BQ1" s="141" t="n">
        <v>202508</v>
      </c>
      <c r="BR1" s="141" t="n">
        <v>202509</v>
      </c>
      <c r="BS1" s="141" t="n">
        <v>202510</v>
      </c>
      <c r="BT1" s="141" t="n">
        <v>202511</v>
      </c>
      <c r="BU1" s="141" t="n">
        <v>202512</v>
      </c>
      <c r="BV1" s="141" t="n">
        <v>202601</v>
      </c>
      <c r="BW1" s="141" t="n">
        <v>202602</v>
      </c>
      <c r="BX1" s="141" t="n">
        <v>202603</v>
      </c>
      <c r="BY1" s="141" t="n">
        <v>202604</v>
      </c>
      <c r="BZ1" s="141" t="n">
        <v>202605</v>
      </c>
      <c r="CA1" s="141" t="n">
        <v>202606</v>
      </c>
      <c r="CB1" s="141" t="n">
        <v>202607</v>
      </c>
      <c r="CC1" s="141" t="n">
        <v>202608</v>
      </c>
      <c r="CD1" s="141" t="n">
        <v>202609</v>
      </c>
      <c r="CE1" s="141" t="n">
        <v>202610</v>
      </c>
      <c r="CF1" s="141" t="n">
        <v>202611</v>
      </c>
      <c r="CG1" s="141" t="n">
        <v>202612</v>
      </c>
      <c r="CH1" s="30" t="n"/>
    </row>
    <row r="2">
      <c r="A2" s="170" t="inlineStr">
        <is>
          <t>市場總計</t>
        </is>
      </c>
      <c r="B2" s="171">
        <f>IFERROR(B15/B18/10000,"")</f>
        <v/>
      </c>
      <c r="C2" s="171">
        <f>IFERROR(C15/C18/10000,"")</f>
        <v/>
      </c>
      <c r="D2" s="171">
        <f>IFERROR(D15/D18/10000,"")</f>
        <v/>
      </c>
      <c r="E2" s="171">
        <f>IFERROR(E15/E18/10000,"")</f>
        <v/>
      </c>
      <c r="F2" s="171">
        <f>IFERROR(F15/F18/10000,"")</f>
        <v/>
      </c>
      <c r="G2" s="171">
        <f>IFERROR(G15/G18/10000,"")</f>
        <v/>
      </c>
      <c r="H2" s="171">
        <f>IFERROR(H15/H18/10000,"")</f>
        <v/>
      </c>
      <c r="I2" s="171">
        <f>IFERROR(I15/I18/10000,"")</f>
        <v/>
      </c>
      <c r="J2" s="171">
        <f>IFERROR(J15/J18/10000,"")</f>
        <v/>
      </c>
      <c r="K2" s="171">
        <f>IFERROR(K15/K18/10000,"")</f>
        <v/>
      </c>
      <c r="L2" s="171">
        <f>IFERROR(L15/L18/10000,"")</f>
        <v/>
      </c>
      <c r="M2" s="171">
        <f>IFERROR(M15/M18/10000,"")</f>
        <v/>
      </c>
      <c r="N2" s="171">
        <f>IFERROR(N15/N18/10000,"")</f>
        <v/>
      </c>
      <c r="O2" s="171">
        <f>IFERROR(O15/O18/10000,"")</f>
        <v/>
      </c>
      <c r="P2" s="171">
        <f>IFERROR(P15/P18/10000,"")</f>
        <v/>
      </c>
      <c r="Q2" s="171">
        <f>IFERROR(Q15/Q18/10000,"")</f>
        <v/>
      </c>
      <c r="R2" s="171">
        <f>IFERROR(R15/R18/10000,"")</f>
        <v/>
      </c>
      <c r="S2" s="171">
        <f>IFERROR(S15/S18/10000,"")</f>
        <v/>
      </c>
      <c r="T2" s="171">
        <f>IFERROR(T15/T18/10000,"")</f>
        <v/>
      </c>
      <c r="U2" s="171">
        <f>IFERROR(U15/U18/10000,"")</f>
        <v/>
      </c>
      <c r="V2" s="171">
        <f>IFERROR(V15/V18/10000,"")</f>
        <v/>
      </c>
      <c r="W2" s="171">
        <f>IFERROR(W15/W18/10000,"")</f>
        <v/>
      </c>
      <c r="X2" s="171">
        <f>IFERROR(X15/X18/10000,"")</f>
        <v/>
      </c>
      <c r="Y2" s="171">
        <f>IFERROR(Y15/Y18/10000,"")</f>
        <v/>
      </c>
      <c r="Z2" s="171">
        <f>IFERROR(Z15/Z18/10000,"")</f>
        <v/>
      </c>
      <c r="AA2" s="171">
        <f>IFERROR(AA15/AA18/10000,"")</f>
        <v/>
      </c>
      <c r="AB2" s="171">
        <f>IFERROR(AB15/AB18/10000,"")</f>
        <v/>
      </c>
      <c r="AC2" s="171">
        <f>IFERROR(AC15/AC18/10000,"")</f>
        <v/>
      </c>
      <c r="AD2" s="171">
        <f>IFERROR(AD15/AD18/10000,"")</f>
        <v/>
      </c>
      <c r="AE2" s="171">
        <f>IFERROR(AE15/AE18/10000,"")</f>
        <v/>
      </c>
      <c r="AF2" s="171">
        <f>IFERROR(AF15/AF18/10000,"")</f>
        <v/>
      </c>
      <c r="AG2" s="171">
        <f>IFERROR(AG15/AG18/10000,"")</f>
        <v/>
      </c>
      <c r="AH2" s="171">
        <f>IFERROR(AH15/AH18/10000,"")</f>
        <v/>
      </c>
      <c r="AI2" s="171">
        <f>IFERROR(AI15/AI18/10000,"")</f>
        <v/>
      </c>
      <c r="AJ2" s="171">
        <f>IFERROR(AJ15/AJ18/10000,"")</f>
        <v/>
      </c>
      <c r="AK2" s="171">
        <f>IFERROR(AK15/AK18/10000,"")</f>
        <v/>
      </c>
      <c r="AL2" s="171">
        <f>IFERROR(AL15/AL18/10000,"")</f>
        <v/>
      </c>
      <c r="AM2" s="171">
        <f>IFERROR(AM15/AM18/10000,"")</f>
        <v/>
      </c>
      <c r="AN2" s="171">
        <f>IFERROR(AN15/AN18/10000,"")</f>
        <v/>
      </c>
      <c r="AO2" s="171">
        <f>IFERROR(AO15/AO18/10000,"")</f>
        <v/>
      </c>
      <c r="AP2" s="171">
        <f>IFERROR(AP15/AP18/10000,"")</f>
        <v/>
      </c>
      <c r="AQ2" s="171">
        <f>IFERROR(AQ15/AQ18/10000,"")</f>
        <v/>
      </c>
      <c r="AR2" s="171">
        <f>IFERROR(AR15/AR18/10000,"")</f>
        <v/>
      </c>
      <c r="AS2" s="171">
        <f>IFERROR(AS15/AS18/10000,"")</f>
        <v/>
      </c>
      <c r="AT2" s="171">
        <f>IFERROR(AT15/AT18/10000,"")</f>
        <v/>
      </c>
      <c r="AU2" s="171">
        <f>IFERROR(AU15/AU18/10000,"")</f>
        <v/>
      </c>
      <c r="AV2" s="171">
        <f>IFERROR(AV15/AV18/10000,"")</f>
        <v/>
      </c>
      <c r="AW2" s="171">
        <f>IFERROR(AW15/AW18/10000,"")</f>
        <v/>
      </c>
      <c r="AX2" s="171">
        <f>IFERROR(AX15/AX18/10000,"")</f>
        <v/>
      </c>
      <c r="AY2" s="171">
        <f>IFERROR(AY15/AY18/10000,"")</f>
        <v/>
      </c>
      <c r="AZ2" s="171">
        <f>IFERROR(AZ15/AZ18/10000,"")</f>
        <v/>
      </c>
      <c r="BA2" s="171">
        <f>IFERROR(BA15/BA18/10000,"")</f>
        <v/>
      </c>
      <c r="BB2" s="171">
        <f>IFERROR(BB15/BB18/10000,"")</f>
        <v/>
      </c>
      <c r="BC2" s="171">
        <f>IFERROR(BC15/BC18/10000,"")</f>
        <v/>
      </c>
      <c r="BD2" s="171">
        <f>IFERROR(BD15/BD18/10000,"")</f>
        <v/>
      </c>
      <c r="BE2" s="171">
        <f>IFERROR(BE15/BE18/10000,"")</f>
        <v/>
      </c>
      <c r="BF2" s="171">
        <f>IFERROR(BF15/BF18/10000,"")</f>
        <v/>
      </c>
      <c r="BG2" s="171">
        <f>IFERROR(BG15/BG18/10000,"")</f>
        <v/>
      </c>
      <c r="BH2" s="171">
        <f>IFERROR(BH15/BH18/10000,"")</f>
        <v/>
      </c>
      <c r="BI2" s="171">
        <f>IFERROR(BI15/BI18/10000,"")</f>
        <v/>
      </c>
      <c r="BJ2" s="171">
        <f>IFERROR(BJ15/BJ18/10000,"")</f>
        <v/>
      </c>
      <c r="BK2" s="171">
        <f>IFERROR(BK15/BK18/10000,"")</f>
        <v/>
      </c>
      <c r="BL2" s="171">
        <f>IFERROR(BL15/BL18/10000,"")</f>
        <v/>
      </c>
      <c r="BM2" s="171">
        <f>IFERROR(BM15/BM18/10000,"")</f>
        <v/>
      </c>
      <c r="BN2" s="171">
        <f>IFERROR(BN15/BN18/10000,"")</f>
        <v/>
      </c>
      <c r="BO2" s="171">
        <f>IFERROR(BO15/BO18/10000,"")</f>
        <v/>
      </c>
      <c r="BP2" s="171">
        <f>IFERROR(BP15/BP18/10000,"")</f>
        <v/>
      </c>
      <c r="BQ2" s="171">
        <f>IFERROR(BQ15/BQ18/10000,"")</f>
        <v/>
      </c>
      <c r="BR2" s="171">
        <f>IFERROR(BR15/BR18/10000,"")</f>
        <v/>
      </c>
      <c r="BS2" s="171">
        <f>IFERROR(BS15/BS18/10000,"")</f>
        <v/>
      </c>
      <c r="BT2" s="171">
        <f>IFERROR(BT15/BT18/10000,"")</f>
        <v/>
      </c>
      <c r="BU2" s="171">
        <f>IFERROR(BU15/BU18/10000,"")</f>
        <v/>
      </c>
      <c r="BV2" s="171">
        <f>IFERROR(BV15/BV18/10000,"")</f>
        <v/>
      </c>
      <c r="BW2" s="171">
        <f>IFERROR(BW15/BW18/10000,"")</f>
        <v/>
      </c>
      <c r="BX2" s="171">
        <f>IFERROR(BX15/BX18/10000,"")</f>
        <v/>
      </c>
      <c r="BY2" s="74">
        <f>IFERROR(BY15/BY18/10000,"")</f>
        <v/>
      </c>
      <c r="BZ2" s="74">
        <f>IFERROR(BZ15/BZ18/10000,"")</f>
        <v/>
      </c>
      <c r="CA2" s="74">
        <f>IFERROR(CA15/CA18/10000,"")</f>
        <v/>
      </c>
      <c r="CB2" s="74">
        <f>IFERROR(CB15/CB18/10000,"")</f>
        <v/>
      </c>
      <c r="CC2" s="74">
        <f>IFERROR(CC15/CC18/10000,"")</f>
        <v/>
      </c>
      <c r="CD2" s="74">
        <f>IFERROR(CD15/CD18/10000,"")</f>
        <v/>
      </c>
      <c r="CE2" s="74">
        <f>IFERROR(CE15/CE18/10000,"")</f>
        <v/>
      </c>
      <c r="CF2" s="74">
        <f>IFERROR(CF15/CF18/10000,"")</f>
        <v/>
      </c>
      <c r="CG2" s="74">
        <f>IFERROR(CG15/CG18/10000,"")</f>
        <v/>
      </c>
      <c r="CH2" s="171" t="n"/>
    </row>
    <row r="4">
      <c r="A4" s="69" t="inlineStr">
        <is>
          <t>流通卡(張)</t>
        </is>
      </c>
      <c r="B4" s="141">
        <f>B$1</f>
        <v/>
      </c>
      <c r="C4" s="141">
        <f>C$1</f>
        <v/>
      </c>
      <c r="D4" s="141">
        <f>D$1</f>
        <v/>
      </c>
      <c r="E4" s="141">
        <f>E$1</f>
        <v/>
      </c>
      <c r="F4" s="141">
        <f>F$1</f>
        <v/>
      </c>
      <c r="G4" s="141">
        <f>G$1</f>
        <v/>
      </c>
      <c r="H4" s="141">
        <f>H$1</f>
        <v/>
      </c>
      <c r="I4" s="141">
        <f>I$1</f>
        <v/>
      </c>
      <c r="J4" s="141">
        <f>J$1</f>
        <v/>
      </c>
      <c r="K4" s="141">
        <f>K$1</f>
        <v/>
      </c>
      <c r="L4" s="141">
        <f>L$1</f>
        <v/>
      </c>
      <c r="M4" s="141">
        <f>M$1</f>
        <v/>
      </c>
      <c r="N4" s="141">
        <f>N$1</f>
        <v/>
      </c>
      <c r="O4" s="141">
        <f>O$1</f>
        <v/>
      </c>
      <c r="P4" s="141">
        <f>P$1</f>
        <v/>
      </c>
      <c r="Q4" s="141">
        <f>Q$1</f>
        <v/>
      </c>
      <c r="R4" s="141">
        <f>R$1</f>
        <v/>
      </c>
      <c r="S4" s="141">
        <f>S$1</f>
        <v/>
      </c>
      <c r="T4" s="141">
        <f>T$1</f>
        <v/>
      </c>
      <c r="U4" s="141">
        <f>U$1</f>
        <v/>
      </c>
      <c r="V4" s="141">
        <f>V$1</f>
        <v/>
      </c>
      <c r="W4" s="141">
        <f>W$1</f>
        <v/>
      </c>
      <c r="X4" s="141">
        <f>X$1</f>
        <v/>
      </c>
      <c r="Y4" s="141">
        <f>Y$1</f>
        <v/>
      </c>
      <c r="Z4" s="141">
        <f>Z$1</f>
        <v/>
      </c>
      <c r="AA4" s="141">
        <f>AA$1</f>
        <v/>
      </c>
      <c r="AB4" s="141">
        <f>AB$1</f>
        <v/>
      </c>
      <c r="AC4" s="141">
        <f>AC$1</f>
        <v/>
      </c>
      <c r="AD4" s="141">
        <f>AD$1</f>
        <v/>
      </c>
      <c r="AE4" s="141">
        <f>AE$1</f>
        <v/>
      </c>
      <c r="AF4" s="141">
        <f>AF$1</f>
        <v/>
      </c>
      <c r="AG4" s="141">
        <f>AG$1</f>
        <v/>
      </c>
      <c r="AH4" s="141">
        <f>AH$1</f>
        <v/>
      </c>
      <c r="AI4" s="141">
        <f>AI$1</f>
        <v/>
      </c>
      <c r="AJ4" s="141">
        <f>AJ$1</f>
        <v/>
      </c>
      <c r="AK4" s="141">
        <f>AK$1</f>
        <v/>
      </c>
      <c r="AL4" s="141">
        <f>AL$1</f>
        <v/>
      </c>
      <c r="AM4" s="141">
        <f>AM$1</f>
        <v/>
      </c>
      <c r="AN4" s="141">
        <f>AN$1</f>
        <v/>
      </c>
      <c r="AO4" s="141">
        <f>AO$1</f>
        <v/>
      </c>
      <c r="AP4" s="141">
        <f>AP$1</f>
        <v/>
      </c>
      <c r="AQ4" s="141">
        <f>AQ$1</f>
        <v/>
      </c>
      <c r="AR4" s="141">
        <f>AR$1</f>
        <v/>
      </c>
      <c r="AS4" s="141">
        <f>AS$1</f>
        <v/>
      </c>
      <c r="AT4" s="141">
        <f>AT$1</f>
        <v/>
      </c>
      <c r="AU4" s="141">
        <f>AU$1</f>
        <v/>
      </c>
      <c r="AV4" s="141">
        <f>AV$1</f>
        <v/>
      </c>
      <c r="AW4" s="141">
        <f>AW$1</f>
        <v/>
      </c>
      <c r="AX4" s="141">
        <f>AX$1</f>
        <v/>
      </c>
      <c r="AY4" s="141">
        <f>AY$1</f>
        <v/>
      </c>
      <c r="AZ4" s="141">
        <f>AZ$1</f>
        <v/>
      </c>
      <c r="BA4" s="141">
        <f>BA$1</f>
        <v/>
      </c>
      <c r="BB4" s="141">
        <f>BB$1</f>
        <v/>
      </c>
      <c r="BC4" s="141">
        <f>BC$1</f>
        <v/>
      </c>
      <c r="BD4" s="141">
        <f>BD$1</f>
        <v/>
      </c>
      <c r="BE4" s="141">
        <f>BE$1</f>
        <v/>
      </c>
      <c r="BF4" s="141">
        <f>BF$1</f>
        <v/>
      </c>
      <c r="BG4" s="141">
        <f>BG$1</f>
        <v/>
      </c>
      <c r="BH4" s="141">
        <f>BH$1</f>
        <v/>
      </c>
      <c r="BI4" s="141">
        <f>BI$1</f>
        <v/>
      </c>
      <c r="BJ4" s="141">
        <f>BJ$1</f>
        <v/>
      </c>
      <c r="BK4" s="141">
        <f>BK$1</f>
        <v/>
      </c>
      <c r="BL4" s="141">
        <f>BL$1</f>
        <v/>
      </c>
      <c r="BM4" s="141">
        <f>BM$1</f>
        <v/>
      </c>
      <c r="BN4" s="141">
        <f>BN$1</f>
        <v/>
      </c>
      <c r="BO4" s="141">
        <f>BO$1</f>
        <v/>
      </c>
      <c r="BP4" s="141">
        <f>BP$1</f>
        <v/>
      </c>
      <c r="BQ4" s="141">
        <f>BQ$1</f>
        <v/>
      </c>
      <c r="BR4" s="141">
        <f>BR$1</f>
        <v/>
      </c>
      <c r="BS4" s="141">
        <f>BS$1</f>
        <v/>
      </c>
      <c r="BT4" s="141">
        <f>BT$1</f>
        <v/>
      </c>
      <c r="BU4" s="141">
        <f>BU$1</f>
        <v/>
      </c>
      <c r="BV4" s="141">
        <f>BV$1</f>
        <v/>
      </c>
      <c r="BW4" s="141">
        <f>BW$1</f>
        <v/>
      </c>
      <c r="BX4" s="141">
        <f>BX$1</f>
        <v/>
      </c>
      <c r="BY4" s="141">
        <f>BY$1</f>
        <v/>
      </c>
      <c r="BZ4" s="141">
        <f>BZ$1</f>
        <v/>
      </c>
      <c r="CA4" s="141">
        <f>CA$1</f>
        <v/>
      </c>
      <c r="CB4" s="141">
        <f>CB$1</f>
        <v/>
      </c>
      <c r="CC4" s="141">
        <f>CC$1</f>
        <v/>
      </c>
      <c r="CD4" s="141">
        <f>CD$1</f>
        <v/>
      </c>
      <c r="CE4" s="141">
        <f>CE$1</f>
        <v/>
      </c>
      <c r="CF4" s="141">
        <f>CF$1</f>
        <v/>
      </c>
      <c r="CG4" s="141">
        <f>CG$1</f>
        <v/>
      </c>
      <c r="CH4" s="30" t="n"/>
    </row>
    <row r="5">
      <c r="A5" s="172" t="inlineStr">
        <is>
          <t>中信</t>
        </is>
      </c>
      <c r="B5" s="172" t="n">
        <v>6906078</v>
      </c>
      <c r="C5" s="172" t="n">
        <v>6921395</v>
      </c>
      <c r="D5" s="172" t="n">
        <v>6945990</v>
      </c>
      <c r="E5" s="172" t="n">
        <v>6972922</v>
      </c>
      <c r="F5" s="172" t="n">
        <v>7004324</v>
      </c>
      <c r="G5" s="172" t="n">
        <v>7035815</v>
      </c>
      <c r="H5" s="172" t="n">
        <v>7084698</v>
      </c>
      <c r="I5" s="172" t="n">
        <v>7128493</v>
      </c>
      <c r="J5" s="172" t="n">
        <v>7165845</v>
      </c>
      <c r="K5" s="172" t="n">
        <v>7195752</v>
      </c>
      <c r="L5" s="172" t="n">
        <v>7229899</v>
      </c>
      <c r="M5" s="172" t="n">
        <v>7281706</v>
      </c>
      <c r="N5" s="172" t="n">
        <v>7340651</v>
      </c>
      <c r="O5" s="172" t="n">
        <v>7387525</v>
      </c>
      <c r="P5" s="172" t="n">
        <v>7443985</v>
      </c>
      <c r="Q5" s="172" t="n">
        <v>7496719</v>
      </c>
      <c r="R5" s="172" t="n">
        <v>7535732</v>
      </c>
      <c r="S5" s="172" t="n">
        <v>7547978</v>
      </c>
      <c r="T5" s="172" t="n">
        <v>7580563</v>
      </c>
      <c r="U5" s="172" t="n">
        <v>7623402</v>
      </c>
      <c r="V5" s="172" t="n">
        <v>7670253</v>
      </c>
      <c r="W5" s="172" t="n">
        <v>7727505</v>
      </c>
      <c r="X5" s="172" t="n">
        <v>7775188</v>
      </c>
      <c r="Y5" s="172" t="n">
        <v>7837569</v>
      </c>
      <c r="Z5" s="172" t="n">
        <v>7892089</v>
      </c>
      <c r="AA5" s="172" t="n">
        <v>7924984</v>
      </c>
      <c r="AB5" s="172" t="n">
        <v>7970761</v>
      </c>
      <c r="AC5" s="172" t="n">
        <v>8032424</v>
      </c>
      <c r="AD5" s="172" t="n">
        <v>8070153</v>
      </c>
      <c r="AE5" s="172" t="n">
        <v>8125767</v>
      </c>
      <c r="AF5" s="172" t="n">
        <v>8210016</v>
      </c>
      <c r="AG5" s="172" t="n">
        <v>8267451</v>
      </c>
      <c r="AH5" s="172" t="n">
        <v>8325624</v>
      </c>
      <c r="AI5" s="172" t="n">
        <v>8380110</v>
      </c>
      <c r="AJ5" s="172" t="n">
        <v>8435403</v>
      </c>
      <c r="AK5" s="172" t="n">
        <v>8621651</v>
      </c>
      <c r="AL5" s="172" t="n">
        <v>8512764</v>
      </c>
      <c r="AM5" s="172" t="n">
        <v>8576911</v>
      </c>
      <c r="AN5" s="172" t="n">
        <v>8623199</v>
      </c>
      <c r="AO5" s="172" t="n">
        <v>8681234</v>
      </c>
      <c r="AP5" s="172" t="n">
        <v>8733173</v>
      </c>
      <c r="AQ5" s="172" t="n">
        <v>8794919</v>
      </c>
      <c r="AR5" s="172" t="n">
        <v>8857022</v>
      </c>
      <c r="AS5" s="172" t="n">
        <v>8913314</v>
      </c>
      <c r="AT5" s="172" t="n">
        <v>8974881</v>
      </c>
      <c r="AU5" s="172" t="n">
        <v>9006349</v>
      </c>
      <c r="AV5" s="172" t="n">
        <v>9043746</v>
      </c>
      <c r="AW5" s="172" t="n">
        <v>9104306</v>
      </c>
      <c r="AX5" s="172" t="n">
        <v>9104306</v>
      </c>
      <c r="AY5" s="172" t="n">
        <v>9163099</v>
      </c>
      <c r="AZ5" s="172" t="n">
        <v>9206691</v>
      </c>
      <c r="BA5" s="172" t="n">
        <v>9238786</v>
      </c>
      <c r="BB5" s="172" t="n">
        <v>9276341</v>
      </c>
      <c r="BC5" s="172" t="n">
        <v>9312533</v>
      </c>
      <c r="BD5" s="173" t="n">
        <v>9320897</v>
      </c>
      <c r="BE5" s="172" t="n">
        <v>9361130</v>
      </c>
      <c r="BF5" s="173" t="n">
        <v>9286107</v>
      </c>
      <c r="BG5" s="172" t="n">
        <v>9252139</v>
      </c>
      <c r="BH5" s="172" t="n">
        <v>9222934</v>
      </c>
      <c r="BI5" s="172" t="n">
        <v>9179910</v>
      </c>
      <c r="BJ5" s="172" t="n">
        <v>9164277</v>
      </c>
      <c r="BK5" s="172" t="n">
        <v>9139260</v>
      </c>
      <c r="BL5" s="172" t="n">
        <v>9117163</v>
      </c>
      <c r="BM5" s="172" t="n">
        <v>9102686</v>
      </c>
      <c r="BN5" s="172" t="n">
        <v>9089172</v>
      </c>
      <c r="BO5" s="172" t="n">
        <v>9032991</v>
      </c>
      <c r="BP5" s="172" t="n">
        <v>8989403</v>
      </c>
      <c r="BQ5" s="172" t="n">
        <v>9106827</v>
      </c>
      <c r="BR5" s="172" t="n">
        <v>9305508</v>
      </c>
      <c r="BS5" s="172" t="n">
        <v>9362580</v>
      </c>
      <c r="BT5" s="172" t="n">
        <v>9403362</v>
      </c>
      <c r="BU5" s="172" t="n">
        <v>9458117</v>
      </c>
      <c r="BV5" s="172">
        <f t="array" ref="BV5">_xlfn.XLOOKUP(1,(creditcard[YYYYMM]=BV4)*(creditcard[Bank]=A5),creditcard[流通卡數])</f>
        <v/>
      </c>
      <c r="BW5" s="172">
        <f t="array" ref="BW5">_xlfn.XLOOKUP(1,(creditcard[YYYYMM]=BW$4)*(creditcard[Bank]=$A5),creditcard[流通卡數])</f>
        <v/>
      </c>
      <c r="BX5" s="172">
        <f t="array" ref="BX5">_xlfn.XLOOKUP(1,(creditcard[YYYYMM]=BX$4)*(creditcard[Bank]=$A5),creditcard[流通卡數])</f>
        <v/>
      </c>
      <c r="BY5" s="172">
        <f t="array" ref="BY5">_xlfn.XLOOKUP(1,(creditcard[YYYYMM]=BY$4)*(creditcard[Bank]=$A5),creditcard[流通卡數],"")</f>
        <v/>
      </c>
      <c r="BZ5" s="172">
        <f t="array" ref="BZ5">_xlfn.XLOOKUP(1,(creditcard[YYYYMM]=BZ$4)*(creditcard[Bank]=$A5),creditcard[流通卡數],"")</f>
        <v/>
      </c>
      <c r="CA5" s="172">
        <f t="array" ref="CA5">_xlfn.XLOOKUP(1,(creditcard[YYYYMM]=CA$4)*(creditcard[Bank]=$A5),creditcard[流通卡數],"")</f>
        <v/>
      </c>
      <c r="CB5" s="172">
        <f t="array" ref="CB5">_xlfn.XLOOKUP(1,(creditcard[YYYYMM]=CB$4)*(creditcard[Bank]=$A5),creditcard[流通卡數],"")</f>
        <v/>
      </c>
      <c r="CC5" s="172">
        <f t="array" ref="CC5">_xlfn.XLOOKUP(1,(creditcard[YYYYMM]=CC$4)*(creditcard[Bank]=$A5),creditcard[流通卡數],"")</f>
        <v/>
      </c>
      <c r="CD5" s="172">
        <f t="array" ref="CD5">_xlfn.XLOOKUP(1,(creditcard[YYYYMM]=CD$4)*(creditcard[Bank]=$A5),creditcard[流通卡數],"")</f>
        <v/>
      </c>
      <c r="CE5" s="172">
        <f t="array" ref="CE5">_xlfn.XLOOKUP(1,(creditcard[YYYYMM]=CE$4)*(creditcard[Bank]=$A5),creditcard[流通卡數],"")</f>
        <v/>
      </c>
      <c r="CF5" s="172">
        <f t="array" ref="CF5">_xlfn.XLOOKUP(1,(creditcard[YYYYMM]=CF$4)*(creditcard[Bank]=$A5),creditcard[流通卡數],"")</f>
        <v/>
      </c>
      <c r="CG5" s="172">
        <f t="array" ref="CG5">_xlfn.XLOOKUP(1,(creditcard[YYYYMM]=CG$4)*(creditcard[Bank]=$A5),creditcard[流通卡數],"")</f>
        <v/>
      </c>
      <c r="CH5" s="172" t="n"/>
    </row>
    <row r="6">
      <c r="A6" s="174" t="inlineStr">
        <is>
          <t>富邦</t>
        </is>
      </c>
      <c r="B6" s="172" t="n">
        <v>3404185</v>
      </c>
      <c r="C6" s="172" t="n">
        <v>3464782</v>
      </c>
      <c r="D6" s="172" t="n">
        <v>3504874</v>
      </c>
      <c r="E6" s="172" t="n">
        <v>3534223</v>
      </c>
      <c r="F6" s="172" t="n">
        <v>3556848</v>
      </c>
      <c r="G6" s="172" t="n">
        <v>3589464</v>
      </c>
      <c r="H6" s="172" t="n">
        <v>3664247</v>
      </c>
      <c r="I6" s="172" t="n">
        <v>3706896</v>
      </c>
      <c r="J6" s="172" t="n">
        <v>3748686</v>
      </c>
      <c r="K6" s="172" t="n">
        <v>3778945</v>
      </c>
      <c r="L6" s="172" t="n">
        <v>3835056</v>
      </c>
      <c r="M6" s="172" t="n">
        <v>3855965</v>
      </c>
      <c r="N6" s="172" t="n">
        <v>3881530</v>
      </c>
      <c r="O6" s="172" t="n">
        <v>3901096</v>
      </c>
      <c r="P6" s="172" t="n">
        <v>3936780</v>
      </c>
      <c r="Q6" s="172" t="n">
        <v>3974495</v>
      </c>
      <c r="R6" s="172" t="n">
        <v>4024569</v>
      </c>
      <c r="S6" s="172" t="n">
        <v>4047681</v>
      </c>
      <c r="T6" s="172" t="n">
        <v>4053299</v>
      </c>
      <c r="U6" s="172" t="n">
        <v>4065233</v>
      </c>
      <c r="V6" s="172" t="n">
        <v>4085717</v>
      </c>
      <c r="W6" s="172" t="n">
        <v>4122390</v>
      </c>
      <c r="X6" s="172" t="n">
        <v>4169566</v>
      </c>
      <c r="Y6" s="172" t="n">
        <v>4241447</v>
      </c>
      <c r="Z6" s="172" t="n">
        <v>4302518</v>
      </c>
      <c r="AA6" s="172" t="n">
        <v>4353406</v>
      </c>
      <c r="AB6" s="172" t="n">
        <v>4402105</v>
      </c>
      <c r="AC6" s="172" t="n">
        <v>4443162</v>
      </c>
      <c r="AD6" s="172" t="n">
        <v>4484730</v>
      </c>
      <c r="AE6" s="172" t="n">
        <v>4516776</v>
      </c>
      <c r="AF6" s="172" t="n">
        <v>4556235</v>
      </c>
      <c r="AG6" s="172" t="n">
        <v>4601955</v>
      </c>
      <c r="AH6" s="172" t="n">
        <v>4635827</v>
      </c>
      <c r="AI6" s="172" t="n">
        <v>4675902</v>
      </c>
      <c r="AJ6" s="172" t="n">
        <v>4730706</v>
      </c>
      <c r="AK6" s="172" t="n">
        <v>4792362</v>
      </c>
      <c r="AL6" s="172" t="n">
        <v>4822013</v>
      </c>
      <c r="AM6" s="172" t="n">
        <v>5179767</v>
      </c>
      <c r="AN6" s="172" t="n">
        <v>5536317</v>
      </c>
      <c r="AO6" s="172" t="n">
        <v>5908703</v>
      </c>
      <c r="AP6" s="172" t="n">
        <v>6284183</v>
      </c>
      <c r="AQ6" s="172" t="n">
        <v>6492947</v>
      </c>
      <c r="AR6" s="172" t="n">
        <v>6796538</v>
      </c>
      <c r="AS6" s="172" t="n">
        <v>7011088</v>
      </c>
      <c r="AT6" s="172" t="n">
        <v>7114866</v>
      </c>
      <c r="AU6" s="172" t="n">
        <v>7078688</v>
      </c>
      <c r="AV6" s="172" t="n">
        <v>7167873</v>
      </c>
      <c r="AW6" s="172" t="n">
        <v>7214481</v>
      </c>
      <c r="AX6" s="172" t="n">
        <v>7272793</v>
      </c>
      <c r="AY6" s="172" t="n">
        <v>7311101</v>
      </c>
      <c r="AZ6" s="172" t="n">
        <v>7346864</v>
      </c>
      <c r="BA6" s="172" t="n">
        <v>7393732</v>
      </c>
      <c r="BB6" s="172" t="n">
        <v>7418460</v>
      </c>
      <c r="BC6" s="172" t="n">
        <v>7440549</v>
      </c>
      <c r="BD6" s="173" t="n">
        <v>7283353</v>
      </c>
      <c r="BE6" s="172" t="n">
        <v>7302974</v>
      </c>
      <c r="BF6" s="173" t="n">
        <v>7261967</v>
      </c>
      <c r="BG6" s="172" t="n">
        <v>7281679</v>
      </c>
      <c r="BH6" s="172" t="n">
        <v>7295643</v>
      </c>
      <c r="BI6" s="172" t="n">
        <v>7286011</v>
      </c>
      <c r="BJ6" s="172" t="n">
        <v>7301427</v>
      </c>
      <c r="BK6" s="172" t="n">
        <v>7326844</v>
      </c>
      <c r="BL6" s="172" t="n">
        <v>7407708</v>
      </c>
      <c r="BM6" s="172" t="n">
        <v>7431849</v>
      </c>
      <c r="BN6" s="172" t="n">
        <v>7457469</v>
      </c>
      <c r="BO6" s="172" t="n">
        <v>7416412</v>
      </c>
      <c r="BP6" s="172" t="n">
        <v>7441214</v>
      </c>
      <c r="BQ6" s="172" t="n">
        <v>7466246</v>
      </c>
      <c r="BR6" s="172" t="n">
        <v>7488656</v>
      </c>
      <c r="BS6" s="172" t="n">
        <v>7491291</v>
      </c>
      <c r="BT6" s="172" t="n">
        <v>7368864</v>
      </c>
      <c r="BU6" s="172" t="n">
        <v>7391132</v>
      </c>
      <c r="BV6" s="172">
        <f t="array" ref="BV6">_xlfn.XLOOKUP(1,(creditcard[YYYYMM]=BV$4)*(creditcard[Bank]=$A6),creditcard[流通卡數])</f>
        <v/>
      </c>
      <c r="BW6" s="172">
        <f t="array" ref="BW6">_xlfn.XLOOKUP(1,(creditcard[YYYYMM]=BW$4)*(creditcard[Bank]=$A6),creditcard[流通卡數])</f>
        <v/>
      </c>
      <c r="BX6" s="172">
        <f t="array" ref="BX6">_xlfn.XLOOKUP(1,(creditcard[YYYYMM]=BX$4)*(creditcard[Bank]=$A6),creditcard[流通卡數])</f>
        <v/>
      </c>
      <c r="BY6" s="172">
        <f t="array" ref="BY6">_xlfn.XLOOKUP(1,(creditcard[YYYYMM]=BY$4)*(creditcard[Bank]=$A6),creditcard[流通卡數],"")</f>
        <v/>
      </c>
      <c r="BZ6" s="172">
        <f t="array" ref="BZ6">_xlfn.XLOOKUP(1,(creditcard[YYYYMM]=BZ$4)*(creditcard[Bank]=$A6),creditcard[流通卡數],"")</f>
        <v/>
      </c>
      <c r="CA6" s="172">
        <f t="array" ref="CA6">_xlfn.XLOOKUP(1,(creditcard[YYYYMM]=CA$4)*(creditcard[Bank]=$A6),creditcard[流通卡數],"")</f>
        <v/>
      </c>
      <c r="CB6" s="172">
        <f t="array" ref="CB6">_xlfn.XLOOKUP(1,(creditcard[YYYYMM]=CB$4)*(creditcard[Bank]=$A6),creditcard[流通卡數],"")</f>
        <v/>
      </c>
      <c r="CC6" s="172">
        <f t="array" ref="CC6">_xlfn.XLOOKUP(1,(creditcard[YYYYMM]=CC$4)*(creditcard[Bank]=$A6),creditcard[流通卡數],"")</f>
        <v/>
      </c>
      <c r="CD6" s="172">
        <f t="array" ref="CD6">_xlfn.XLOOKUP(1,(creditcard[YYYYMM]=CD$4)*(creditcard[Bank]=$A6),creditcard[流通卡數],"")</f>
        <v/>
      </c>
      <c r="CE6" s="172">
        <f t="array" ref="CE6">_xlfn.XLOOKUP(1,(creditcard[YYYYMM]=CE$4)*(creditcard[Bank]=$A6),creditcard[流通卡數],"")</f>
        <v/>
      </c>
      <c r="CF6" s="172">
        <f t="array" ref="CF6">_xlfn.XLOOKUP(1,(creditcard[YYYYMM]=CF$4)*(creditcard[Bank]=$A6),creditcard[流通卡數],"")</f>
        <v/>
      </c>
      <c r="CG6" s="172">
        <f t="array" ref="CG6">_xlfn.XLOOKUP(1,(creditcard[YYYYMM]=CG$4)*(creditcard[Bank]=$A6),creditcard[流通卡數],"")</f>
        <v/>
      </c>
      <c r="CH6" s="172" t="n"/>
    </row>
    <row r="7">
      <c r="A7" s="174" t="inlineStr">
        <is>
          <t>國泰</t>
        </is>
      </c>
      <c r="B7" s="172" t="n">
        <v>6761900</v>
      </c>
      <c r="C7" s="172" t="n">
        <v>6798879</v>
      </c>
      <c r="D7" s="172" t="n">
        <v>6838908</v>
      </c>
      <c r="E7" s="172" t="n">
        <v>6873740</v>
      </c>
      <c r="F7" s="172" t="n">
        <v>6905897</v>
      </c>
      <c r="G7" s="172" t="n">
        <v>6938255</v>
      </c>
      <c r="H7" s="172" t="n">
        <v>6981398</v>
      </c>
      <c r="I7" s="172" t="n">
        <v>7015871</v>
      </c>
      <c r="J7" s="172" t="n">
        <v>7039832</v>
      </c>
      <c r="K7" s="172" t="n">
        <v>7060222</v>
      </c>
      <c r="L7" s="172" t="n">
        <v>7086166</v>
      </c>
      <c r="M7" s="172" t="n">
        <v>7115437</v>
      </c>
      <c r="N7" s="172" t="n">
        <v>7140591</v>
      </c>
      <c r="O7" s="172" t="n">
        <v>7162679</v>
      </c>
      <c r="P7" s="172" t="n">
        <v>7191808</v>
      </c>
      <c r="Q7" s="172" t="n">
        <v>7225828</v>
      </c>
      <c r="R7" s="172" t="n">
        <v>7243809</v>
      </c>
      <c r="S7" s="172" t="n">
        <v>7244092</v>
      </c>
      <c r="T7" s="172" t="n">
        <v>7254999</v>
      </c>
      <c r="U7" s="172" t="n">
        <v>7382598</v>
      </c>
      <c r="V7" s="172" t="n">
        <v>7489841</v>
      </c>
      <c r="W7" s="172" t="n">
        <v>7537472</v>
      </c>
      <c r="X7" s="172" t="n">
        <v>7572016</v>
      </c>
      <c r="Y7" s="172" t="n">
        <v>7604456</v>
      </c>
      <c r="Z7" s="172" t="n">
        <v>7632939</v>
      </c>
      <c r="AA7" s="172" t="n">
        <v>7654624</v>
      </c>
      <c r="AB7" s="172" t="n">
        <v>7691312</v>
      </c>
      <c r="AC7" s="172" t="n">
        <v>7723573</v>
      </c>
      <c r="AD7" s="172" t="n">
        <v>7750916</v>
      </c>
      <c r="AE7" s="172" t="n">
        <v>7779503</v>
      </c>
      <c r="AF7" s="172" t="n">
        <v>7812552</v>
      </c>
      <c r="AG7" s="172" t="n">
        <v>7855850</v>
      </c>
      <c r="AH7" s="172" t="n">
        <v>7892953</v>
      </c>
      <c r="AI7" s="172" t="n">
        <v>7935907</v>
      </c>
      <c r="AJ7" s="172" t="n">
        <v>7993379</v>
      </c>
      <c r="AK7" s="172" t="n">
        <v>8812536</v>
      </c>
      <c r="AL7" s="172" t="n">
        <v>9232795</v>
      </c>
      <c r="AM7" s="172" t="n">
        <v>9839723</v>
      </c>
      <c r="AN7" s="172" t="n">
        <v>10319780</v>
      </c>
      <c r="AO7" s="172" t="n">
        <v>10288846</v>
      </c>
      <c r="AP7" s="172" t="n">
        <v>10274471</v>
      </c>
      <c r="AQ7" s="172" t="n">
        <v>10263176</v>
      </c>
      <c r="AR7" s="172" t="n">
        <v>10408270</v>
      </c>
      <c r="AS7" s="172" t="n">
        <v>7193539</v>
      </c>
      <c r="AT7" s="172" t="n">
        <v>7181064</v>
      </c>
      <c r="AU7" s="172" t="n">
        <v>7179282</v>
      </c>
      <c r="AV7" s="172" t="n">
        <v>7188709</v>
      </c>
      <c r="AW7" s="172" t="n">
        <v>7197714</v>
      </c>
      <c r="AX7" s="172" t="n">
        <v>7210022</v>
      </c>
      <c r="AY7" s="172" t="n">
        <v>7222583</v>
      </c>
      <c r="AZ7" s="172" t="n">
        <v>7255505</v>
      </c>
      <c r="BA7" s="172" t="n">
        <v>7266658</v>
      </c>
      <c r="BB7" s="172" t="n">
        <v>7304437</v>
      </c>
      <c r="BC7" s="172" t="n">
        <v>7340148</v>
      </c>
      <c r="BD7" s="173" t="n">
        <v>7367508</v>
      </c>
      <c r="BE7" s="172" t="n">
        <v>7388455</v>
      </c>
      <c r="BF7" s="173" t="n">
        <v>7410095</v>
      </c>
      <c r="BG7" s="172" t="n">
        <v>7432655</v>
      </c>
      <c r="BH7" s="172" t="n">
        <v>7457454</v>
      </c>
      <c r="BI7" s="172" t="n">
        <v>7487552</v>
      </c>
      <c r="BJ7" s="172" t="n">
        <v>7500304</v>
      </c>
      <c r="BK7" s="172" t="n">
        <v>7510445</v>
      </c>
      <c r="BL7" s="172" t="n">
        <v>7405873</v>
      </c>
      <c r="BM7" s="172" t="n">
        <v>7235185</v>
      </c>
      <c r="BN7" s="172" t="n">
        <v>7256330</v>
      </c>
      <c r="BO7" s="172" t="n">
        <v>7278354</v>
      </c>
      <c r="BP7" s="172" t="n">
        <v>7300676</v>
      </c>
      <c r="BQ7" s="172" t="n">
        <v>7315782</v>
      </c>
      <c r="BR7" s="172" t="n">
        <v>7333465</v>
      </c>
      <c r="BS7" s="172" t="n">
        <v>7347244</v>
      </c>
      <c r="BT7" s="172" t="n">
        <v>7378552</v>
      </c>
      <c r="BU7" s="172" t="n">
        <v>7337214</v>
      </c>
      <c r="BV7" s="172">
        <f t="array" ref="BV7">_xlfn.XLOOKUP(1,(creditcard[YYYYMM]=BV$4)*(creditcard[Bank]=$A7),creditcard[流通卡數])</f>
        <v/>
      </c>
      <c r="BW7" s="172">
        <f t="array" ref="BW7">_xlfn.XLOOKUP(1,(creditcard[YYYYMM]=BW$4)*(creditcard[Bank]=$A7),creditcard[流通卡數])</f>
        <v/>
      </c>
      <c r="BX7" s="172">
        <f t="array" ref="BX7">_xlfn.XLOOKUP(1,(creditcard[YYYYMM]=BX$4)*(creditcard[Bank]=$A7),creditcard[流通卡數])</f>
        <v/>
      </c>
      <c r="BY7" s="172">
        <f t="array" ref="BY7">_xlfn.XLOOKUP(1,(creditcard[YYYYMM]=BY$4)*(creditcard[Bank]=$A7),creditcard[流通卡數],"")</f>
        <v/>
      </c>
      <c r="BZ7" s="172">
        <f t="array" ref="BZ7">_xlfn.XLOOKUP(1,(creditcard[YYYYMM]=BZ$4)*(creditcard[Bank]=$A7),creditcard[流通卡數],"")</f>
        <v/>
      </c>
      <c r="CA7" s="172">
        <f t="array" ref="CA7">_xlfn.XLOOKUP(1,(creditcard[YYYYMM]=CA$4)*(creditcard[Bank]=$A7),creditcard[流通卡數],"")</f>
        <v/>
      </c>
      <c r="CB7" s="172">
        <f t="array" ref="CB7">_xlfn.XLOOKUP(1,(creditcard[YYYYMM]=CB$4)*(creditcard[Bank]=$A7),creditcard[流通卡數],"")</f>
        <v/>
      </c>
      <c r="CC7" s="172">
        <f t="array" ref="CC7">_xlfn.XLOOKUP(1,(creditcard[YYYYMM]=CC$4)*(creditcard[Bank]=$A7),creditcard[流通卡數],"")</f>
        <v/>
      </c>
      <c r="CD7" s="172">
        <f t="array" ref="CD7">_xlfn.XLOOKUP(1,(creditcard[YYYYMM]=CD$4)*(creditcard[Bank]=$A7),creditcard[流通卡數],"")</f>
        <v/>
      </c>
      <c r="CE7" s="172">
        <f t="array" ref="CE7">_xlfn.XLOOKUP(1,(creditcard[YYYYMM]=CE$4)*(creditcard[Bank]=$A7),creditcard[流通卡數],"")</f>
        <v/>
      </c>
      <c r="CF7" s="172">
        <f t="array" ref="CF7">_xlfn.XLOOKUP(1,(creditcard[YYYYMM]=CF$4)*(creditcard[Bank]=$A7),creditcard[流通卡數],"")</f>
        <v/>
      </c>
      <c r="CG7" s="172">
        <f t="array" ref="CG7">_xlfn.XLOOKUP(1,(creditcard[YYYYMM]=CG$4)*(creditcard[Bank]=$A7),creditcard[流通卡數],"")</f>
        <v/>
      </c>
      <c r="CH7" s="172" t="n"/>
    </row>
    <row r="8">
      <c r="A8" s="174" t="inlineStr">
        <is>
          <t>玉山</t>
        </is>
      </c>
      <c r="B8" s="172" t="n">
        <v>5888607</v>
      </c>
      <c r="C8" s="172" t="n">
        <v>5947662</v>
      </c>
      <c r="D8" s="172" t="n">
        <v>6006271</v>
      </c>
      <c r="E8" s="172" t="n">
        <v>6049448</v>
      </c>
      <c r="F8" s="172" t="n">
        <v>6091494</v>
      </c>
      <c r="G8" s="172" t="n">
        <v>6133023</v>
      </c>
      <c r="H8" s="172" t="n">
        <v>6192382</v>
      </c>
      <c r="I8" s="172" t="n">
        <v>6233457</v>
      </c>
      <c r="J8" s="172" t="n">
        <v>6263910</v>
      </c>
      <c r="K8" s="172" t="n">
        <v>6290830</v>
      </c>
      <c r="L8" s="172" t="n">
        <v>6321054</v>
      </c>
      <c r="M8" s="172" t="n">
        <v>6346283</v>
      </c>
      <c r="N8" s="172" t="n">
        <v>6373780</v>
      </c>
      <c r="O8" s="172" t="n">
        <v>6392366</v>
      </c>
      <c r="P8" s="172" t="n">
        <v>6423268</v>
      </c>
      <c r="Q8" s="172" t="n">
        <v>6454847</v>
      </c>
      <c r="R8" s="172" t="n">
        <v>6475418</v>
      </c>
      <c r="S8" s="172" t="n">
        <v>6489112</v>
      </c>
      <c r="T8" s="172" t="n">
        <v>6510578</v>
      </c>
      <c r="U8" s="172" t="n">
        <v>6534077</v>
      </c>
      <c r="V8" s="172" t="n">
        <v>6559993</v>
      </c>
      <c r="W8" s="172" t="n">
        <v>6586884</v>
      </c>
      <c r="X8" s="172" t="n">
        <v>6608027</v>
      </c>
      <c r="Y8" s="172" t="n">
        <v>6624086</v>
      </c>
      <c r="Z8" s="172" t="n">
        <v>6642488</v>
      </c>
      <c r="AA8" s="172" t="n">
        <v>6651751</v>
      </c>
      <c r="AB8" s="172" t="n">
        <v>6669031</v>
      </c>
      <c r="AC8" s="172" t="n">
        <v>6680972</v>
      </c>
      <c r="AD8" s="172" t="n">
        <v>6704455</v>
      </c>
      <c r="AE8" s="172" t="n">
        <v>6763406</v>
      </c>
      <c r="AF8" s="172" t="n">
        <v>6779335</v>
      </c>
      <c r="AG8" s="172" t="n">
        <v>6802744</v>
      </c>
      <c r="AH8" s="172" t="n">
        <v>6831706</v>
      </c>
      <c r="AI8" s="172" t="n">
        <v>6851391</v>
      </c>
      <c r="AJ8" s="172" t="n">
        <v>6873010</v>
      </c>
      <c r="AK8" s="172" t="n">
        <v>6891298</v>
      </c>
      <c r="AL8" s="172" t="n">
        <v>6906423</v>
      </c>
      <c r="AM8" s="172" t="n">
        <v>6914105</v>
      </c>
      <c r="AN8" s="172" t="n">
        <v>6990605</v>
      </c>
      <c r="AO8" s="172" t="n">
        <v>7007847</v>
      </c>
      <c r="AP8" s="172" t="n">
        <v>7025336</v>
      </c>
      <c r="AQ8" s="172" t="n">
        <v>7041497</v>
      </c>
      <c r="AR8" s="172" t="n">
        <v>7069476</v>
      </c>
      <c r="AS8" s="172" t="n">
        <v>7110303</v>
      </c>
      <c r="AT8" s="172" t="n">
        <v>7140978</v>
      </c>
      <c r="AU8" s="172" t="n">
        <v>7194670</v>
      </c>
      <c r="AV8" s="172" t="n">
        <v>7202986</v>
      </c>
      <c r="AW8" s="172" t="n">
        <v>7230723</v>
      </c>
      <c r="AX8" s="172" t="n">
        <v>7227179</v>
      </c>
      <c r="AY8" s="172" t="n">
        <v>7231571</v>
      </c>
      <c r="AZ8" s="172" t="n">
        <v>7253031</v>
      </c>
      <c r="BA8" s="172" t="n">
        <v>7241304</v>
      </c>
      <c r="BB8" s="172" t="n">
        <v>7259717</v>
      </c>
      <c r="BC8" s="172" t="n">
        <v>7263022</v>
      </c>
      <c r="BD8" s="173" t="n">
        <v>7311205</v>
      </c>
      <c r="BE8" s="173" t="n">
        <v>7367915</v>
      </c>
      <c r="BF8" s="173" t="n">
        <v>7409972</v>
      </c>
      <c r="BG8" s="172" t="n">
        <v>7461915</v>
      </c>
      <c r="BH8" s="172" t="n">
        <v>7485063</v>
      </c>
      <c r="BI8" s="172" t="n">
        <v>7476231</v>
      </c>
      <c r="BJ8" s="172" t="n">
        <v>7477350</v>
      </c>
      <c r="BK8" s="172" t="n">
        <v>7495399</v>
      </c>
      <c r="BL8" s="172" t="n">
        <v>7730479</v>
      </c>
      <c r="BM8" s="172" t="n">
        <v>8227438</v>
      </c>
      <c r="BN8" s="172" t="n">
        <v>8578082</v>
      </c>
      <c r="BO8" s="172" t="n">
        <v>8704463</v>
      </c>
      <c r="BP8" s="172" t="n">
        <v>8735888</v>
      </c>
      <c r="BQ8" s="172" t="n">
        <v>8804641</v>
      </c>
      <c r="BR8" s="172" t="n">
        <v>8752377</v>
      </c>
      <c r="BS8" s="172" t="n">
        <v>8732871</v>
      </c>
      <c r="BT8" s="172" t="n">
        <v>8706607</v>
      </c>
      <c r="BU8" s="172" t="n">
        <v>8748065</v>
      </c>
      <c r="BV8" s="172">
        <f t="array" ref="BV8">_xlfn.XLOOKUP(1,(creditcard[YYYYMM]=BV$4)*(creditcard[Bank]=$A8),creditcard[流通卡數])</f>
        <v/>
      </c>
      <c r="BW8" s="172">
        <f t="array" ref="BW8">_xlfn.XLOOKUP(1,(creditcard[YYYYMM]=BW$4)*(creditcard[Bank]=$A8),creditcard[流通卡數])</f>
        <v/>
      </c>
      <c r="BX8" s="172">
        <f t="array" ref="BX8">_xlfn.XLOOKUP(1,(creditcard[YYYYMM]=BX$4)*(creditcard[Bank]=$A8),creditcard[流通卡數])</f>
        <v/>
      </c>
      <c r="BY8" s="172">
        <f t="array" ref="BY8">_xlfn.XLOOKUP(1,(creditcard[YYYYMM]=BY$4)*(creditcard[Bank]=$A8),creditcard[流通卡數],"")</f>
        <v/>
      </c>
      <c r="BZ8" s="172">
        <f t="array" ref="BZ8">_xlfn.XLOOKUP(1,(creditcard[YYYYMM]=BZ$4)*(creditcard[Bank]=$A8),creditcard[流通卡數],"")</f>
        <v/>
      </c>
      <c r="CA8" s="172">
        <f t="array" ref="CA8">_xlfn.XLOOKUP(1,(creditcard[YYYYMM]=CA$4)*(creditcard[Bank]=$A8),creditcard[流通卡數],"")</f>
        <v/>
      </c>
      <c r="CB8" s="172">
        <f t="array" ref="CB8">_xlfn.XLOOKUP(1,(creditcard[YYYYMM]=CB$4)*(creditcard[Bank]=$A8),creditcard[流通卡數],"")</f>
        <v/>
      </c>
      <c r="CC8" s="172">
        <f t="array" ref="CC8">_xlfn.XLOOKUP(1,(creditcard[YYYYMM]=CC$4)*(creditcard[Bank]=$A8),creditcard[流通卡數],"")</f>
        <v/>
      </c>
      <c r="CD8" s="172">
        <f t="array" ref="CD8">_xlfn.XLOOKUP(1,(creditcard[YYYYMM]=CD$4)*(creditcard[Bank]=$A8),creditcard[流通卡數],"")</f>
        <v/>
      </c>
      <c r="CE8" s="172">
        <f t="array" ref="CE8">_xlfn.XLOOKUP(1,(creditcard[YYYYMM]=CE$4)*(creditcard[Bank]=$A8),creditcard[流通卡數],"")</f>
        <v/>
      </c>
      <c r="CF8" s="172">
        <f t="array" ref="CF8">_xlfn.XLOOKUP(1,(creditcard[YYYYMM]=CF$4)*(creditcard[Bank]=$A8),creditcard[流通卡數],"")</f>
        <v/>
      </c>
      <c r="CG8" s="172">
        <f t="array" ref="CG8">_xlfn.XLOOKUP(1,(creditcard[YYYYMM]=CG$4)*(creditcard[Bank]=$A8),creditcard[流通卡數],"")</f>
        <v/>
      </c>
      <c r="CH8" s="172" t="n"/>
    </row>
    <row r="9">
      <c r="A9" s="174" t="inlineStr">
        <is>
          <t>台新</t>
        </is>
      </c>
      <c r="B9" s="172" t="n">
        <v>5385028</v>
      </c>
      <c r="C9" s="172" t="n">
        <v>5418984</v>
      </c>
      <c r="D9" s="172" t="n">
        <v>5448102</v>
      </c>
      <c r="E9" s="172" t="n">
        <v>5465965</v>
      </c>
      <c r="F9" s="172" t="n">
        <v>5482938</v>
      </c>
      <c r="G9" s="172" t="n">
        <v>5505133</v>
      </c>
      <c r="H9" s="172" t="n">
        <v>5549590</v>
      </c>
      <c r="I9" s="172" t="n">
        <v>5582662</v>
      </c>
      <c r="J9" s="172" t="n">
        <v>5620279</v>
      </c>
      <c r="K9" s="172" t="n">
        <v>5665577</v>
      </c>
      <c r="L9" s="172" t="n">
        <v>5696228</v>
      </c>
      <c r="M9" s="172" t="n">
        <v>5730768</v>
      </c>
      <c r="N9" s="172" t="n">
        <v>5763691</v>
      </c>
      <c r="O9" s="172" t="n">
        <v>5790196</v>
      </c>
      <c r="P9" s="172" t="n">
        <v>5813795</v>
      </c>
      <c r="Q9" s="172" t="n">
        <v>5832494</v>
      </c>
      <c r="R9" s="172" t="n">
        <v>5854447</v>
      </c>
      <c r="S9" s="172" t="n">
        <v>5867723</v>
      </c>
      <c r="T9" s="172" t="n">
        <v>5900962</v>
      </c>
      <c r="U9" s="172" t="n">
        <v>5928080</v>
      </c>
      <c r="V9" s="172" t="n">
        <v>5957656</v>
      </c>
      <c r="W9" s="172" t="n">
        <v>5991535</v>
      </c>
      <c r="X9" s="172" t="n">
        <v>6034814</v>
      </c>
      <c r="Y9" s="172" t="n">
        <v>6058070</v>
      </c>
      <c r="Z9" s="172" t="n">
        <v>6078645</v>
      </c>
      <c r="AA9" s="172" t="n">
        <v>6081682</v>
      </c>
      <c r="AB9" s="172" t="n">
        <v>6099318</v>
      </c>
      <c r="AC9" s="172" t="n">
        <v>6118889</v>
      </c>
      <c r="AD9" s="172" t="n">
        <v>6142300</v>
      </c>
      <c r="AE9" s="172" t="n">
        <v>6162152</v>
      </c>
      <c r="AF9" s="172" t="n">
        <v>6194504</v>
      </c>
      <c r="AG9" s="172" t="n">
        <v>6222983</v>
      </c>
      <c r="AH9" s="172" t="n">
        <v>6246793</v>
      </c>
      <c r="AI9" s="172" t="n">
        <v>6270643</v>
      </c>
      <c r="AJ9" s="172" t="n">
        <v>6280469</v>
      </c>
      <c r="AK9" s="172" t="n">
        <v>6300278</v>
      </c>
      <c r="AL9" s="172" t="n">
        <v>6305956</v>
      </c>
      <c r="AM9" s="172" t="n">
        <v>6316953</v>
      </c>
      <c r="AN9" s="172" t="n">
        <v>6358614</v>
      </c>
      <c r="AO9" s="172" t="n">
        <v>6385442</v>
      </c>
      <c r="AP9" s="172" t="n">
        <v>6422062</v>
      </c>
      <c r="AQ9" s="172" t="n">
        <v>6443483</v>
      </c>
      <c r="AR9" s="172" t="n">
        <v>6467760</v>
      </c>
      <c r="AS9" s="172" t="n">
        <v>6491107</v>
      </c>
      <c r="AT9" s="172" t="n">
        <v>6502814</v>
      </c>
      <c r="AU9" s="172" t="n">
        <v>6494988</v>
      </c>
      <c r="AV9" s="172" t="n">
        <v>6500524</v>
      </c>
      <c r="AW9" s="172" t="n">
        <v>6500585</v>
      </c>
      <c r="AX9" s="172" t="n">
        <v>6500402</v>
      </c>
      <c r="AY9" s="172" t="n">
        <v>6504420</v>
      </c>
      <c r="AZ9" s="172" t="n">
        <v>6505711</v>
      </c>
      <c r="BA9" s="172" t="n">
        <v>6508790</v>
      </c>
      <c r="BB9" s="172" t="n">
        <v>6510659</v>
      </c>
      <c r="BC9" s="172" t="n">
        <v>6512921</v>
      </c>
      <c r="BD9" s="173" t="n">
        <v>6559094</v>
      </c>
      <c r="BE9" s="172" t="n">
        <v>6587940</v>
      </c>
      <c r="BF9" s="173" t="n">
        <v>6589066</v>
      </c>
      <c r="BG9" s="172" t="n">
        <v>6587924</v>
      </c>
      <c r="BH9" s="172" t="n">
        <v>6589465</v>
      </c>
      <c r="BI9" s="172" t="n">
        <v>6577948</v>
      </c>
      <c r="BJ9" s="172" t="n">
        <v>6579770</v>
      </c>
      <c r="BK9" s="172" t="n">
        <v>6585997</v>
      </c>
      <c r="BL9" s="172" t="n">
        <v>6588915</v>
      </c>
      <c r="BM9" s="172" t="n">
        <v>6615066</v>
      </c>
      <c r="BN9" s="172" t="n">
        <v>6619863</v>
      </c>
      <c r="BO9" s="172" t="n">
        <v>6623906</v>
      </c>
      <c r="BP9" s="172" t="n">
        <v>6625635</v>
      </c>
      <c r="BQ9" s="172" t="n">
        <v>6628129</v>
      </c>
      <c r="BR9" s="172" t="n">
        <v>6629102</v>
      </c>
      <c r="BS9" s="172" t="n">
        <v>6631624</v>
      </c>
      <c r="BT9" s="172" t="n">
        <v>6633053</v>
      </c>
      <c r="BU9" s="172" t="n">
        <v>6632949</v>
      </c>
      <c r="BV9" s="172">
        <f t="array" ref="BV9">_xlfn.XLOOKUP(1,(creditcard[YYYYMM]=BV$4)*(creditcard[Bank]=$A9),creditcard[流通卡數])</f>
        <v/>
      </c>
      <c r="BW9" s="172">
        <f t="array" ref="BW9">_xlfn.XLOOKUP(1,(creditcard[YYYYMM]=BW$4)*(creditcard[Bank]=$A9),creditcard[流通卡數])</f>
        <v/>
      </c>
      <c r="BX9" s="172">
        <f t="array" ref="BX9">_xlfn.XLOOKUP(1,(creditcard[YYYYMM]=BX$4)*(creditcard[Bank]=$A9),creditcard[流通卡數])</f>
        <v/>
      </c>
      <c r="BY9" s="172">
        <f t="array" ref="BY9">_xlfn.XLOOKUP(1,(creditcard[YYYYMM]=BY$4)*(creditcard[Bank]=$A9),creditcard[流通卡數],"")</f>
        <v/>
      </c>
      <c r="BZ9" s="172">
        <f t="array" ref="BZ9">_xlfn.XLOOKUP(1,(creditcard[YYYYMM]=BZ$4)*(creditcard[Bank]=$A9),creditcard[流通卡數],"")</f>
        <v/>
      </c>
      <c r="CA9" s="172">
        <f t="array" ref="CA9">_xlfn.XLOOKUP(1,(creditcard[YYYYMM]=CA$4)*(creditcard[Bank]=$A9),creditcard[流通卡數],"")</f>
        <v/>
      </c>
      <c r="CB9" s="172">
        <f t="array" ref="CB9">_xlfn.XLOOKUP(1,(creditcard[YYYYMM]=CB$4)*(creditcard[Bank]=$A9),creditcard[流通卡數],"")</f>
        <v/>
      </c>
      <c r="CC9" s="172">
        <f t="array" ref="CC9">_xlfn.XLOOKUP(1,(creditcard[YYYYMM]=CC$4)*(creditcard[Bank]=$A9),creditcard[流通卡數],"")</f>
        <v/>
      </c>
      <c r="CD9" s="172">
        <f t="array" ref="CD9">_xlfn.XLOOKUP(1,(creditcard[YYYYMM]=CD$4)*(creditcard[Bank]=$A9),creditcard[流通卡數],"")</f>
        <v/>
      </c>
      <c r="CE9" s="172">
        <f t="array" ref="CE9">_xlfn.XLOOKUP(1,(creditcard[YYYYMM]=CE$4)*(creditcard[Bank]=$A9),creditcard[流通卡數],"")</f>
        <v/>
      </c>
      <c r="CF9" s="172">
        <f t="array" ref="CF9">_xlfn.XLOOKUP(1,(creditcard[YYYYMM]=CF$4)*(creditcard[Bank]=$A9),creditcard[流通卡數],"")</f>
        <v/>
      </c>
      <c r="CG9" s="172">
        <f t="array" ref="CG9">_xlfn.XLOOKUP(1,(creditcard[YYYYMM]=CG$4)*(creditcard[Bank]=$A9),creditcard[流通卡數],"")</f>
        <v/>
      </c>
      <c r="CH9" s="172" t="n"/>
    </row>
    <row r="10">
      <c r="A10" s="174" t="inlineStr">
        <is>
          <t>星展</t>
        </is>
      </c>
      <c r="B10" s="172" t="n">
        <v>600544</v>
      </c>
      <c r="C10" s="172" t="n">
        <v>602323</v>
      </c>
      <c r="D10" s="172" t="n">
        <v>603719</v>
      </c>
      <c r="E10" s="172" t="n">
        <v>604502</v>
      </c>
      <c r="F10" s="172" t="n">
        <v>606071</v>
      </c>
      <c r="G10" s="172" t="n">
        <v>608372</v>
      </c>
      <c r="H10" s="172" t="n">
        <v>596643</v>
      </c>
      <c r="I10" s="172" t="n">
        <v>598131</v>
      </c>
      <c r="J10" s="172" t="n">
        <v>601779</v>
      </c>
      <c r="K10" s="172" t="n">
        <v>604553</v>
      </c>
      <c r="L10" s="172" t="n">
        <v>606156</v>
      </c>
      <c r="M10" s="172" t="n">
        <v>607125</v>
      </c>
      <c r="N10" s="172" t="n">
        <v>609349</v>
      </c>
      <c r="O10" s="172" t="n">
        <v>609813</v>
      </c>
      <c r="P10" s="172" t="n">
        <v>607969</v>
      </c>
      <c r="Q10" s="172" t="n">
        <v>608256</v>
      </c>
      <c r="R10" s="172" t="n">
        <v>608911</v>
      </c>
      <c r="S10" s="172" t="n">
        <v>609463</v>
      </c>
      <c r="T10" s="172" t="n">
        <v>608124</v>
      </c>
      <c r="U10" s="172" t="n">
        <v>607599</v>
      </c>
      <c r="V10" s="172" t="n">
        <v>608554</v>
      </c>
      <c r="W10" s="172" t="n">
        <v>612949</v>
      </c>
      <c r="X10" s="172" t="n">
        <v>620072</v>
      </c>
      <c r="Y10" s="172" t="n">
        <v>622454</v>
      </c>
      <c r="Z10" s="172" t="n">
        <v>623023</v>
      </c>
      <c r="AA10" s="172" t="n">
        <v>624813</v>
      </c>
      <c r="AB10" s="172" t="n">
        <v>626007</v>
      </c>
      <c r="AC10" s="172" t="n">
        <v>629801</v>
      </c>
      <c r="AD10" s="172" t="n">
        <v>632114</v>
      </c>
      <c r="AE10" s="172" t="n">
        <v>635238</v>
      </c>
      <c r="AF10" s="172" t="n">
        <v>639470</v>
      </c>
      <c r="AG10" s="172" t="n">
        <v>642505</v>
      </c>
      <c r="AH10" s="172" t="n">
        <v>645604</v>
      </c>
      <c r="AI10" s="172" t="n">
        <v>647984</v>
      </c>
      <c r="AJ10" s="172" t="n">
        <v>650549</v>
      </c>
      <c r="AK10" s="172" t="n">
        <v>654328</v>
      </c>
      <c r="AL10" s="172" t="n">
        <v>657388</v>
      </c>
      <c r="AM10" s="172" t="n">
        <v>659742</v>
      </c>
      <c r="AN10" s="172" t="n">
        <v>661906</v>
      </c>
      <c r="AO10" s="172" t="n">
        <v>666421</v>
      </c>
      <c r="AP10" s="172" t="n">
        <v>669337</v>
      </c>
      <c r="AQ10" s="172" t="n">
        <v>673473</v>
      </c>
      <c r="AR10" s="172" t="n">
        <v>675471</v>
      </c>
      <c r="AS10" s="172" t="n">
        <v>3359924</v>
      </c>
      <c r="AT10" s="172" t="n">
        <v>3355321</v>
      </c>
      <c r="AU10" s="172" t="n">
        <v>3344604</v>
      </c>
      <c r="AV10" s="172" t="n">
        <v>3327649</v>
      </c>
      <c r="AW10" s="172" t="n">
        <v>3319120</v>
      </c>
      <c r="AX10" s="172" t="n">
        <v>3840305</v>
      </c>
      <c r="AY10" s="172" t="n">
        <v>3766185</v>
      </c>
      <c r="AZ10" s="172" t="n">
        <v>3730787</v>
      </c>
      <c r="BA10" s="172" t="n">
        <v>3688109</v>
      </c>
      <c r="BB10" s="172" t="n">
        <v>3646355</v>
      </c>
      <c r="BC10" s="172" t="n">
        <v>3516949</v>
      </c>
      <c r="BD10" s="173" t="n">
        <v>3268661</v>
      </c>
      <c r="BE10" s="172" t="n">
        <v>3272018</v>
      </c>
      <c r="BF10" s="173" t="n">
        <v>3275459</v>
      </c>
      <c r="BG10" s="172" t="n">
        <v>3277680</v>
      </c>
      <c r="BH10" s="172" t="n">
        <v>3279595</v>
      </c>
      <c r="BI10" s="172" t="n">
        <v>3281643</v>
      </c>
      <c r="BJ10" s="172" t="n">
        <v>3283230</v>
      </c>
      <c r="BK10" s="172" t="n">
        <v>3292723</v>
      </c>
      <c r="BL10" s="172" t="n">
        <v>3298447</v>
      </c>
      <c r="BM10" s="172" t="n">
        <v>3302616</v>
      </c>
      <c r="BN10" s="172" t="n">
        <v>3305397</v>
      </c>
      <c r="BO10" s="172" t="n">
        <v>3309685</v>
      </c>
      <c r="BP10" s="172" t="n">
        <v>3314136</v>
      </c>
      <c r="BQ10" s="172" t="n">
        <v>3319504</v>
      </c>
      <c r="BR10" s="172" t="n">
        <v>3316008</v>
      </c>
      <c r="BS10" s="172" t="n">
        <v>3345537</v>
      </c>
      <c r="BT10" s="172" t="n">
        <v>3356156</v>
      </c>
      <c r="BU10" s="172" t="n">
        <v>3324547</v>
      </c>
      <c r="BV10" s="172">
        <f t="array" ref="BV10">_xlfn.XLOOKUP(1,(creditcard[YYYYMM]=BV$4)*(creditcard[Bank]=$A10),creditcard[流通卡數])</f>
        <v/>
      </c>
      <c r="BW10" s="172">
        <f t="array" ref="BW10">_xlfn.XLOOKUP(1,(creditcard[YYYYMM]=BW$4)*(creditcard[Bank]=$A10),creditcard[流通卡數])</f>
        <v/>
      </c>
      <c r="BX10" s="172">
        <f t="array" ref="BX10">_xlfn.XLOOKUP(1,(creditcard[YYYYMM]=BX$4)*(creditcard[Bank]=$A10),creditcard[流通卡數])</f>
        <v/>
      </c>
      <c r="BY10" s="172">
        <f t="array" ref="BY10">_xlfn.XLOOKUP(1,(creditcard[YYYYMM]=BY$4)*(creditcard[Bank]=$A10),creditcard[流通卡數],"")</f>
        <v/>
      </c>
      <c r="BZ10" s="172">
        <f t="array" ref="BZ10">_xlfn.XLOOKUP(1,(creditcard[YYYYMM]=BZ$4)*(creditcard[Bank]=$A10),creditcard[流通卡數],"")</f>
        <v/>
      </c>
      <c r="CA10" s="172">
        <f t="array" ref="CA10">_xlfn.XLOOKUP(1,(creditcard[YYYYMM]=CA$4)*(creditcard[Bank]=$A10),creditcard[流通卡數],"")</f>
        <v/>
      </c>
      <c r="CB10" s="172">
        <f t="array" ref="CB10">_xlfn.XLOOKUP(1,(creditcard[YYYYMM]=CB$4)*(creditcard[Bank]=$A10),creditcard[流通卡數],"")</f>
        <v/>
      </c>
      <c r="CC10" s="172">
        <f t="array" ref="CC10">_xlfn.XLOOKUP(1,(creditcard[YYYYMM]=CC$4)*(creditcard[Bank]=$A10),creditcard[流通卡數],"")</f>
        <v/>
      </c>
      <c r="CD10" s="172">
        <f t="array" ref="CD10">_xlfn.XLOOKUP(1,(creditcard[YYYYMM]=CD$4)*(creditcard[Bank]=$A10),creditcard[流通卡數],"")</f>
        <v/>
      </c>
      <c r="CE10" s="172">
        <f t="array" ref="CE10">_xlfn.XLOOKUP(1,(creditcard[YYYYMM]=CE$4)*(creditcard[Bank]=$A10),creditcard[流通卡數],"")</f>
        <v/>
      </c>
      <c r="CF10" s="172">
        <f t="array" ref="CF10">_xlfn.XLOOKUP(1,(creditcard[YYYYMM]=CF$4)*(creditcard[Bank]=$A10),creditcard[流通卡數],"")</f>
        <v/>
      </c>
      <c r="CG10" s="172">
        <f t="array" ref="CG10">_xlfn.XLOOKUP(1,(creditcard[YYYYMM]=CG$4)*(creditcard[Bank]=$A10),creditcard[流通卡數],"")</f>
        <v/>
      </c>
      <c r="CH10" s="172" t="n"/>
    </row>
    <row r="11">
      <c r="A11" s="174" t="inlineStr">
        <is>
          <t>聯邦</t>
        </is>
      </c>
      <c r="B11" s="172" t="n">
        <v>2175854</v>
      </c>
      <c r="C11" s="172" t="n">
        <v>2191207</v>
      </c>
      <c r="D11" s="172" t="n">
        <v>2215438</v>
      </c>
      <c r="E11" s="172" t="n">
        <v>2230590</v>
      </c>
      <c r="F11" s="172" t="n">
        <v>2248916</v>
      </c>
      <c r="G11" s="172" t="n">
        <v>2192562</v>
      </c>
      <c r="H11" s="172" t="n">
        <v>2196946</v>
      </c>
      <c r="I11" s="172" t="n">
        <v>2207802</v>
      </c>
      <c r="J11" s="172" t="n">
        <v>2231943</v>
      </c>
      <c r="K11" s="172" t="n">
        <v>2221614</v>
      </c>
      <c r="L11" s="172" t="n">
        <v>2233423</v>
      </c>
      <c r="M11" s="172" t="n">
        <v>2243665</v>
      </c>
      <c r="N11" s="172" t="n">
        <v>2251261</v>
      </c>
      <c r="O11" s="172" t="n">
        <v>2258384</v>
      </c>
      <c r="P11" s="172" t="n">
        <v>2268966</v>
      </c>
      <c r="Q11" s="172" t="n">
        <v>2278950</v>
      </c>
      <c r="R11" s="172" t="n">
        <v>2287248</v>
      </c>
      <c r="S11" s="172" t="n">
        <v>2192196</v>
      </c>
      <c r="T11" s="172" t="n">
        <v>2192207</v>
      </c>
      <c r="U11" s="172" t="n">
        <v>2196076</v>
      </c>
      <c r="V11" s="172" t="n">
        <v>2207397</v>
      </c>
      <c r="W11" s="172" t="n">
        <v>2217729</v>
      </c>
      <c r="X11" s="172" t="n">
        <v>2238082</v>
      </c>
      <c r="Y11" s="172" t="n">
        <v>2255449</v>
      </c>
      <c r="Z11" s="172" t="n">
        <v>2272852</v>
      </c>
      <c r="AA11" s="172" t="n">
        <v>2282444</v>
      </c>
      <c r="AB11" s="172" t="n">
        <v>2295174</v>
      </c>
      <c r="AC11" s="172" t="n">
        <v>2303098</v>
      </c>
      <c r="AD11" s="172" t="n">
        <v>2308459</v>
      </c>
      <c r="AE11" s="172" t="n">
        <v>2315079</v>
      </c>
      <c r="AF11" s="172" t="n">
        <v>2341220</v>
      </c>
      <c r="AG11" s="172" t="n">
        <v>2356196</v>
      </c>
      <c r="AH11" s="172" t="n">
        <v>2364561</v>
      </c>
      <c r="AI11" s="172" t="n">
        <v>2379499</v>
      </c>
      <c r="AJ11" s="172" t="n">
        <v>2394050</v>
      </c>
      <c r="AK11" s="172" t="n">
        <v>2431532</v>
      </c>
      <c r="AL11" s="172" t="n">
        <v>2465012</v>
      </c>
      <c r="AM11" s="172" t="n">
        <v>2502271</v>
      </c>
      <c r="AN11" s="172" t="n">
        <v>2543402</v>
      </c>
      <c r="AO11" s="172" t="n">
        <v>2566875</v>
      </c>
      <c r="AP11" s="172" t="n">
        <v>2589725</v>
      </c>
      <c r="AQ11" s="172" t="n">
        <v>2613324</v>
      </c>
      <c r="AR11" s="172" t="n">
        <v>2679668</v>
      </c>
      <c r="AS11" s="172" t="n">
        <v>2738513</v>
      </c>
      <c r="AT11" s="172" t="n">
        <v>2776618</v>
      </c>
      <c r="AU11" s="172" t="n">
        <v>2810122</v>
      </c>
      <c r="AV11" s="172" t="n">
        <v>2842482</v>
      </c>
      <c r="AW11" s="172" t="n">
        <v>2866981</v>
      </c>
      <c r="AX11" s="172" t="n">
        <v>2866981</v>
      </c>
      <c r="AY11" s="172" t="n">
        <v>2930343</v>
      </c>
      <c r="AZ11" s="172" t="n">
        <v>2878839</v>
      </c>
      <c r="BA11" s="172" t="n">
        <v>2892579</v>
      </c>
      <c r="BB11" s="172" t="n">
        <v>2912389</v>
      </c>
      <c r="BC11" s="172" t="n">
        <v>2876100</v>
      </c>
      <c r="BD11" s="173" t="n">
        <v>2862474</v>
      </c>
      <c r="BE11" s="172" t="n">
        <v>2844795</v>
      </c>
      <c r="BF11" s="173" t="n">
        <v>2843748</v>
      </c>
      <c r="BG11" s="172" t="n">
        <v>2824040</v>
      </c>
      <c r="BH11" s="172" t="n">
        <v>2804559</v>
      </c>
      <c r="BI11" s="172" t="n">
        <v>2764467</v>
      </c>
      <c r="BJ11" s="172" t="n">
        <v>2760230</v>
      </c>
      <c r="BK11" s="172" t="n">
        <v>2761225</v>
      </c>
      <c r="BL11" s="172" t="n">
        <v>2758499</v>
      </c>
      <c r="BM11" s="172" t="n">
        <v>2754764</v>
      </c>
      <c r="BN11" s="172" t="n">
        <v>2753407</v>
      </c>
      <c r="BO11" s="172" t="n">
        <v>2752496</v>
      </c>
      <c r="BP11" s="172" t="n">
        <v>2759560</v>
      </c>
      <c r="BQ11" s="172" t="n">
        <v>2759352</v>
      </c>
      <c r="BR11" s="172" t="n">
        <v>2756495</v>
      </c>
      <c r="BS11" s="172" t="n">
        <v>2752053</v>
      </c>
      <c r="BT11" s="172" t="n">
        <v>2724426</v>
      </c>
      <c r="BU11" s="172" t="n">
        <v>2731780</v>
      </c>
      <c r="BV11" s="172">
        <f t="array" ref="BV11">_xlfn.XLOOKUP(1,(creditcard[YYYYMM]=BV$4)*(creditcard[Bank]=$A11),creditcard[流通卡數])</f>
        <v/>
      </c>
      <c r="BW11" s="172">
        <f t="array" ref="BW11">_xlfn.XLOOKUP(1,(creditcard[YYYYMM]=BW$4)*(creditcard[Bank]=$A11),creditcard[流通卡數])</f>
        <v/>
      </c>
      <c r="BX11" s="172">
        <f t="array" ref="BX11">_xlfn.XLOOKUP(1,(creditcard[YYYYMM]=BX$4)*(creditcard[Bank]=$A11),creditcard[流通卡數])</f>
        <v/>
      </c>
      <c r="BY11" s="172">
        <f t="array" ref="BY11">_xlfn.XLOOKUP(1,(creditcard[YYYYMM]=BY$4)*(creditcard[Bank]=$A11),creditcard[流通卡數],"")</f>
        <v/>
      </c>
      <c r="BZ11" s="172">
        <f t="array" ref="BZ11">_xlfn.XLOOKUP(1,(creditcard[YYYYMM]=BZ$4)*(creditcard[Bank]=$A11),creditcard[流通卡數],"")</f>
        <v/>
      </c>
      <c r="CA11" s="172">
        <f t="array" ref="CA11">_xlfn.XLOOKUP(1,(creditcard[YYYYMM]=CA$4)*(creditcard[Bank]=$A11),creditcard[流通卡數],"")</f>
        <v/>
      </c>
      <c r="CB11" s="172">
        <f t="array" ref="CB11">_xlfn.XLOOKUP(1,(creditcard[YYYYMM]=CB$4)*(creditcard[Bank]=$A11),creditcard[流通卡數],"")</f>
        <v/>
      </c>
      <c r="CC11" s="172">
        <f t="array" ref="CC11">_xlfn.XLOOKUP(1,(creditcard[YYYYMM]=CC$4)*(creditcard[Bank]=$A11),creditcard[流通卡數],"")</f>
        <v/>
      </c>
      <c r="CD11" s="172">
        <f t="array" ref="CD11">_xlfn.XLOOKUP(1,(creditcard[YYYYMM]=CD$4)*(creditcard[Bank]=$A11),creditcard[流通卡數],"")</f>
        <v/>
      </c>
      <c r="CE11" s="172">
        <f t="array" ref="CE11">_xlfn.XLOOKUP(1,(creditcard[YYYYMM]=CE$4)*(creditcard[Bank]=$A11),creditcard[流通卡數],"")</f>
        <v/>
      </c>
      <c r="CF11" s="172">
        <f t="array" ref="CF11">_xlfn.XLOOKUP(1,(creditcard[YYYYMM]=CF$4)*(creditcard[Bank]=$A11),creditcard[流通卡數],"")</f>
        <v/>
      </c>
      <c r="CG11" s="172">
        <f t="array" ref="CG11">_xlfn.XLOOKUP(1,(creditcard[YYYYMM]=CG$4)*(creditcard[Bank]=$A11),creditcard[流通卡數],"")</f>
        <v/>
      </c>
      <c r="CH11" s="172" t="n"/>
    </row>
    <row r="12">
      <c r="A12" s="174" t="inlineStr">
        <is>
          <t>永豐</t>
        </is>
      </c>
      <c r="B12" s="172" t="n">
        <v>2018273</v>
      </c>
      <c r="C12" s="172" t="n">
        <v>2022117</v>
      </c>
      <c r="D12" s="172" t="n">
        <v>2040570</v>
      </c>
      <c r="E12" s="172" t="n">
        <v>2029359</v>
      </c>
      <c r="F12" s="172" t="n">
        <v>2039844</v>
      </c>
      <c r="G12" s="172" t="n">
        <v>2051642</v>
      </c>
      <c r="H12" s="172" t="n">
        <v>2084392</v>
      </c>
      <c r="I12" s="172" t="n">
        <v>2100084</v>
      </c>
      <c r="J12" s="172" t="n">
        <v>2118026</v>
      </c>
      <c r="K12" s="172" t="n">
        <v>2075987</v>
      </c>
      <c r="L12" s="172" t="n">
        <v>2078829</v>
      </c>
      <c r="M12" s="172" t="n">
        <v>2062091</v>
      </c>
      <c r="N12" s="172" t="n">
        <v>2067816</v>
      </c>
      <c r="O12" s="172" t="n">
        <v>2078893</v>
      </c>
      <c r="P12" s="172" t="n">
        <v>2094336</v>
      </c>
      <c r="Q12" s="172" t="n">
        <v>2108374</v>
      </c>
      <c r="R12" s="172" t="n">
        <v>2117362</v>
      </c>
      <c r="S12" s="172" t="n">
        <v>2122821</v>
      </c>
      <c r="T12" s="172" t="n">
        <v>2133392</v>
      </c>
      <c r="U12" s="172" t="n">
        <v>2139947</v>
      </c>
      <c r="V12" s="172" t="n">
        <v>2146678</v>
      </c>
      <c r="W12" s="172" t="n">
        <v>2153038</v>
      </c>
      <c r="X12" s="172" t="n">
        <v>2162649</v>
      </c>
      <c r="Y12" s="172" t="n">
        <v>2170771</v>
      </c>
      <c r="Z12" s="172" t="n">
        <v>2181934</v>
      </c>
      <c r="AA12" s="172" t="n">
        <v>2193650</v>
      </c>
      <c r="AB12" s="172" t="n">
        <v>2218092</v>
      </c>
      <c r="AC12" s="172" t="n">
        <v>2227849</v>
      </c>
      <c r="AD12" s="172" t="n">
        <v>2234657</v>
      </c>
      <c r="AE12" s="172" t="n">
        <v>2242814</v>
      </c>
      <c r="AF12" s="172" t="n">
        <v>2233765</v>
      </c>
      <c r="AG12" s="172" t="n">
        <v>2246011</v>
      </c>
      <c r="AH12" s="172" t="n">
        <v>2254989</v>
      </c>
      <c r="AI12" s="172" t="n">
        <v>2262637</v>
      </c>
      <c r="AJ12" s="172" t="n">
        <v>2264911</v>
      </c>
      <c r="AK12" s="172" t="n">
        <v>2270707</v>
      </c>
      <c r="AL12" s="172" t="n">
        <v>2282610</v>
      </c>
      <c r="AM12" s="172" t="n">
        <v>2297443</v>
      </c>
      <c r="AN12" s="172" t="n">
        <v>2291349</v>
      </c>
      <c r="AO12" s="172" t="n">
        <v>2287091</v>
      </c>
      <c r="AP12" s="172" t="n">
        <v>2293273</v>
      </c>
      <c r="AQ12" s="172" t="n">
        <v>2298947</v>
      </c>
      <c r="AR12" s="172" t="n">
        <v>2289131</v>
      </c>
      <c r="AS12" s="172" t="n">
        <v>2299030</v>
      </c>
      <c r="AT12" s="172" t="n">
        <v>2269014</v>
      </c>
      <c r="AU12" s="172" t="n">
        <v>2201759</v>
      </c>
      <c r="AV12" s="172" t="n">
        <v>2204769</v>
      </c>
      <c r="AW12" s="172" t="n">
        <v>2208497</v>
      </c>
      <c r="AX12" s="172" t="n">
        <v>2217155</v>
      </c>
      <c r="AY12" s="172" t="n">
        <v>2222178</v>
      </c>
      <c r="AZ12" s="172" t="n">
        <v>2231267</v>
      </c>
      <c r="BA12" s="172" t="n">
        <v>2242177</v>
      </c>
      <c r="BB12" s="172" t="n">
        <v>2250886</v>
      </c>
      <c r="BC12" s="172" t="n">
        <v>2258591</v>
      </c>
      <c r="BD12" s="173" t="n">
        <v>2246884</v>
      </c>
      <c r="BE12" s="172" t="n">
        <v>2197531</v>
      </c>
      <c r="BF12" s="173" t="n">
        <v>2152568</v>
      </c>
      <c r="BG12" s="172" t="n">
        <v>2164599</v>
      </c>
      <c r="BH12" s="172" t="n">
        <v>2165796</v>
      </c>
      <c r="BI12" s="172" t="n">
        <v>2238632</v>
      </c>
      <c r="BJ12" s="172" t="n">
        <v>2297171</v>
      </c>
      <c r="BK12" s="172" t="n">
        <v>2331423</v>
      </c>
      <c r="BL12" s="172" t="n">
        <v>2353934</v>
      </c>
      <c r="BM12" s="172" t="n">
        <v>2370703</v>
      </c>
      <c r="BN12" s="172" t="n">
        <v>2385042</v>
      </c>
      <c r="BO12" s="172" t="n">
        <v>2398255</v>
      </c>
      <c r="BP12" s="172" t="n">
        <v>2417555</v>
      </c>
      <c r="BQ12" s="172" t="n">
        <v>2432150</v>
      </c>
      <c r="BR12" s="172" t="n">
        <v>2446109</v>
      </c>
      <c r="BS12" s="172" t="n">
        <v>2458266</v>
      </c>
      <c r="BT12" s="172" t="n">
        <v>2468090</v>
      </c>
      <c r="BU12" s="172" t="n">
        <v>2478579</v>
      </c>
      <c r="BV12" s="172">
        <f t="array" ref="BV12">_xlfn.XLOOKUP(1,(creditcard[YYYYMM]=BV$4)*(creditcard[Bank]=$A12),creditcard[流通卡數])</f>
        <v/>
      </c>
      <c r="BW12" s="172">
        <f t="array" ref="BW12">_xlfn.XLOOKUP(1,(creditcard[YYYYMM]=BW$4)*(creditcard[Bank]=$A12),creditcard[流通卡數])</f>
        <v/>
      </c>
      <c r="BX12" s="172">
        <f t="array" ref="BX12">_xlfn.XLOOKUP(1,(creditcard[YYYYMM]=BX$4)*(creditcard[Bank]=$A12),creditcard[流通卡數])</f>
        <v/>
      </c>
      <c r="BY12" s="172">
        <f t="array" ref="BY12">_xlfn.XLOOKUP(1,(creditcard[YYYYMM]=BY$4)*(creditcard[Bank]=$A12),creditcard[流通卡數],"")</f>
        <v/>
      </c>
      <c r="BZ12" s="172">
        <f t="array" ref="BZ12">_xlfn.XLOOKUP(1,(creditcard[YYYYMM]=BZ$4)*(creditcard[Bank]=$A12),creditcard[流通卡數],"")</f>
        <v/>
      </c>
      <c r="CA12" s="172">
        <f t="array" ref="CA12">_xlfn.XLOOKUP(1,(creditcard[YYYYMM]=CA$4)*(creditcard[Bank]=$A12),creditcard[流通卡數],"")</f>
        <v/>
      </c>
      <c r="CB12" s="172">
        <f t="array" ref="CB12">_xlfn.XLOOKUP(1,(creditcard[YYYYMM]=CB$4)*(creditcard[Bank]=$A12),creditcard[流通卡數],"")</f>
        <v/>
      </c>
      <c r="CC12" s="172">
        <f t="array" ref="CC12">_xlfn.XLOOKUP(1,(creditcard[YYYYMM]=CC$4)*(creditcard[Bank]=$A12),creditcard[流通卡數],"")</f>
        <v/>
      </c>
      <c r="CD12" s="172">
        <f t="array" ref="CD12">_xlfn.XLOOKUP(1,(creditcard[YYYYMM]=CD$4)*(creditcard[Bank]=$A12),creditcard[流通卡數],"")</f>
        <v/>
      </c>
      <c r="CE12" s="172">
        <f t="array" ref="CE12">_xlfn.XLOOKUP(1,(creditcard[YYYYMM]=CE$4)*(creditcard[Bank]=$A12),creditcard[流通卡數],"")</f>
        <v/>
      </c>
      <c r="CF12" s="172">
        <f t="array" ref="CF12">_xlfn.XLOOKUP(1,(creditcard[YYYYMM]=CF$4)*(creditcard[Bank]=$A12),creditcard[流通卡數],"")</f>
        <v/>
      </c>
      <c r="CG12" s="172">
        <f t="array" ref="CG12">_xlfn.XLOOKUP(1,(creditcard[YYYYMM]=CG$4)*(creditcard[Bank]=$A12),creditcard[流通卡數],"")</f>
        <v/>
      </c>
      <c r="CH12" s="172" t="n"/>
    </row>
    <row r="13">
      <c r="A13" s="174" t="inlineStr">
        <is>
          <t>第一</t>
        </is>
      </c>
      <c r="B13" s="172" t="n">
        <v>1216859</v>
      </c>
      <c r="C13" s="172" t="n">
        <v>1221089</v>
      </c>
      <c r="D13" s="172" t="n">
        <v>1229741</v>
      </c>
      <c r="E13" s="172" t="n">
        <v>1237542</v>
      </c>
      <c r="F13" s="172" t="n">
        <v>1246224</v>
      </c>
      <c r="G13" s="172" t="n">
        <v>1253237</v>
      </c>
      <c r="H13" s="172" t="n">
        <v>1273378</v>
      </c>
      <c r="I13" s="172" t="n">
        <v>1257813</v>
      </c>
      <c r="J13" s="172" t="n">
        <v>1263792</v>
      </c>
      <c r="K13" s="172" t="n">
        <v>1270702</v>
      </c>
      <c r="L13" s="172" t="n">
        <v>1276633</v>
      </c>
      <c r="M13" s="172" t="n">
        <v>1280384</v>
      </c>
      <c r="N13" s="172" t="n">
        <v>1281572</v>
      </c>
      <c r="O13" s="172" t="n">
        <v>1284233</v>
      </c>
      <c r="P13" s="172" t="n">
        <v>1317601</v>
      </c>
      <c r="Q13" s="172" t="n">
        <v>1347687</v>
      </c>
      <c r="R13" s="172" t="n">
        <v>1364554</v>
      </c>
      <c r="S13" s="172" t="n">
        <v>1367687</v>
      </c>
      <c r="T13" s="172" t="n">
        <v>1371656</v>
      </c>
      <c r="U13" s="172" t="n">
        <v>1380226</v>
      </c>
      <c r="V13" s="172" t="n">
        <v>1391351</v>
      </c>
      <c r="W13" s="172" t="n">
        <v>1400364</v>
      </c>
      <c r="X13" s="172" t="n">
        <v>1413009</v>
      </c>
      <c r="Y13" s="172" t="n">
        <v>1413713</v>
      </c>
      <c r="Z13" s="172" t="n">
        <v>1427069</v>
      </c>
      <c r="AA13" s="172" t="n">
        <v>1435184</v>
      </c>
      <c r="AB13" s="172" t="n">
        <v>1448090</v>
      </c>
      <c r="AC13" s="172" t="n">
        <v>1458140</v>
      </c>
      <c r="AD13" s="172" t="n">
        <v>1466546</v>
      </c>
      <c r="AE13" s="172" t="n">
        <v>1473641</v>
      </c>
      <c r="AF13" s="172" t="n">
        <v>1481323</v>
      </c>
      <c r="AG13" s="172" t="n">
        <v>1486516</v>
      </c>
      <c r="AH13" s="172" t="n">
        <v>1488643</v>
      </c>
      <c r="AI13" s="172" t="n">
        <v>1490463</v>
      </c>
      <c r="AJ13" s="172" t="n">
        <v>1496464</v>
      </c>
      <c r="AK13" s="172" t="n">
        <v>1499813</v>
      </c>
      <c r="AL13" s="172" t="n">
        <v>1502082</v>
      </c>
      <c r="AM13" s="172" t="n">
        <v>1507473</v>
      </c>
      <c r="AN13" s="172" t="n">
        <v>1517413</v>
      </c>
      <c r="AO13" s="172" t="n">
        <v>1521755</v>
      </c>
      <c r="AP13" s="172" t="n">
        <v>1528314</v>
      </c>
      <c r="AQ13" s="172" t="n">
        <v>1534262</v>
      </c>
      <c r="AR13" s="172" t="n">
        <v>1533894</v>
      </c>
      <c r="AS13" s="172" t="n">
        <v>1541350</v>
      </c>
      <c r="AT13" s="172" t="n">
        <v>1546869</v>
      </c>
      <c r="AU13" s="172" t="n">
        <v>1551574</v>
      </c>
      <c r="AV13" s="172" t="n">
        <v>1556110</v>
      </c>
      <c r="AW13" s="172" t="n">
        <v>1560245</v>
      </c>
      <c r="AX13" s="172" t="n">
        <v>1568718</v>
      </c>
      <c r="AY13" s="172" t="n">
        <v>1574030</v>
      </c>
      <c r="AZ13" s="172" t="n">
        <v>1537657</v>
      </c>
      <c r="BA13" s="172" t="n">
        <v>1510972</v>
      </c>
      <c r="BB13" s="172" t="n">
        <v>1513450</v>
      </c>
      <c r="BC13" s="172" t="n">
        <v>1528844</v>
      </c>
      <c r="BD13" s="173" t="n">
        <v>1532797</v>
      </c>
      <c r="BE13" s="172" t="n">
        <v>1536134</v>
      </c>
      <c r="BF13" s="173" t="n">
        <v>1532848</v>
      </c>
      <c r="BG13" s="172" t="n">
        <v>1531068</v>
      </c>
      <c r="BH13" s="172" t="n">
        <v>1478103</v>
      </c>
      <c r="BI13" s="172" t="n">
        <v>1474945</v>
      </c>
      <c r="BJ13" s="172" t="n">
        <v>1475586</v>
      </c>
      <c r="BK13" s="172" t="n">
        <v>1480907</v>
      </c>
      <c r="BL13" s="172" t="n">
        <v>1487876</v>
      </c>
      <c r="BM13" s="172" t="n">
        <v>1493448</v>
      </c>
      <c r="BN13" s="172" t="n">
        <v>1498099</v>
      </c>
      <c r="BO13" s="172" t="n">
        <v>1502440</v>
      </c>
      <c r="BP13" s="172" t="n">
        <v>1508990</v>
      </c>
      <c r="BQ13" s="172" t="n">
        <v>1515684</v>
      </c>
      <c r="BR13" s="172" t="n">
        <v>1521089</v>
      </c>
      <c r="BS13" s="172" t="n">
        <v>1525439</v>
      </c>
      <c r="BT13" s="172" t="n">
        <v>1528910</v>
      </c>
      <c r="BU13" s="172" t="n">
        <v>1531235</v>
      </c>
      <c r="BV13" s="172">
        <f t="array" ref="BV13">_xlfn.XLOOKUP(1,(creditcard[YYYYMM]=BV$4)*(creditcard[Bank]=$A13),creditcard[流通卡數])</f>
        <v/>
      </c>
      <c r="BW13" s="172">
        <f t="array" ref="BW13">_xlfn.XLOOKUP(1,(creditcard[YYYYMM]=BW$4)*(creditcard[Bank]=$A13),creditcard[流通卡數])</f>
        <v/>
      </c>
      <c r="BX13" s="172">
        <f t="array" ref="BX13">_xlfn.XLOOKUP(1,(creditcard[YYYYMM]=BX$4)*(creditcard[Bank]=$A13),creditcard[流通卡數])</f>
        <v/>
      </c>
      <c r="BY13" s="172">
        <f t="array" ref="BY13">_xlfn.XLOOKUP(1,(creditcard[YYYYMM]=BY$4)*(creditcard[Bank]=$A13),creditcard[流通卡數],"")</f>
        <v/>
      </c>
      <c r="BZ13" s="172">
        <f t="array" ref="BZ13">_xlfn.XLOOKUP(1,(creditcard[YYYYMM]=BZ$4)*(creditcard[Bank]=$A13),creditcard[流通卡數],"")</f>
        <v/>
      </c>
      <c r="CA13" s="172">
        <f t="array" ref="CA13">_xlfn.XLOOKUP(1,(creditcard[YYYYMM]=CA$4)*(creditcard[Bank]=$A13),creditcard[流通卡數],"")</f>
        <v/>
      </c>
      <c r="CB13" s="172">
        <f t="array" ref="CB13">_xlfn.XLOOKUP(1,(creditcard[YYYYMM]=CB$4)*(creditcard[Bank]=$A13),creditcard[流通卡數],"")</f>
        <v/>
      </c>
      <c r="CC13" s="172">
        <f t="array" ref="CC13">_xlfn.XLOOKUP(1,(creditcard[YYYYMM]=CC$4)*(creditcard[Bank]=$A13),creditcard[流通卡數],"")</f>
        <v/>
      </c>
      <c r="CD13" s="172">
        <f t="array" ref="CD13">_xlfn.XLOOKUP(1,(creditcard[YYYYMM]=CD$4)*(creditcard[Bank]=$A13),creditcard[流通卡數],"")</f>
        <v/>
      </c>
      <c r="CE13" s="172">
        <f t="array" ref="CE13">_xlfn.XLOOKUP(1,(creditcard[YYYYMM]=CE$4)*(creditcard[Bank]=$A13),creditcard[流通卡數],"")</f>
        <v/>
      </c>
      <c r="CF13" s="172">
        <f t="array" ref="CF13">_xlfn.XLOOKUP(1,(creditcard[YYYYMM]=CF$4)*(creditcard[Bank]=$A13),creditcard[流通卡數],"")</f>
        <v/>
      </c>
      <c r="CG13" s="172">
        <f t="array" ref="CG13">_xlfn.XLOOKUP(1,(creditcard[YYYYMM]=CG$4)*(creditcard[Bank]=$A13),creditcard[流通卡數],"")</f>
        <v/>
      </c>
      <c r="CH13" s="172" t="n"/>
    </row>
    <row r="14">
      <c r="A14" s="174" t="inlineStr">
        <is>
          <t>遠東</t>
        </is>
      </c>
      <c r="B14" s="172" t="n">
        <v>1589873</v>
      </c>
      <c r="C14" s="172" t="n">
        <v>1594668</v>
      </c>
      <c r="D14" s="172" t="n">
        <v>1597899</v>
      </c>
      <c r="E14" s="172" t="n">
        <v>1602440</v>
      </c>
      <c r="F14" s="172" t="n">
        <v>1607898</v>
      </c>
      <c r="G14" s="172" t="n">
        <v>1612714</v>
      </c>
      <c r="H14" s="172" t="n">
        <v>1618470</v>
      </c>
      <c r="I14" s="172" t="n">
        <v>1623313</v>
      </c>
      <c r="J14" s="172" t="n">
        <v>1627258</v>
      </c>
      <c r="K14" s="172" t="n">
        <v>1634192</v>
      </c>
      <c r="L14" s="172" t="n">
        <v>1639588</v>
      </c>
      <c r="M14" s="172" t="n">
        <v>1626660</v>
      </c>
      <c r="N14" s="172" t="n">
        <v>1629635</v>
      </c>
      <c r="O14" s="172" t="n">
        <v>1633236</v>
      </c>
      <c r="P14" s="172" t="n">
        <v>1636080</v>
      </c>
      <c r="Q14" s="172" t="n">
        <v>1640412</v>
      </c>
      <c r="R14" s="172" t="n">
        <v>1641408</v>
      </c>
      <c r="S14" s="172" t="n">
        <v>1571331</v>
      </c>
      <c r="T14" s="172" t="n">
        <v>1569002</v>
      </c>
      <c r="U14" s="172" t="n">
        <v>1569110</v>
      </c>
      <c r="V14" s="172" t="n">
        <v>1571458</v>
      </c>
      <c r="W14" s="172" t="n">
        <v>1575535</v>
      </c>
      <c r="X14" s="172" t="n">
        <v>1579888</v>
      </c>
      <c r="Y14" s="172" t="n">
        <v>1547948</v>
      </c>
      <c r="Z14" s="172" t="n">
        <v>1550073</v>
      </c>
      <c r="AA14" s="172" t="n">
        <v>1554848</v>
      </c>
      <c r="AB14" s="172" t="n">
        <v>1564401</v>
      </c>
      <c r="AC14" s="172" t="n">
        <v>1566844</v>
      </c>
      <c r="AD14" s="172" t="n">
        <v>1565813</v>
      </c>
      <c r="AE14" s="172" t="n">
        <v>1567118</v>
      </c>
      <c r="AF14" s="172" t="n">
        <v>1568880</v>
      </c>
      <c r="AG14" s="172" t="n">
        <v>1571364</v>
      </c>
      <c r="AH14" s="172" t="n">
        <v>1573177</v>
      </c>
      <c r="AI14" s="172" t="n">
        <v>1574547</v>
      </c>
      <c r="AJ14" s="172" t="n">
        <v>1573460</v>
      </c>
      <c r="AK14" s="172" t="n">
        <v>1564859</v>
      </c>
      <c r="AL14" s="172" t="n">
        <v>1566611</v>
      </c>
      <c r="AM14" s="172" t="n">
        <v>1564007</v>
      </c>
      <c r="AN14" s="172" t="n">
        <v>1432853</v>
      </c>
      <c r="AO14" s="172" t="n">
        <v>1433355</v>
      </c>
      <c r="AP14" s="172" t="n">
        <v>1434023</v>
      </c>
      <c r="AQ14" s="172" t="n">
        <v>1435109</v>
      </c>
      <c r="AR14" s="172" t="n">
        <v>1438079</v>
      </c>
      <c r="AS14" s="172" t="n">
        <v>1439779</v>
      </c>
      <c r="AT14" s="172" t="n">
        <v>1362893</v>
      </c>
      <c r="AU14" s="172" t="n">
        <v>1359375</v>
      </c>
      <c r="AV14" s="172" t="n">
        <v>1355053</v>
      </c>
      <c r="AW14" s="172" t="n">
        <v>1352688</v>
      </c>
      <c r="AX14" s="172" t="n">
        <v>1353549</v>
      </c>
      <c r="AY14" s="172" t="n">
        <v>1353010</v>
      </c>
      <c r="AZ14" s="172" t="n">
        <v>1352201</v>
      </c>
      <c r="BA14" s="172" t="n">
        <v>1351834</v>
      </c>
      <c r="BB14" s="172" t="n">
        <v>1351660</v>
      </c>
      <c r="BC14" s="172" t="n">
        <v>1351008</v>
      </c>
      <c r="BD14" s="173" t="n">
        <v>1351813</v>
      </c>
      <c r="BE14" s="172" t="n">
        <v>1352996</v>
      </c>
      <c r="BF14" s="173" t="n">
        <v>1354836</v>
      </c>
      <c r="BG14" s="172" t="n">
        <v>1357124</v>
      </c>
      <c r="BH14" s="172" t="n">
        <v>1358281</v>
      </c>
      <c r="BI14" s="172" t="n">
        <v>1356177</v>
      </c>
      <c r="BJ14" s="172" t="n">
        <v>1356785</v>
      </c>
      <c r="BK14" s="172" t="n">
        <v>1357538</v>
      </c>
      <c r="BL14" s="172" t="n">
        <v>1358146</v>
      </c>
      <c r="BM14" s="172" t="n">
        <v>1359511</v>
      </c>
      <c r="BN14" s="172" t="n">
        <v>1360965</v>
      </c>
      <c r="BO14" s="172" t="n">
        <v>1360053</v>
      </c>
      <c r="BP14" s="172" t="n">
        <v>1361053</v>
      </c>
      <c r="BQ14" s="172" t="n">
        <v>1294859</v>
      </c>
      <c r="BR14" s="172" t="n">
        <v>1294614</v>
      </c>
      <c r="BS14" s="172" t="n">
        <v>1293778</v>
      </c>
      <c r="BT14" s="172" t="n">
        <v>1292552</v>
      </c>
      <c r="BU14" s="172" t="n">
        <v>1290052</v>
      </c>
      <c r="BV14" s="172">
        <f t="array" ref="BV14">_xlfn.XLOOKUP(1,(creditcard[YYYYMM]=BV$4)*(creditcard[Bank]=$A14),creditcard[流通卡數])</f>
        <v/>
      </c>
      <c r="BW14" s="172">
        <f t="array" ref="BW14">_xlfn.XLOOKUP(1,(creditcard[YYYYMM]=BW$4)*(creditcard[Bank]=$A14),creditcard[流通卡數])</f>
        <v/>
      </c>
      <c r="BX14" s="172">
        <f t="array" ref="BX14">_xlfn.XLOOKUP(1,(creditcard[YYYYMM]=BX$4)*(creditcard[Bank]=$A14),creditcard[流通卡數])</f>
        <v/>
      </c>
      <c r="BY14" s="172">
        <f t="array" ref="BY14">_xlfn.XLOOKUP(1,(creditcard[YYYYMM]=BY$4)*(creditcard[Bank]=$A14),creditcard[流通卡數],"")</f>
        <v/>
      </c>
      <c r="BZ14" s="172">
        <f t="array" ref="BZ14">_xlfn.XLOOKUP(1,(creditcard[YYYYMM]=BZ$4)*(creditcard[Bank]=$A14),creditcard[流通卡數],"")</f>
        <v/>
      </c>
      <c r="CA14" s="172">
        <f t="array" ref="CA14">_xlfn.XLOOKUP(1,(creditcard[YYYYMM]=CA$4)*(creditcard[Bank]=$A14),creditcard[流通卡數],"")</f>
        <v/>
      </c>
      <c r="CB14" s="172">
        <f t="array" ref="CB14">_xlfn.XLOOKUP(1,(creditcard[YYYYMM]=CB$4)*(creditcard[Bank]=$A14),creditcard[流通卡數],"")</f>
        <v/>
      </c>
      <c r="CC14" s="172">
        <f t="array" ref="CC14">_xlfn.XLOOKUP(1,(creditcard[YYYYMM]=CC$4)*(creditcard[Bank]=$A14),creditcard[流通卡數],"")</f>
        <v/>
      </c>
      <c r="CD14" s="172">
        <f t="array" ref="CD14">_xlfn.XLOOKUP(1,(creditcard[YYYYMM]=CD$4)*(creditcard[Bank]=$A14),creditcard[流通卡數],"")</f>
        <v/>
      </c>
      <c r="CE14" s="172">
        <f t="array" ref="CE14">_xlfn.XLOOKUP(1,(creditcard[YYYYMM]=CE$4)*(creditcard[Bank]=$A14),creditcard[流通卡數],"")</f>
        <v/>
      </c>
      <c r="CF14" s="172">
        <f t="array" ref="CF14">_xlfn.XLOOKUP(1,(creditcard[YYYYMM]=CF$4)*(creditcard[Bank]=$A14),creditcard[流通卡數],"")</f>
        <v/>
      </c>
      <c r="CG14" s="172">
        <f t="array" ref="CG14">_xlfn.XLOOKUP(1,(creditcard[YYYYMM]=CG$4)*(creditcard[Bank]=$A14),creditcard[流通卡數],"")</f>
        <v/>
      </c>
      <c r="CH14" s="172" t="n"/>
    </row>
    <row r="15">
      <c r="A15" s="170" t="inlineStr">
        <is>
          <t>市場總計</t>
        </is>
      </c>
      <c r="B15" s="170" t="n">
        <v>47732308</v>
      </c>
      <c r="C15" s="170" t="n">
        <v>48024659</v>
      </c>
      <c r="D15" s="170" t="n">
        <v>48322728</v>
      </c>
      <c r="E15" s="170" t="n">
        <v>48498978</v>
      </c>
      <c r="F15" s="170" t="n">
        <v>48680316</v>
      </c>
      <c r="G15" s="170" t="n">
        <v>48798960</v>
      </c>
      <c r="H15" s="170" t="n">
        <v>49148541</v>
      </c>
      <c r="I15" s="170" t="n">
        <v>49388837</v>
      </c>
      <c r="J15" s="170" t="n">
        <v>49665526</v>
      </c>
      <c r="K15" s="170" t="n">
        <v>49790612</v>
      </c>
      <c r="L15" s="170" t="n">
        <v>49972268</v>
      </c>
      <c r="M15" s="170" t="n">
        <v>50116397</v>
      </c>
      <c r="N15" s="170" t="n">
        <v>50330848</v>
      </c>
      <c r="O15" s="170" t="n">
        <v>50517901</v>
      </c>
      <c r="P15" s="170" t="n">
        <v>50800825</v>
      </c>
      <c r="Q15" s="170" t="n">
        <v>51087142</v>
      </c>
      <c r="R15" s="170" t="n">
        <v>51291080</v>
      </c>
      <c r="S15" s="170" t="n">
        <v>51200815</v>
      </c>
      <c r="T15" s="170" t="n">
        <v>51336062</v>
      </c>
      <c r="U15" s="170" t="n">
        <v>51568891</v>
      </c>
      <c r="V15" s="170" t="n">
        <v>51867024</v>
      </c>
      <c r="W15" s="170" t="n">
        <v>52136111</v>
      </c>
      <c r="X15" s="170" t="n">
        <v>52402819</v>
      </c>
      <c r="Y15" s="170" t="n">
        <v>52629916</v>
      </c>
      <c r="Z15" s="170" t="n">
        <v>52853092</v>
      </c>
      <c r="AA15" s="175" t="n">
        <v>53010452</v>
      </c>
      <c r="AB15" s="175" t="n">
        <v>53235175</v>
      </c>
      <c r="AC15" s="175" t="n">
        <v>52688370</v>
      </c>
      <c r="AD15" s="175" t="n">
        <v>52888484</v>
      </c>
      <c r="AE15" s="175" t="n">
        <v>53131791</v>
      </c>
      <c r="AF15" s="175" t="n">
        <v>54166677</v>
      </c>
      <c r="AG15" s="175" t="n">
        <v>54414688</v>
      </c>
      <c r="AH15" s="175" t="n">
        <v>54634348</v>
      </c>
      <c r="AI15" s="175" t="n">
        <v>54850257</v>
      </c>
      <c r="AJ15" s="175" t="n">
        <v>55084077</v>
      </c>
      <c r="AK15" s="175" t="n">
        <v>56243776</v>
      </c>
      <c r="AL15" s="170" t="n">
        <v>56648102</v>
      </c>
      <c r="AM15" s="175" t="n">
        <v>57749578</v>
      </c>
      <c r="AN15" s="175" t="n">
        <v>58706029</v>
      </c>
      <c r="AO15" s="175" t="n">
        <v>59060934</v>
      </c>
      <c r="AP15" s="175" t="n">
        <v>59602769</v>
      </c>
      <c r="AQ15" s="175" t="n">
        <v>59860433</v>
      </c>
      <c r="AR15" s="175" t="n">
        <v>60465096</v>
      </c>
      <c r="AS15" s="175" t="n">
        <v>57665117</v>
      </c>
      <c r="AT15" s="175" t="n">
        <v>57793833</v>
      </c>
      <c r="AU15" s="175" t="n">
        <v>57789961</v>
      </c>
      <c r="AV15" s="175" t="n">
        <v>57961540</v>
      </c>
      <c r="AW15" s="175" t="n">
        <v>58116021</v>
      </c>
      <c r="AX15" s="175" t="n">
        <v>58799464</v>
      </c>
      <c r="AY15" s="175" t="n">
        <v>58866498</v>
      </c>
      <c r="AZ15" s="175" t="n">
        <v>58913203</v>
      </c>
      <c r="BA15" s="175" t="n">
        <v>58965522</v>
      </c>
      <c r="BB15" s="175" t="n">
        <v>59039098</v>
      </c>
      <c r="BC15" s="175" t="n">
        <v>58874035</v>
      </c>
      <c r="BD15" s="175" t="n">
        <v>58581705</v>
      </c>
      <c r="BE15" s="175" t="n">
        <v>58690696</v>
      </c>
      <c r="BF15" s="175" t="n">
        <v>58596279</v>
      </c>
      <c r="BG15" s="175" t="n">
        <v>58655885</v>
      </c>
      <c r="BH15" s="175" t="n">
        <v>58617119</v>
      </c>
      <c r="BI15" s="175" t="n">
        <v>58584971</v>
      </c>
      <c r="BJ15" s="175" t="n">
        <v>58654745</v>
      </c>
      <c r="BK15" s="170" t="n">
        <v>58747562</v>
      </c>
      <c r="BL15" s="170" t="n">
        <v>58994262</v>
      </c>
      <c r="BM15" s="175" t="n">
        <v>59388667</v>
      </c>
      <c r="BN15" s="175" t="n">
        <v>59795907</v>
      </c>
      <c r="BO15" s="175" t="n">
        <v>59869255</v>
      </c>
      <c r="BP15" s="175" t="n">
        <v>59947219</v>
      </c>
      <c r="BQ15" s="175" t="n">
        <v>60149284</v>
      </c>
      <c r="BR15" s="175" t="n">
        <v>60354497</v>
      </c>
      <c r="BS15" s="175" t="n">
        <v>60479206</v>
      </c>
      <c r="BT15" s="175" t="n">
        <v>60424521</v>
      </c>
      <c r="BU15" s="175" t="n">
        <v>60485911</v>
      </c>
      <c r="BV15" s="175">
        <f t="array" ref="BV15">_xlfn.XLOOKUP(1,(creditcard[YYYYMM]=BV$4)*(creditcard[Bank]=$A15),creditcard[流通卡數])</f>
        <v/>
      </c>
      <c r="BW15" s="175">
        <f t="array" ref="BW15">_xlfn.XLOOKUP(1,(creditcard[YYYYMM]=BW$4)*(creditcard[Bank]=$A15),creditcard[流通卡數])</f>
        <v/>
      </c>
      <c r="BX15" s="175">
        <f t="array" ref="BX15">_xlfn.XLOOKUP(1,(creditcard[YYYYMM]=BX$4)*(creditcard[Bank]=$A15),creditcard[流通卡數])</f>
        <v/>
      </c>
      <c r="BY15" s="175">
        <f t="array" ref="BY15">_xlfn.XLOOKUP(1,(creditcard[YYYYMM]=BY$4)*(creditcard[Bank]=$A15),creditcard[流通卡數],"")</f>
        <v/>
      </c>
      <c r="BZ15" s="175">
        <f t="array" ref="BZ15">_xlfn.XLOOKUP(1,(creditcard[YYYYMM]=BZ$4)*(creditcard[Bank]=$A15),creditcard[流通卡數],"")</f>
        <v/>
      </c>
      <c r="CA15" s="175">
        <f t="array" ref="CA15">_xlfn.XLOOKUP(1,(creditcard[YYYYMM]=CA$4)*(creditcard[Bank]=$A15),creditcard[流通卡數],"")</f>
        <v/>
      </c>
      <c r="CB15" s="175">
        <f t="array" ref="CB15">_xlfn.XLOOKUP(1,(creditcard[YYYYMM]=CB$4)*(creditcard[Bank]=$A15),creditcard[流通卡數],"")</f>
        <v/>
      </c>
      <c r="CC15" s="175">
        <f t="array" ref="CC15">_xlfn.XLOOKUP(1,(creditcard[YYYYMM]=CC$4)*(creditcard[Bank]=$A15),creditcard[流通卡數],"")</f>
        <v/>
      </c>
      <c r="CD15" s="175">
        <f t="array" ref="CD15">_xlfn.XLOOKUP(1,(creditcard[YYYYMM]=CD$4)*(creditcard[Bank]=$A15),creditcard[流通卡數],"")</f>
        <v/>
      </c>
      <c r="CE15" s="175">
        <f t="array" ref="CE15">_xlfn.XLOOKUP(1,(creditcard[YYYYMM]=CE$4)*(creditcard[Bank]=$A15),creditcard[流通卡數],"")</f>
        <v/>
      </c>
      <c r="CF15" s="175">
        <f t="array" ref="CF15">_xlfn.XLOOKUP(1,(creditcard[YYYYMM]=CF$4)*(creditcard[Bank]=$A15),creditcard[流通卡數],"")</f>
        <v/>
      </c>
      <c r="CG15" s="175">
        <f t="array" ref="CG15">_xlfn.XLOOKUP(1,(creditcard[YYYYMM]=CG$4)*(creditcard[Bank]=$A15),creditcard[流通卡數],"")</f>
        <v/>
      </c>
      <c r="CH15" s="172" t="n"/>
    </row>
    <row r="16" ht="12.75" customFormat="1" customHeight="1" s="73">
      <c r="A16" s="176" t="inlineStr">
        <is>
          <t>TOP5</t>
        </is>
      </c>
      <c r="B16" s="177">
        <f>IFERROR(SUM(B5:B9)/B15,"")</f>
        <v/>
      </c>
      <c r="C16" s="177">
        <f>IFERROR(SUM(C5:C9)/C15,"")</f>
        <v/>
      </c>
      <c r="D16" s="177">
        <f>IFERROR(SUM(D5:D9)/D15,"")</f>
        <v/>
      </c>
      <c r="E16" s="177">
        <f>IFERROR(SUM(E5:E9)/E15,"")</f>
        <v/>
      </c>
      <c r="F16" s="177">
        <f>IFERROR(SUM(F5:F9)/F15,"")</f>
        <v/>
      </c>
      <c r="G16" s="177">
        <f>IFERROR(SUM(G5:G9)/G15,"")</f>
        <v/>
      </c>
      <c r="H16" s="177">
        <f>IFERROR(SUM(H5:H9)/H15,"")</f>
        <v/>
      </c>
      <c r="I16" s="177">
        <f>IFERROR(SUM(I5:I9)/I15,"")</f>
        <v/>
      </c>
      <c r="J16" s="177">
        <f>IFERROR(SUM(J5:J9)/J15,"")</f>
        <v/>
      </c>
      <c r="K16" s="177">
        <f>IFERROR(SUM(K5:K9)/K15,"")</f>
        <v/>
      </c>
      <c r="L16" s="177">
        <f>IFERROR(SUM(L5:L9)/L15,"")</f>
        <v/>
      </c>
      <c r="M16" s="177">
        <f>IFERROR(SUM(M5:M9)/M15,"")</f>
        <v/>
      </c>
      <c r="N16" s="177">
        <f>IFERROR(SUM(N5:N9)/N15,"")</f>
        <v/>
      </c>
      <c r="O16" s="177">
        <f>IFERROR(SUM(O5:O9)/O15,"")</f>
        <v/>
      </c>
      <c r="P16" s="177">
        <f>IFERROR(SUM(P5:P9)/P15,"")</f>
        <v/>
      </c>
      <c r="Q16" s="177">
        <f>IFERROR(SUM(Q5:Q9)/Q15,"")</f>
        <v/>
      </c>
      <c r="R16" s="177">
        <f>IFERROR(SUM(R5:R9)/R15,"")</f>
        <v/>
      </c>
      <c r="S16" s="177">
        <f>IFERROR(SUM(S5:S9)/S15,"")</f>
        <v/>
      </c>
      <c r="T16" s="177">
        <f>IFERROR(SUM(T5:T9)/T15,"")</f>
        <v/>
      </c>
      <c r="U16" s="177">
        <f>IFERROR(SUM(U5:U9)/U15,"")</f>
        <v/>
      </c>
      <c r="V16" s="177">
        <f>IFERROR(SUM(V5:V9)/V15,"")</f>
        <v/>
      </c>
      <c r="W16" s="177">
        <f>IFERROR(SUM(W5:W9)/W15,"")</f>
        <v/>
      </c>
      <c r="X16" s="177">
        <f>IFERROR(SUM(X5:X9)/X15,"")</f>
        <v/>
      </c>
      <c r="Y16" s="177">
        <f>IFERROR(SUM(Y5:Y9)/Y15,"")</f>
        <v/>
      </c>
      <c r="Z16" s="177">
        <f>IFERROR(SUM(Z5:Z9)/Z15,"")</f>
        <v/>
      </c>
      <c r="AA16" s="177">
        <f>IFERROR(SUM(AA5:AA9)/AA15,"")</f>
        <v/>
      </c>
      <c r="AB16" s="177">
        <f>IFERROR(SUM(AB5:AB9)/AB15,"")</f>
        <v/>
      </c>
      <c r="AC16" s="177">
        <f>IFERROR(SUM(AC5:AC9)/AC15,"")</f>
        <v/>
      </c>
      <c r="AD16" s="177">
        <f>IFERROR(SUM(AD5:AD9)/AD15,"")</f>
        <v/>
      </c>
      <c r="AE16" s="177">
        <f>IFERROR(SUM(AE5:AE9)/AE15,"")</f>
        <v/>
      </c>
      <c r="AF16" s="177">
        <f>IFERROR(SUM(AF5:AF9)/AF15,"")</f>
        <v/>
      </c>
      <c r="AG16" s="177">
        <f>IFERROR(SUM(AG5:AG9)/AG15,"")</f>
        <v/>
      </c>
      <c r="AH16" s="177">
        <f>IFERROR(SUM(AH5:AH9)/AH15,"")</f>
        <v/>
      </c>
      <c r="AI16" s="177">
        <f>IFERROR(SUM(AI5:AI9)/AI15,"")</f>
        <v/>
      </c>
      <c r="AJ16" s="177">
        <f>IFERROR(SUM(AJ5:AJ9)/AJ15,"")</f>
        <v/>
      </c>
      <c r="AK16" s="177">
        <f>IFERROR(SUM(AK5:AK9)/AK15,"")</f>
        <v/>
      </c>
      <c r="AL16" s="177">
        <f>IFERROR(SUM(AL5:AL9)/AL15,"")</f>
        <v/>
      </c>
      <c r="AM16" s="177">
        <f>IFERROR(SUM(AM5:AM9)/AM15,"")</f>
        <v/>
      </c>
      <c r="AN16" s="177">
        <f>IFERROR(SUM(AN5:AN9)/AN15,"")</f>
        <v/>
      </c>
      <c r="AO16" s="177">
        <f>IFERROR(SUM(AO5:AO9)/AO15,"")</f>
        <v/>
      </c>
      <c r="AP16" s="177">
        <f>IFERROR(SUM(AP5:AP9)/AP15,"")</f>
        <v/>
      </c>
      <c r="AQ16" s="177">
        <f>IFERROR(SUM(AQ5:AQ9)/AQ15,"")</f>
        <v/>
      </c>
      <c r="AR16" s="177">
        <f>IFERROR(SUM(AR5:AR9)/AR15,"")</f>
        <v/>
      </c>
      <c r="AS16" s="177">
        <f>IFERROR(SUM(AS5:AS9)/AS15,"")</f>
        <v/>
      </c>
      <c r="AT16" s="177">
        <f>IFERROR(SUM(AT5:AT9)/AT15,"")</f>
        <v/>
      </c>
      <c r="AU16" s="177">
        <f>IFERROR(SUM(AU5:AU9)/AU15,"")</f>
        <v/>
      </c>
      <c r="AV16" s="177">
        <f>IFERROR(SUM(AV5:AV9)/AV15,"")</f>
        <v/>
      </c>
      <c r="AW16" s="177">
        <f>IFERROR(SUM(AW5:AW9)/AW15,"")</f>
        <v/>
      </c>
      <c r="AX16" s="177">
        <f>IFERROR(SUM(AX5:AX9)/AX15,"")</f>
        <v/>
      </c>
      <c r="AY16" s="177">
        <f>IFERROR(SUM(AY5:AY9)/AY15,"")</f>
        <v/>
      </c>
      <c r="AZ16" s="177">
        <f>IFERROR(SUM(AZ5:AZ9)/AZ15,"")</f>
        <v/>
      </c>
      <c r="BA16" s="177">
        <f>IFERROR(SUM(BA5:BA9)/BA15,"")</f>
        <v/>
      </c>
      <c r="BB16" s="177">
        <f>IFERROR(SUM(BB5:BB9)/BB15,"")</f>
        <v/>
      </c>
      <c r="BC16" s="177">
        <f>IFERROR(SUM(BC5:BC9)/BC15,"")</f>
        <v/>
      </c>
      <c r="BD16" s="177">
        <f>IFERROR(SUM(BD5:BD9)/BD15,"")</f>
        <v/>
      </c>
      <c r="BE16" s="177">
        <f>IFERROR(SUM(BE5:BE9)/BE15,"")</f>
        <v/>
      </c>
      <c r="BF16" s="177">
        <f>IFERROR(SUM(BF5:BF9)/BF15,"")</f>
        <v/>
      </c>
      <c r="BG16" s="177">
        <f>IFERROR(SUM(BG5:BG9)/BG15,"")</f>
        <v/>
      </c>
      <c r="BH16" s="177">
        <f>IFERROR(SUM(BH5:BH9)/BH15,"")</f>
        <v/>
      </c>
      <c r="BI16" s="177">
        <f>IFERROR(SUM(BI5:BI9)/BI15,"")</f>
        <v/>
      </c>
      <c r="BJ16" s="177">
        <f>IFERROR(SUM(BJ5:BJ9)/BJ15,"")</f>
        <v/>
      </c>
      <c r="BK16" s="177">
        <f>IFERROR(SUM(BK5:BK9)/BK15,"")</f>
        <v/>
      </c>
      <c r="BL16" s="177">
        <f>IFERROR(SUM(BL5:BL9)/BL15,"")</f>
        <v/>
      </c>
      <c r="BM16" s="177">
        <f>IFERROR(SUM(BM5:BM9)/BM15,"")</f>
        <v/>
      </c>
      <c r="BN16" s="177">
        <f>IFERROR(SUM(BN5:BN9)/BN15,"")</f>
        <v/>
      </c>
      <c r="BO16" s="177">
        <f>IFERROR(SUM(BO5:BO9)/BO15,"")</f>
        <v/>
      </c>
      <c r="BP16" s="177">
        <f>IFERROR(SUM(BP5:BP9)/BP15,"")</f>
        <v/>
      </c>
      <c r="BQ16" s="177">
        <f>IFERROR(SUM(BQ5:BQ9)/BQ15,"")</f>
        <v/>
      </c>
      <c r="BR16" s="177">
        <f>IFERROR(SUM(BR5:BR9)/BR15,"")</f>
        <v/>
      </c>
      <c r="BS16" s="177">
        <f>IFERROR(SUM(BS5:BS9)/BS15,"")</f>
        <v/>
      </c>
      <c r="BT16" s="177">
        <f>IFERROR(SUM(BT5:BT9)/BT15,"")</f>
        <v/>
      </c>
      <c r="BU16" s="177">
        <f>IFERROR(SUM(BU5:BU9)/BU15,"")</f>
        <v/>
      </c>
      <c r="BV16" s="177">
        <f>IFERROR(SUM(BV5:BV9)/BV15,"")</f>
        <v/>
      </c>
      <c r="BW16" s="177">
        <f>IFERROR(SUM(BW5:BW9)/BW15,"")</f>
        <v/>
      </c>
      <c r="BX16" s="177">
        <f>IFERROR(SUM(BX5:BX9)/BX15,"")</f>
        <v/>
      </c>
      <c r="BY16" s="177">
        <f>IFERROR(SUM(BY5:BY9)/BY15,"")</f>
        <v/>
      </c>
      <c r="BZ16" s="177">
        <f>IFERROR(SUM(BZ5:BZ9)/BZ15,"")</f>
        <v/>
      </c>
      <c r="CA16" s="177">
        <f>IFERROR(SUM(CA5:CA9)/CA15,"")</f>
        <v/>
      </c>
      <c r="CB16" s="177">
        <f>IFERROR(SUM(CB5:CB9)/CB15,"")</f>
        <v/>
      </c>
      <c r="CC16" s="177">
        <f>IFERROR(SUM(CC5:CC9)/CC15,"")</f>
        <v/>
      </c>
      <c r="CD16" s="177">
        <f>IFERROR(SUM(CD5:CD9)/CD15,"")</f>
        <v/>
      </c>
      <c r="CE16" s="177">
        <f>IFERROR(SUM(CE5:CE9)/CE15,"")</f>
        <v/>
      </c>
      <c r="CF16" s="177">
        <f>IFERROR(SUM(CF5:CF9)/CF15,"")</f>
        <v/>
      </c>
      <c r="CG16" s="177">
        <f>IFERROR(SUM(CG5:CG9)/CG15,"")</f>
        <v/>
      </c>
      <c r="CH16" s="177" t="n"/>
    </row>
    <row r="17" ht="12.75" customFormat="1" customHeight="1" s="73">
      <c r="A17" s="176" t="inlineStr">
        <is>
          <t>TOP10</t>
        </is>
      </c>
      <c r="B17" s="177">
        <f>IFERROR(SUM(B5:B14)/B15,"")</f>
        <v/>
      </c>
      <c r="C17" s="177">
        <f>IFERROR(SUM(C5:C14)/C15,"")</f>
        <v/>
      </c>
      <c r="D17" s="177">
        <f>IFERROR(SUM(D5:D14)/D15,"")</f>
        <v/>
      </c>
      <c r="E17" s="177">
        <f>IFERROR(SUM(E5:E14)/E15,"")</f>
        <v/>
      </c>
      <c r="F17" s="177">
        <f>IFERROR(SUM(F5:F14)/F15,"")</f>
        <v/>
      </c>
      <c r="G17" s="177">
        <f>IFERROR(SUM(G5:G14)/G15,"")</f>
        <v/>
      </c>
      <c r="H17" s="177">
        <f>IFERROR(SUM(H5:H14)/H15,"")</f>
        <v/>
      </c>
      <c r="I17" s="177">
        <f>IFERROR(SUM(I5:I14)/I15,"")</f>
        <v/>
      </c>
      <c r="J17" s="177">
        <f>IFERROR(SUM(J5:J14)/J15,"")</f>
        <v/>
      </c>
      <c r="K17" s="177">
        <f>IFERROR(SUM(K5:K14)/K15,"")</f>
        <v/>
      </c>
      <c r="L17" s="177">
        <f>IFERROR(SUM(L5:L14)/L15,"")</f>
        <v/>
      </c>
      <c r="M17" s="177">
        <f>IFERROR(SUM(M5:M14)/M15,"")</f>
        <v/>
      </c>
      <c r="N17" s="177">
        <f>IFERROR(SUM(N5:N14)/N15,"")</f>
        <v/>
      </c>
      <c r="O17" s="177">
        <f>IFERROR(SUM(O5:O14)/O15,"")</f>
        <v/>
      </c>
      <c r="P17" s="177">
        <f>IFERROR(SUM(P5:P14)/P15,"")</f>
        <v/>
      </c>
      <c r="Q17" s="177">
        <f>IFERROR(SUM(Q5:Q14)/Q15,"")</f>
        <v/>
      </c>
      <c r="R17" s="177">
        <f>IFERROR(SUM(R5:R14)/R15,"")</f>
        <v/>
      </c>
      <c r="S17" s="177">
        <f>IFERROR(SUM(S5:S14)/S15,"")</f>
        <v/>
      </c>
      <c r="T17" s="177">
        <f>IFERROR(SUM(T5:T14)/T15,"")</f>
        <v/>
      </c>
      <c r="U17" s="177">
        <f>IFERROR(SUM(U5:U14)/U15,"")</f>
        <v/>
      </c>
      <c r="V17" s="177">
        <f>IFERROR(SUM(V5:V14)/V15,"")</f>
        <v/>
      </c>
      <c r="W17" s="177">
        <f>IFERROR(SUM(W5:W14)/W15,"")</f>
        <v/>
      </c>
      <c r="X17" s="177">
        <f>IFERROR(SUM(X5:X14)/X15,"")</f>
        <v/>
      </c>
      <c r="Y17" s="177">
        <f>IFERROR(SUM(Y5:Y14)/Y15,"")</f>
        <v/>
      </c>
      <c r="Z17" s="177">
        <f>IFERROR(SUM(Z5:Z14)/Z15,"")</f>
        <v/>
      </c>
      <c r="AA17" s="177">
        <f>IFERROR(SUM(AA5:AA14)/AA15,"")</f>
        <v/>
      </c>
      <c r="AB17" s="177">
        <f>IFERROR(SUM(AB5:AB14)/AB15,"")</f>
        <v/>
      </c>
      <c r="AC17" s="177">
        <f>IFERROR(SUM(AC5:AC14)/AC15,"")</f>
        <v/>
      </c>
      <c r="AD17" s="177">
        <f>IFERROR(SUM(AD5:AD14)/AD15,"")</f>
        <v/>
      </c>
      <c r="AE17" s="177">
        <f>IFERROR(SUM(AE5:AE14)/AE15,"")</f>
        <v/>
      </c>
      <c r="AF17" s="177">
        <f>IFERROR(SUM(AF5:AF14)/AF15,"")</f>
        <v/>
      </c>
      <c r="AG17" s="177">
        <f>IFERROR(SUM(AG5:AG14)/AG15,"")</f>
        <v/>
      </c>
      <c r="AH17" s="177">
        <f>IFERROR(SUM(AH5:AH14)/AH15,"")</f>
        <v/>
      </c>
      <c r="AI17" s="177">
        <f>IFERROR(SUM(AI5:AI14)/AI15,"")</f>
        <v/>
      </c>
      <c r="AJ17" s="177">
        <f>IFERROR(SUM(AJ5:AJ14)/AJ15,"")</f>
        <v/>
      </c>
      <c r="AK17" s="177">
        <f>IFERROR(SUM(AK5:AK14)/AK15,"")</f>
        <v/>
      </c>
      <c r="AL17" s="177">
        <f>IFERROR(SUM(AL5:AL14)/AL15,"")</f>
        <v/>
      </c>
      <c r="AM17" s="177">
        <f>IFERROR(SUM(AM5:AM14)/AM15,"")</f>
        <v/>
      </c>
      <c r="AN17" s="177">
        <f>IFERROR(SUM(AN5:AN14)/AN15,"")</f>
        <v/>
      </c>
      <c r="AO17" s="177">
        <f>IFERROR(SUM(AO5:AO14)/AO15,"")</f>
        <v/>
      </c>
      <c r="AP17" s="177">
        <f>IFERROR(SUM(AP5:AP14)/AP15,"")</f>
        <v/>
      </c>
      <c r="AQ17" s="177">
        <f>IFERROR(SUM(AQ5:AQ14)/AQ15,"")</f>
        <v/>
      </c>
      <c r="AR17" s="177">
        <f>IFERROR(SUM(AR5:AR14)/AR15,"")</f>
        <v/>
      </c>
      <c r="AS17" s="177">
        <f>IFERROR(SUM(AS5:AS14)/AS15,"")</f>
        <v/>
      </c>
      <c r="AT17" s="177">
        <f>IFERROR(SUM(AT5:AT14)/AT15,"")</f>
        <v/>
      </c>
      <c r="AU17" s="177">
        <f>IFERROR(SUM(AU5:AU14)/AU15,"")</f>
        <v/>
      </c>
      <c r="AV17" s="177">
        <f>IFERROR(SUM(AV5:AV14)/AV15,"")</f>
        <v/>
      </c>
      <c r="AW17" s="177">
        <f>IFERROR(SUM(AW5:AW14)/AW15,"")</f>
        <v/>
      </c>
      <c r="AX17" s="177">
        <f>IFERROR(SUM(AX5:AX14)/AX15,"")</f>
        <v/>
      </c>
      <c r="AY17" s="177">
        <f>IFERROR(SUM(AY5:AY14)/AY15,"")</f>
        <v/>
      </c>
      <c r="AZ17" s="177">
        <f>IFERROR(SUM(AZ5:AZ14)/AZ15,"")</f>
        <v/>
      </c>
      <c r="BA17" s="177">
        <f>IFERROR(SUM(BA5:BA14)/BA15,"")</f>
        <v/>
      </c>
      <c r="BB17" s="177">
        <f>IFERROR(SUM(BB5:BB14)/BB15,"")</f>
        <v/>
      </c>
      <c r="BC17" s="177">
        <f>IFERROR(SUM(BC5:BC14)/BC15,"")</f>
        <v/>
      </c>
      <c r="BD17" s="177">
        <f>IFERROR(SUM(BD5:BD14)/BD15,"")</f>
        <v/>
      </c>
      <c r="BE17" s="177">
        <f>IFERROR(SUM(BE5:BE14)/BE15,"")</f>
        <v/>
      </c>
      <c r="BF17" s="177">
        <f>IFERROR(SUM(BF5:BF14)/BF15,"")</f>
        <v/>
      </c>
      <c r="BG17" s="177">
        <f>IFERROR(SUM(BG5:BG14)/BG15,"")</f>
        <v/>
      </c>
      <c r="BH17" s="177">
        <f>IFERROR(SUM(BH5:BH14)/BH15,"")</f>
        <v/>
      </c>
      <c r="BI17" s="177">
        <f>IFERROR(SUM(BI5:BI14)/BI15,"")</f>
        <v/>
      </c>
      <c r="BJ17" s="177">
        <f>IFERROR(SUM(BJ5:BJ14)/BJ15,"")</f>
        <v/>
      </c>
      <c r="BK17" s="177">
        <f>IFERROR(SUM(BK5:BK14)/BK15,"")</f>
        <v/>
      </c>
      <c r="BL17" s="177">
        <f>IFERROR(SUM(BL5:BL14)/BL15,"")</f>
        <v/>
      </c>
      <c r="BM17" s="177">
        <f>IFERROR(SUM(BM5:BM14)/BM15,"")</f>
        <v/>
      </c>
      <c r="BN17" s="177">
        <f>IFERROR(SUM(BN5:BN14)/BN15,"")</f>
        <v/>
      </c>
      <c r="BO17" s="177">
        <f>IFERROR(SUM(BO5:BO14)/BO15,"")</f>
        <v/>
      </c>
      <c r="BP17" s="177">
        <f>IFERROR(SUM(BP5:BP14)/BP15,"")</f>
        <v/>
      </c>
      <c r="BQ17" s="177">
        <f>IFERROR(SUM(BQ5:BQ14)/BQ15,"")</f>
        <v/>
      </c>
      <c r="BR17" s="177">
        <f>IFERROR(SUM(BR5:BR14)/BR15,"")</f>
        <v/>
      </c>
      <c r="BS17" s="177">
        <f>IFERROR(SUM(BS5:BS14)/BS15,"")</f>
        <v/>
      </c>
      <c r="BT17" s="177">
        <f>IFERROR(SUM(BT5:BT14)/BT15,"")</f>
        <v/>
      </c>
      <c r="BU17" s="177">
        <f>IFERROR(SUM(BU5:BU14)/BU15,"")</f>
        <v/>
      </c>
      <c r="BV17" s="177">
        <f>IFERROR(SUM(BV5:BV14)/BV15,"")</f>
        <v/>
      </c>
      <c r="BW17" s="177">
        <f>IFERROR(SUM(BW5:BW14)/BW15,"")</f>
        <v/>
      </c>
      <c r="BX17" s="177">
        <f>IFERROR(SUM(BX5:BX14)/BX15,"")</f>
        <v/>
      </c>
      <c r="BY17" s="177">
        <f>IFERROR(SUM(BY5:BY14)/BY15,"")</f>
        <v/>
      </c>
      <c r="BZ17" s="177">
        <f>IFERROR(SUM(BZ5:BZ14)/BZ15,"")</f>
        <v/>
      </c>
      <c r="CA17" s="177">
        <f>IFERROR(SUM(CA5:CA14)/CA15,"")</f>
        <v/>
      </c>
      <c r="CB17" s="177">
        <f>IFERROR(SUM(CB5:CB14)/CB15,"")</f>
        <v/>
      </c>
      <c r="CC17" s="177">
        <f>IFERROR(SUM(CC5:CC14)/CC15,"")</f>
        <v/>
      </c>
      <c r="CD17" s="177">
        <f>IFERROR(SUM(CD5:CD14)/CD15,"")</f>
        <v/>
      </c>
      <c r="CE17" s="177">
        <f>IFERROR(SUM(CE5:CE14)/CE15,"")</f>
        <v/>
      </c>
      <c r="CF17" s="177">
        <f>IFERROR(SUM(CF5:CF14)/CF15,"")</f>
        <v/>
      </c>
      <c r="CG17" s="177">
        <f>IFERROR(SUM(CG5:CG14)/CG15,"")</f>
        <v/>
      </c>
      <c r="CH17" s="177" t="n"/>
    </row>
    <row r="18" ht="12.75" customFormat="1" customHeight="1" s="73">
      <c r="A18" s="178" t="inlineStr">
        <is>
          <t>平均每人持卡張數</t>
        </is>
      </c>
      <c r="B18" s="31" t="n">
        <v>4.18</v>
      </c>
      <c r="C18" s="31" t="n">
        <v>4.2</v>
      </c>
      <c r="D18" s="31" t="n">
        <v>4.21</v>
      </c>
      <c r="E18" s="31" t="n">
        <v>4.22</v>
      </c>
      <c r="F18" s="31" t="n">
        <v>4.23</v>
      </c>
      <c r="G18" s="31" t="n">
        <v>4.23</v>
      </c>
      <c r="H18" s="31" t="n">
        <v>4.25</v>
      </c>
      <c r="I18" s="31" t="n">
        <v>4.26</v>
      </c>
      <c r="J18" s="31" t="n">
        <v>4.27</v>
      </c>
      <c r="K18" s="31" t="n">
        <v>4.28</v>
      </c>
      <c r="L18" s="31" t="n">
        <v>4.28</v>
      </c>
      <c r="M18" s="31" t="n">
        <v>4.29</v>
      </c>
      <c r="N18" s="31" t="n">
        <v>4.3</v>
      </c>
      <c r="O18" s="31" t="n">
        <v>4.31</v>
      </c>
      <c r="P18" s="31" t="n">
        <v>4.32</v>
      </c>
      <c r="Q18" s="31" t="n">
        <v>4.33</v>
      </c>
      <c r="R18" s="31" t="n">
        <v>4.34</v>
      </c>
      <c r="S18" s="31" t="n">
        <v>4.33</v>
      </c>
      <c r="T18" s="31" t="n">
        <v>4.34</v>
      </c>
      <c r="U18" s="31" t="n">
        <v>4.35</v>
      </c>
      <c r="V18" s="31" t="n">
        <v>4.36</v>
      </c>
      <c r="W18" s="31" t="n">
        <v>4.37</v>
      </c>
      <c r="X18" s="31" t="n">
        <v>4.39</v>
      </c>
      <c r="Y18" s="31" t="n">
        <v>4.4</v>
      </c>
      <c r="Z18" s="31" t="n">
        <v>4.41</v>
      </c>
      <c r="AA18" s="31" t="n">
        <v>4.41</v>
      </c>
      <c r="AB18" s="31" t="n">
        <v>4.42</v>
      </c>
      <c r="AC18" s="31" t="n">
        <v>4.43</v>
      </c>
      <c r="AD18" s="31" t="n">
        <v>4.44</v>
      </c>
      <c r="AE18" s="31" t="n">
        <v>4.45</v>
      </c>
      <c r="AF18" s="31" t="n">
        <v>4.47</v>
      </c>
      <c r="AG18" s="31" t="n">
        <v>4.48</v>
      </c>
      <c r="AH18" s="31" t="n">
        <v>4.48</v>
      </c>
      <c r="AI18" s="31" t="n">
        <v>4.49</v>
      </c>
      <c r="AJ18" s="31" t="n">
        <v>4.5</v>
      </c>
      <c r="AK18" s="31" t="n">
        <v>4.59</v>
      </c>
      <c r="AL18" s="31" t="n">
        <v>4.62</v>
      </c>
      <c r="AM18" s="31" t="n">
        <v>4.69</v>
      </c>
      <c r="AN18" s="31" t="n">
        <v>4.77</v>
      </c>
      <c r="AO18" s="31" t="n">
        <v>4.78</v>
      </c>
      <c r="AP18" s="31" t="n">
        <v>4.8</v>
      </c>
      <c r="AQ18" s="31" t="n">
        <v>4.81</v>
      </c>
      <c r="AR18" s="31" t="n">
        <v>4.85</v>
      </c>
      <c r="AS18" s="31" t="n">
        <v>4.62</v>
      </c>
      <c r="AT18" s="31" t="n">
        <v>4.61</v>
      </c>
      <c r="AU18" s="31" t="n">
        <v>4.61</v>
      </c>
      <c r="AV18" s="31" t="n">
        <v>4.61</v>
      </c>
      <c r="AW18" s="31" t="n">
        <v>4.62</v>
      </c>
      <c r="AX18" s="31" t="n">
        <v>4.67</v>
      </c>
      <c r="AY18" s="31" t="n">
        <v>4.67</v>
      </c>
      <c r="AZ18" s="31" t="n">
        <v>4.66</v>
      </c>
      <c r="BA18" s="31" t="n">
        <v>4.65</v>
      </c>
      <c r="BB18" s="31" t="n">
        <v>4.65</v>
      </c>
      <c r="BC18" s="31" t="n">
        <v>4.63</v>
      </c>
      <c r="BD18" s="31" t="n">
        <v>4.61</v>
      </c>
      <c r="BE18" s="31" t="n">
        <v>4.6</v>
      </c>
      <c r="BF18" s="31" t="n">
        <v>4.59</v>
      </c>
      <c r="BG18" s="31" t="n">
        <v>4.59</v>
      </c>
      <c r="BH18" s="31" t="n">
        <v>4.58</v>
      </c>
      <c r="BI18" s="31" t="n">
        <v>4.58</v>
      </c>
      <c r="BJ18" s="31" t="n">
        <v>4.58</v>
      </c>
      <c r="BK18" s="31" t="n">
        <v>4.58</v>
      </c>
      <c r="BL18" s="31" t="n">
        <v>4.59</v>
      </c>
      <c r="BM18" s="31" t="n">
        <v>4.61</v>
      </c>
      <c r="BN18" s="31" t="n">
        <v>4.64</v>
      </c>
      <c r="BO18" s="31" t="n">
        <v>4.64</v>
      </c>
      <c r="BP18" s="31" t="n">
        <v>4.63</v>
      </c>
      <c r="BQ18" s="31" t="n">
        <v>4.64</v>
      </c>
      <c r="BR18" s="31" t="n">
        <v>4.65</v>
      </c>
      <c r="BS18" s="31" t="n">
        <v>4.66</v>
      </c>
      <c r="BT18" s="31" t="n">
        <v>4.64</v>
      </c>
      <c r="BU18" s="31" t="n">
        <v>4.65</v>
      </c>
      <c r="BV18" s="31">
        <f t="array" ref="BV18">_xlfn.XLOOKUP(1,(creditcard[YYYYMM]=BV$4)*(creditcard[Bank]=$A$15),creditcard[平均每人持卡張數])</f>
        <v/>
      </c>
      <c r="BW18" s="31">
        <f t="array" ref="BW18">_xlfn.XLOOKUP(1,(creditcard[YYYYMM]=BW$4)*(creditcard[Bank]=$A$15),creditcard[平均每人持卡張數])</f>
        <v/>
      </c>
      <c r="BX18" s="31">
        <f t="array" ref="BX18">_xlfn.XLOOKUP(1,(creditcard[YYYYMM]=BX$4)*(creditcard[Bank]=$A$15),creditcard[平均每人持卡張數])</f>
        <v/>
      </c>
      <c r="BY18" s="31">
        <f t="array" ref="BY18">_xlfn.XLOOKUP(1,(creditcard[YYYYMM]=BY$4)*(creditcard[Bank]=$A$15),creditcard[平均每人持卡張數],"")</f>
        <v/>
      </c>
      <c r="BZ18" s="31">
        <f t="array" ref="BZ18">_xlfn.XLOOKUP(1,(creditcard[YYYYMM]=BZ$4)*(creditcard[Bank]=$A$15),creditcard[平均每人持卡張數],"")</f>
        <v/>
      </c>
      <c r="CA18" s="31">
        <f t="array" ref="CA18">_xlfn.XLOOKUP(1,(creditcard[YYYYMM]=CA$4)*(creditcard[Bank]=$A$15),creditcard[平均每人持卡張數],"")</f>
        <v/>
      </c>
      <c r="CB18" s="31">
        <f t="array" ref="CB18">_xlfn.XLOOKUP(1,(creditcard[YYYYMM]=CB$4)*(creditcard[Bank]=$A$15),creditcard[平均每人持卡張數],"")</f>
        <v/>
      </c>
      <c r="CC18" s="31">
        <f t="array" ref="CC18">_xlfn.XLOOKUP(1,(creditcard[YYYYMM]=CC$4)*(creditcard[Bank]=$A$15),creditcard[平均每人持卡張數],"")</f>
        <v/>
      </c>
      <c r="CD18" s="31">
        <f t="array" ref="CD18">_xlfn.XLOOKUP(1,(creditcard[YYYYMM]=CD$4)*(creditcard[Bank]=$A$15),creditcard[平均每人持卡張數],"")</f>
        <v/>
      </c>
      <c r="CE18" s="31">
        <f t="array" ref="CE18">_xlfn.XLOOKUP(1,(creditcard[YYYYMM]=CE$4)*(creditcard[Bank]=$A$15),creditcard[平均每人持卡張數],"")</f>
        <v/>
      </c>
      <c r="CF18" s="31">
        <f t="array" ref="CF18">_xlfn.XLOOKUP(1,(creditcard[YYYYMM]=CF$4)*(creditcard[Bank]=$A$15),creditcard[平均每人持卡張數],"")</f>
        <v/>
      </c>
      <c r="CG18" s="31">
        <f t="array" ref="CG18">_xlfn.XLOOKUP(1,(creditcard[YYYYMM]=CG$4)*(creditcard[Bank]=$A$15),creditcard[平均每人持卡張數],"")</f>
        <v/>
      </c>
      <c r="CH18" s="177" t="n"/>
    </row>
    <row r="19">
      <c r="A19" s="179" t="inlineStr">
        <is>
          <t>https://www.jcic.org.tw/main_ch/fileRename/fileRename.aspx?uid=213&amp;fid=910&amp;kid=4</t>
        </is>
      </c>
      <c r="B19" s="180" t="n"/>
      <c r="C19" s="180" t="n"/>
      <c r="D19" s="180" t="n"/>
      <c r="E19" s="180" t="n"/>
      <c r="F19" s="180" t="n"/>
      <c r="G19" s="180" t="n"/>
      <c r="H19" s="180" t="n"/>
      <c r="I19" s="180" t="n"/>
      <c r="J19" s="180" t="n"/>
      <c r="K19" s="180" t="n"/>
      <c r="L19" s="180" t="n"/>
      <c r="M19" s="180" t="n"/>
      <c r="N19" s="172" t="n"/>
      <c r="O19" s="172" t="n"/>
      <c r="P19" s="172" t="n"/>
      <c r="Q19" s="172" t="n"/>
      <c r="R19" s="172" t="n"/>
      <c r="S19" s="172" t="n"/>
      <c r="T19" s="172" t="n"/>
      <c r="U19" s="172" t="n"/>
      <c r="V19" s="172" t="n"/>
      <c r="W19" s="172" t="n"/>
      <c r="X19" s="172" t="n"/>
      <c r="Y19" s="172" t="n"/>
      <c r="Z19" s="181" t="n"/>
      <c r="AA19" s="181" t="n"/>
      <c r="AB19" s="181" t="n"/>
      <c r="AC19" s="181" t="n"/>
      <c r="AD19" s="181" t="n"/>
      <c r="AE19" s="181" t="n"/>
      <c r="AF19" s="181" t="n"/>
      <c r="AG19" s="181" t="n"/>
      <c r="AH19" s="181" t="n"/>
      <c r="AI19" s="181" t="n"/>
      <c r="AJ19" s="181" t="n"/>
      <c r="AK19" s="181" t="n"/>
      <c r="AL19" s="181" t="n"/>
      <c r="AM19" s="181" t="n"/>
      <c r="AN19" s="181" t="n"/>
      <c r="AO19" s="181" t="n"/>
      <c r="AP19" s="181" t="n"/>
      <c r="AQ19" s="181" t="n"/>
      <c r="AR19" s="181" t="n"/>
      <c r="AS19" s="181" t="n"/>
      <c r="AT19" s="181" t="n"/>
      <c r="AU19" s="181" t="n"/>
      <c r="AV19" s="181" t="n"/>
      <c r="AW19" s="181" t="n"/>
      <c r="AX19" s="181">
        <f>IFERROR(SUM(AX5:AX14)/AX15,"")</f>
        <v/>
      </c>
      <c r="AY19" s="181">
        <f>IFERROR(SUM(AY5:AY14)/AY15,"")</f>
        <v/>
      </c>
      <c r="AZ19" s="181">
        <f>IFERROR(SUM(AZ5:AZ14)/AZ15,"")</f>
        <v/>
      </c>
      <c r="BA19" s="181">
        <f>IFERROR(SUM(BA5:BA14)/BA15,"")</f>
        <v/>
      </c>
      <c r="BB19" s="181">
        <f>IFERROR(SUM(BB5:BB14)/BB15,"")</f>
        <v/>
      </c>
      <c r="BC19" s="181">
        <f>IFERROR(SUM(BC5:BC14)/BC15,"")</f>
        <v/>
      </c>
      <c r="BD19" s="181">
        <f>IFERROR(SUM(BD5:BD14)/BD15,"")</f>
        <v/>
      </c>
      <c r="BE19" s="181">
        <f>IFERROR(SUM(BE5:BE14)/BE15,"")</f>
        <v/>
      </c>
      <c r="BF19" s="181">
        <f>IFERROR(SUM(BF5:BF14)/BF15,"")</f>
        <v/>
      </c>
      <c r="BG19" s="181">
        <f>IFERROR(SUM(BG5:BG14)/BG15,"")</f>
        <v/>
      </c>
      <c r="BH19" s="181">
        <f>IFERROR(SUM(BH5:BH14)/BH15,"")</f>
        <v/>
      </c>
      <c r="BI19" s="181">
        <f>IFERROR(SUM(BI5:BI14)/BI15,"")</f>
        <v/>
      </c>
      <c r="BJ19" s="181" t="n"/>
      <c r="BK19" s="181" t="n"/>
      <c r="BL19" s="181" t="n"/>
      <c r="BM19" s="181" t="n"/>
      <c r="BN19" s="181" t="n"/>
      <c r="BO19" s="181" t="n"/>
      <c r="BP19" s="181" t="n"/>
      <c r="BQ19" s="181" t="n"/>
      <c r="BR19" s="181" t="n"/>
      <c r="BS19" s="181" t="n"/>
      <c r="BT19" s="181" t="n"/>
      <c r="BU19" s="181" t="n"/>
      <c r="BV19" s="181" t="n"/>
      <c r="BW19" s="181" t="n"/>
      <c r="BX19" s="181" t="n"/>
      <c r="BY19" s="181" t="n"/>
      <c r="BZ19" s="181" t="n"/>
      <c r="CA19" s="181" t="n"/>
      <c r="CB19" s="181" t="n"/>
      <c r="CC19" s="181" t="n"/>
      <c r="CD19" s="181" t="n"/>
      <c r="CE19" s="181" t="n"/>
      <c r="CF19" s="181" t="n"/>
      <c r="CG19" s="181" t="n"/>
      <c r="CH19" s="181" t="n"/>
    </row>
    <row r="20">
      <c r="A20" s="179" t="n"/>
      <c r="B20" s="180" t="n"/>
      <c r="C20" s="180" t="n"/>
      <c r="D20" s="180" t="n"/>
      <c r="E20" s="180" t="n"/>
      <c r="F20" s="180" t="n"/>
      <c r="G20" s="180" t="n"/>
      <c r="H20" s="180" t="n"/>
      <c r="I20" s="180" t="n"/>
      <c r="J20" s="180" t="n"/>
      <c r="K20" s="180" t="n"/>
      <c r="L20" s="180" t="n"/>
      <c r="M20" s="180" t="n"/>
      <c r="N20" s="180" t="n"/>
      <c r="O20" s="180" t="n"/>
      <c r="P20" s="180" t="n"/>
      <c r="Q20" s="180" t="n"/>
      <c r="R20" s="180" t="n"/>
      <c r="S20" s="180" t="n"/>
      <c r="T20" s="180" t="n"/>
      <c r="U20" s="180" t="n"/>
      <c r="V20" s="180" t="n"/>
      <c r="W20" s="180" t="n"/>
      <c r="X20" s="180" t="n"/>
      <c r="Y20" s="180" t="n"/>
      <c r="Z20" s="180" t="n"/>
      <c r="AA20" s="180" t="n"/>
      <c r="AB20" s="180" t="n"/>
      <c r="AC20" s="180" t="n"/>
      <c r="AF20" s="180" t="n"/>
      <c r="AH20" s="180" t="n"/>
      <c r="AI20" s="180" t="n"/>
      <c r="AJ20" s="180" t="n"/>
      <c r="AK20" s="180" t="n"/>
      <c r="AL20" s="180" t="n"/>
      <c r="AM20" s="180" t="n"/>
      <c r="AN20" s="180" t="n"/>
      <c r="AO20" s="180" t="n"/>
      <c r="AP20" s="180" t="n"/>
      <c r="AQ20" s="180" t="n"/>
      <c r="AR20" s="180" t="n"/>
      <c r="AS20" s="180" t="n"/>
      <c r="AT20" s="180" t="n"/>
      <c r="AU20" s="180" t="n"/>
      <c r="AV20" s="180" t="n"/>
      <c r="AW20" s="180" t="n"/>
      <c r="AX20" s="180" t="n"/>
      <c r="AY20" s="180" t="n"/>
      <c r="AZ20" s="180" t="n"/>
      <c r="BA20" s="180" t="n"/>
      <c r="BB20" s="180" t="n"/>
      <c r="BC20" s="180" t="n"/>
      <c r="BD20" s="180" t="n"/>
      <c r="BE20" s="180" t="n"/>
      <c r="BF20" s="180" t="n"/>
      <c r="BG20" s="180" t="n"/>
      <c r="BH20" s="180" t="n"/>
      <c r="BI20" s="180" t="n"/>
      <c r="BJ20" s="180" t="n"/>
      <c r="BK20" s="180" t="n"/>
      <c r="BL20" s="180" t="n"/>
      <c r="BM20" s="180" t="n"/>
      <c r="BN20" s="180" t="n"/>
      <c r="BO20" s="180" t="n"/>
      <c r="BP20" s="180" t="n"/>
      <c r="BQ20" s="180" t="n"/>
      <c r="BR20" s="180" t="n"/>
      <c r="BS20" s="180" t="n"/>
      <c r="BT20" s="180" t="n"/>
      <c r="BU20" s="180" t="n"/>
      <c r="BV20" s="180" t="n"/>
      <c r="BW20" s="180" t="n"/>
      <c r="BX20" s="180" t="n"/>
      <c r="BY20" s="180" t="n"/>
      <c r="BZ20" s="180" t="n"/>
      <c r="CA20" s="180" t="n"/>
      <c r="CB20" s="180" t="n"/>
      <c r="CC20" s="180" t="n"/>
      <c r="CD20" s="180" t="n"/>
      <c r="CE20" s="180" t="n"/>
      <c r="CF20" s="180" t="n"/>
      <c r="CG20" s="180" t="n"/>
      <c r="CH20" s="180" t="n"/>
    </row>
    <row r="21">
      <c r="A21" s="141" t="inlineStr">
        <is>
          <t>有效卡(張)</t>
        </is>
      </c>
      <c r="B21" s="141">
        <f>B$1</f>
        <v/>
      </c>
      <c r="C21" s="141">
        <f>C$1</f>
        <v/>
      </c>
      <c r="D21" s="141">
        <f>D$1</f>
        <v/>
      </c>
      <c r="E21" s="141">
        <f>E$1</f>
        <v/>
      </c>
      <c r="F21" s="141">
        <f>F$1</f>
        <v/>
      </c>
      <c r="G21" s="141">
        <f>G$1</f>
        <v/>
      </c>
      <c r="H21" s="141">
        <f>H$1</f>
        <v/>
      </c>
      <c r="I21" s="141">
        <f>I$1</f>
        <v/>
      </c>
      <c r="J21" s="141">
        <f>J$1</f>
        <v/>
      </c>
      <c r="K21" s="141">
        <f>K$1</f>
        <v/>
      </c>
      <c r="L21" s="141">
        <f>L$1</f>
        <v/>
      </c>
      <c r="M21" s="141">
        <f>M$1</f>
        <v/>
      </c>
      <c r="N21" s="141">
        <f>N$1</f>
        <v/>
      </c>
      <c r="O21" s="141">
        <f>O$1</f>
        <v/>
      </c>
      <c r="P21" s="141">
        <f>P$1</f>
        <v/>
      </c>
      <c r="Q21" s="141">
        <f>Q$1</f>
        <v/>
      </c>
      <c r="R21" s="141">
        <f>R$1</f>
        <v/>
      </c>
      <c r="S21" s="141">
        <f>S$1</f>
        <v/>
      </c>
      <c r="T21" s="141">
        <f>T$1</f>
        <v/>
      </c>
      <c r="U21" s="141">
        <f>U$1</f>
        <v/>
      </c>
      <c r="V21" s="141">
        <f>V$1</f>
        <v/>
      </c>
      <c r="W21" s="141">
        <f>W$1</f>
        <v/>
      </c>
      <c r="X21" s="141">
        <f>X$1</f>
        <v/>
      </c>
      <c r="Y21" s="141">
        <f>Y$1</f>
        <v/>
      </c>
      <c r="Z21" s="141">
        <f>Z$1</f>
        <v/>
      </c>
      <c r="AA21" s="141">
        <f>AA$1</f>
        <v/>
      </c>
      <c r="AB21" s="141">
        <f>AB$1</f>
        <v/>
      </c>
      <c r="AC21" s="141">
        <f>AC$1</f>
        <v/>
      </c>
      <c r="AD21" s="141">
        <f>AD$1</f>
        <v/>
      </c>
      <c r="AE21" s="141">
        <f>AE$1</f>
        <v/>
      </c>
      <c r="AF21" s="141">
        <f>AF$1</f>
        <v/>
      </c>
      <c r="AG21" s="141">
        <f>AG$1</f>
        <v/>
      </c>
      <c r="AH21" s="141">
        <f>AH$1</f>
        <v/>
      </c>
      <c r="AI21" s="141">
        <f>AI$1</f>
        <v/>
      </c>
      <c r="AJ21" s="141">
        <f>AJ$1</f>
        <v/>
      </c>
      <c r="AK21" s="141">
        <f>AK$1</f>
        <v/>
      </c>
      <c r="AL21" s="141">
        <f>AL$1</f>
        <v/>
      </c>
      <c r="AM21" s="141">
        <f>AM$1</f>
        <v/>
      </c>
      <c r="AN21" s="141">
        <f>AN$1</f>
        <v/>
      </c>
      <c r="AO21" s="141">
        <f>AO$1</f>
        <v/>
      </c>
      <c r="AP21" s="141">
        <f>AP$1</f>
        <v/>
      </c>
      <c r="AQ21" s="141">
        <f>AQ$1</f>
        <v/>
      </c>
      <c r="AR21" s="141">
        <f>AR$1</f>
        <v/>
      </c>
      <c r="AS21" s="141">
        <f>AS$1</f>
        <v/>
      </c>
      <c r="AT21" s="141">
        <f>AT$1</f>
        <v/>
      </c>
      <c r="AU21" s="141">
        <f>AU$1</f>
        <v/>
      </c>
      <c r="AV21" s="141">
        <f>AV$1</f>
        <v/>
      </c>
      <c r="AW21" s="141">
        <f>AW$1</f>
        <v/>
      </c>
      <c r="AX21" s="141">
        <f>AX$1</f>
        <v/>
      </c>
      <c r="AY21" s="141">
        <f>AY$1</f>
        <v/>
      </c>
      <c r="AZ21" s="141">
        <f>AZ$1</f>
        <v/>
      </c>
      <c r="BA21" s="141">
        <f>BA$1</f>
        <v/>
      </c>
      <c r="BB21" s="141">
        <f>BB$1</f>
        <v/>
      </c>
      <c r="BC21" s="141">
        <f>BC$1</f>
        <v/>
      </c>
      <c r="BD21" s="141">
        <f>BD$1</f>
        <v/>
      </c>
      <c r="BE21" s="141">
        <f>BE$1</f>
        <v/>
      </c>
      <c r="BF21" s="141">
        <f>BF$1</f>
        <v/>
      </c>
      <c r="BG21" s="141">
        <f>BG$1</f>
        <v/>
      </c>
      <c r="BH21" s="141">
        <f>BH$1</f>
        <v/>
      </c>
      <c r="BI21" s="141">
        <f>BI$1</f>
        <v/>
      </c>
      <c r="BJ21" s="141">
        <f>BJ$1</f>
        <v/>
      </c>
      <c r="BK21" s="141">
        <f>BK$1</f>
        <v/>
      </c>
      <c r="BL21" s="141">
        <f>BL$1</f>
        <v/>
      </c>
      <c r="BM21" s="141">
        <f>BM$1</f>
        <v/>
      </c>
      <c r="BN21" s="141">
        <f>BN$1</f>
        <v/>
      </c>
      <c r="BO21" s="141">
        <f>BO$1</f>
        <v/>
      </c>
      <c r="BP21" s="141">
        <f>BP$1</f>
        <v/>
      </c>
      <c r="BQ21" s="141">
        <f>BQ$1</f>
        <v/>
      </c>
      <c r="BR21" s="141">
        <f>BR$1</f>
        <v/>
      </c>
      <c r="BS21" s="141">
        <f>BS$1</f>
        <v/>
      </c>
      <c r="BT21" s="141">
        <f>BT$1</f>
        <v/>
      </c>
      <c r="BU21" s="141">
        <f>BU$1</f>
        <v/>
      </c>
      <c r="BV21" s="141">
        <f>BV$1</f>
        <v/>
      </c>
      <c r="BW21" s="141">
        <f>BW$1</f>
        <v/>
      </c>
      <c r="BX21" s="141">
        <f>BX$1</f>
        <v/>
      </c>
      <c r="BY21" s="141">
        <f>BY$1</f>
        <v/>
      </c>
      <c r="BZ21" s="141">
        <f>BZ$1</f>
        <v/>
      </c>
      <c r="CA21" s="141">
        <f>CA$1</f>
        <v/>
      </c>
      <c r="CB21" s="141">
        <f>CB$1</f>
        <v/>
      </c>
      <c r="CC21" s="141">
        <f>CC$1</f>
        <v/>
      </c>
      <c r="CD21" s="141">
        <f>CD$1</f>
        <v/>
      </c>
      <c r="CE21" s="141">
        <f>CE$1</f>
        <v/>
      </c>
      <c r="CF21" s="141">
        <f>CF$1</f>
        <v/>
      </c>
      <c r="CG21" s="141">
        <f>CG$1</f>
        <v/>
      </c>
      <c r="CH21" s="30" t="n"/>
    </row>
    <row r="22">
      <c r="A22" s="174" t="inlineStr">
        <is>
          <t>中信</t>
        </is>
      </c>
      <c r="B22" s="172" t="n">
        <v>4672275</v>
      </c>
      <c r="C22" s="172" t="n">
        <v>4643745</v>
      </c>
      <c r="D22" s="172" t="n">
        <v>4640372</v>
      </c>
      <c r="E22" s="172" t="n">
        <v>4617731</v>
      </c>
      <c r="F22" s="172" t="n">
        <v>4607134</v>
      </c>
      <c r="G22" s="172" t="n">
        <v>4593571</v>
      </c>
      <c r="H22" s="172" t="n">
        <v>4607130</v>
      </c>
      <c r="I22" s="172" t="n">
        <v>4624452</v>
      </c>
      <c r="J22" s="172" t="n">
        <v>4646284</v>
      </c>
      <c r="K22" s="172" t="n">
        <v>4657748</v>
      </c>
      <c r="L22" s="172" t="n">
        <v>4686245</v>
      </c>
      <c r="M22" s="172" t="n">
        <v>4722215</v>
      </c>
      <c r="N22" s="172" t="n">
        <v>4739732</v>
      </c>
      <c r="O22" s="172" t="n">
        <v>4766437</v>
      </c>
      <c r="P22" s="172" t="n">
        <v>4808351</v>
      </c>
      <c r="Q22" s="172" t="n">
        <v>4833621</v>
      </c>
      <c r="R22" s="172" t="n">
        <v>4852071</v>
      </c>
      <c r="S22" s="172" t="n">
        <v>4822670</v>
      </c>
      <c r="T22" s="172" t="n">
        <v>4815512</v>
      </c>
      <c r="U22" s="172" t="n">
        <v>4829611</v>
      </c>
      <c r="V22" s="172" t="n">
        <v>4821988</v>
      </c>
      <c r="W22" s="172" t="n">
        <v>4835629</v>
      </c>
      <c r="X22" s="172" t="n">
        <v>4870287</v>
      </c>
      <c r="Y22" s="172" t="n">
        <v>4934654</v>
      </c>
      <c r="Z22" s="172" t="n">
        <v>4970945</v>
      </c>
      <c r="AA22" s="173" t="n">
        <v>4975985</v>
      </c>
      <c r="AB22" s="173" t="n">
        <v>5016910</v>
      </c>
      <c r="AC22" s="172" t="n">
        <v>5045493</v>
      </c>
      <c r="AD22" s="172" t="n">
        <v>5053460</v>
      </c>
      <c r="AE22" s="172" t="n">
        <v>5064932</v>
      </c>
      <c r="AF22" s="172" t="n">
        <v>5110392</v>
      </c>
      <c r="AG22" s="172" t="n">
        <v>5168664</v>
      </c>
      <c r="AH22" s="172" t="n">
        <v>5183773</v>
      </c>
      <c r="AI22" s="172" t="n">
        <v>5228108</v>
      </c>
      <c r="AJ22" s="172" t="n">
        <v>5284005</v>
      </c>
      <c r="AK22" s="172" t="n">
        <v>5348747</v>
      </c>
      <c r="AL22" s="172" t="n">
        <v>5372346</v>
      </c>
      <c r="AM22" s="172" t="n">
        <v>5400174</v>
      </c>
      <c r="AN22" s="172" t="n">
        <v>5466530</v>
      </c>
      <c r="AO22" s="172" t="n">
        <v>5498319</v>
      </c>
      <c r="AP22" s="172" t="n">
        <v>5542794</v>
      </c>
      <c r="AQ22" s="172" t="n">
        <v>5576113</v>
      </c>
      <c r="AR22" s="172" t="n">
        <v>5613050</v>
      </c>
      <c r="AS22" s="172" t="n">
        <v>5672226</v>
      </c>
      <c r="AT22" s="172" t="n">
        <v>5686619</v>
      </c>
      <c r="AU22" s="172" t="n">
        <v>5725300</v>
      </c>
      <c r="AV22" s="172" t="n">
        <v>5755575</v>
      </c>
      <c r="AW22" s="172" t="n">
        <v>5787166</v>
      </c>
      <c r="AX22" s="172" t="n">
        <v>5787166</v>
      </c>
      <c r="AY22" s="172" t="n">
        <v>5809849</v>
      </c>
      <c r="AZ22" s="172" t="n">
        <v>5840035</v>
      </c>
      <c r="BA22" s="172" t="n">
        <v>5860230</v>
      </c>
      <c r="BB22" s="172" t="n">
        <v>5875216</v>
      </c>
      <c r="BC22" s="172" t="n">
        <v>5882600</v>
      </c>
      <c r="BD22" s="173" t="n">
        <v>5897468</v>
      </c>
      <c r="BE22" s="172" t="n">
        <v>5926606</v>
      </c>
      <c r="BF22" s="173" t="n">
        <v>5940711</v>
      </c>
      <c r="BG22" s="172" t="n">
        <v>5955216</v>
      </c>
      <c r="BH22" s="172" t="n">
        <v>5996912</v>
      </c>
      <c r="BI22" s="172" t="n">
        <v>6020685</v>
      </c>
      <c r="BJ22" s="172" t="n">
        <v>5996175</v>
      </c>
      <c r="BK22" s="172" t="n">
        <v>6011148</v>
      </c>
      <c r="BL22" s="172" t="n">
        <v>6022702</v>
      </c>
      <c r="BM22" s="172" t="n">
        <v>6046652</v>
      </c>
      <c r="BN22" s="172" t="n">
        <v>6063559</v>
      </c>
      <c r="BO22" s="172" t="n">
        <v>6062309</v>
      </c>
      <c r="BP22" s="172" t="n">
        <v>6108991</v>
      </c>
      <c r="BQ22" s="172" t="n">
        <v>6131466</v>
      </c>
      <c r="BR22" s="172" t="n">
        <v>6629102</v>
      </c>
      <c r="BS22" s="172" t="n">
        <v>6521624</v>
      </c>
      <c r="BT22" s="172" t="n">
        <v>6601383</v>
      </c>
      <c r="BU22" s="172" t="n">
        <v>6685860</v>
      </c>
      <c r="BV22" s="172">
        <f t="array" ref="BV22">_xlfn.XLOOKUP(1,(creditcard[YYYYMM]=BV$4)*(creditcard[Bank]=$A22),creditcard[有效卡數])</f>
        <v/>
      </c>
      <c r="BW22" s="172">
        <f t="array" ref="BW22">_xlfn.XLOOKUP(1,(creditcard[YYYYMM]=BW$4)*(creditcard[Bank]=$A22),creditcard[有效卡數])</f>
        <v/>
      </c>
      <c r="BX22" s="172">
        <f t="array" ref="BX22">_xlfn.XLOOKUP(1,(creditcard[YYYYMM]=BX$4)*(creditcard[Bank]=$A22),creditcard[有效卡數])</f>
        <v/>
      </c>
      <c r="BY22" s="172">
        <f t="array" ref="BY22">_xlfn.XLOOKUP(1,(creditcard[YYYYMM]=BY$4)*(creditcard[Bank]=$A22),creditcard[有效卡數],"")</f>
        <v/>
      </c>
      <c r="BZ22" s="172">
        <f t="array" ref="BZ22">_xlfn.XLOOKUP(1,(creditcard[YYYYMM]=BZ$4)*(creditcard[Bank]=$A22),creditcard[有效卡數],"")</f>
        <v/>
      </c>
      <c r="CA22" s="172">
        <f t="array" ref="CA22">_xlfn.XLOOKUP(1,(creditcard[YYYYMM]=CA$4)*(creditcard[Bank]=$A22),creditcard[有效卡數],"")</f>
        <v/>
      </c>
      <c r="CB22" s="172">
        <f t="array" ref="CB22">_xlfn.XLOOKUP(1,(creditcard[YYYYMM]=CB$4)*(creditcard[Bank]=$A22),creditcard[有效卡數],"")</f>
        <v/>
      </c>
      <c r="CC22" s="172">
        <f t="array" ref="CC22">_xlfn.XLOOKUP(1,(creditcard[YYYYMM]=CC$4)*(creditcard[Bank]=$A22),creditcard[有效卡數],"")</f>
        <v/>
      </c>
      <c r="CD22" s="172">
        <f t="array" ref="CD22">_xlfn.XLOOKUP(1,(creditcard[YYYYMM]=CD$4)*(creditcard[Bank]=$A22),creditcard[有效卡數],"")</f>
        <v/>
      </c>
      <c r="CE22" s="172">
        <f t="array" ref="CE22">_xlfn.XLOOKUP(1,(creditcard[YYYYMM]=CE$4)*(creditcard[Bank]=$A22),creditcard[有效卡數],"")</f>
        <v/>
      </c>
      <c r="CF22" s="172">
        <f t="array" ref="CF22">_xlfn.XLOOKUP(1,(creditcard[YYYYMM]=CF$4)*(creditcard[Bank]=$A22),creditcard[有效卡數],"")</f>
        <v/>
      </c>
      <c r="CG22" s="172">
        <f t="array" ref="CG22">_xlfn.XLOOKUP(1,(creditcard[YYYYMM]=CG$4)*(creditcard[Bank]=$A22),creditcard[有效卡數],"")</f>
        <v/>
      </c>
      <c r="CH22" s="172" t="n"/>
    </row>
    <row r="23">
      <c r="A23" s="174" t="inlineStr">
        <is>
          <t>富邦</t>
        </is>
      </c>
      <c r="B23" s="172" t="n">
        <v>2138652</v>
      </c>
      <c r="C23" s="172" t="n">
        <v>2175622</v>
      </c>
      <c r="D23" s="172" t="n">
        <v>2228321</v>
      </c>
      <c r="E23" s="172" t="n">
        <v>2259997</v>
      </c>
      <c r="F23" s="172" t="n">
        <v>2282200</v>
      </c>
      <c r="G23" s="172" t="n">
        <v>2301949</v>
      </c>
      <c r="H23" s="172" t="n">
        <v>2362890</v>
      </c>
      <c r="I23" s="172" t="n">
        <v>2403859</v>
      </c>
      <c r="J23" s="172" t="n">
        <v>2446123</v>
      </c>
      <c r="K23" s="172" t="n">
        <v>2471207</v>
      </c>
      <c r="L23" s="172" t="n">
        <v>2526871</v>
      </c>
      <c r="M23" s="172" t="n">
        <v>2571152</v>
      </c>
      <c r="N23" s="172" t="n">
        <v>2593594</v>
      </c>
      <c r="O23" s="172" t="n">
        <v>2607314</v>
      </c>
      <c r="P23" s="172" t="n">
        <v>2643505</v>
      </c>
      <c r="Q23" s="172" t="n">
        <v>2666332</v>
      </c>
      <c r="R23" s="172" t="n">
        <v>2687538</v>
      </c>
      <c r="S23" s="172" t="n">
        <v>2693540</v>
      </c>
      <c r="T23" s="172" t="n">
        <v>2705117</v>
      </c>
      <c r="U23" s="172" t="n">
        <v>2725020</v>
      </c>
      <c r="V23" s="172" t="n">
        <v>2728250</v>
      </c>
      <c r="W23" s="172" t="n">
        <v>2745415</v>
      </c>
      <c r="X23" s="172" t="n">
        <v>2797359</v>
      </c>
      <c r="Y23" s="172" t="n">
        <v>2837461</v>
      </c>
      <c r="Z23" s="172" t="n">
        <v>2884044</v>
      </c>
      <c r="AA23" s="173" t="n">
        <v>2913295</v>
      </c>
      <c r="AB23" s="173" t="n">
        <v>2966488</v>
      </c>
      <c r="AC23" s="172" t="n">
        <v>3001913</v>
      </c>
      <c r="AD23" s="172" t="n">
        <v>3031911</v>
      </c>
      <c r="AE23" s="172" t="n">
        <v>3051037</v>
      </c>
      <c r="AF23" s="172" t="n">
        <v>3075874</v>
      </c>
      <c r="AG23" s="172" t="n">
        <v>3123047</v>
      </c>
      <c r="AH23" s="172" t="n">
        <v>3143201</v>
      </c>
      <c r="AI23" s="172" t="n">
        <v>3172048</v>
      </c>
      <c r="AJ23" s="172" t="n">
        <v>3239827</v>
      </c>
      <c r="AK23" s="172" t="n">
        <v>3276910</v>
      </c>
      <c r="AL23" s="172" t="n">
        <v>3307283</v>
      </c>
      <c r="AM23" s="172" t="n">
        <v>3401014</v>
      </c>
      <c r="AN23" s="172" t="n">
        <v>3650003</v>
      </c>
      <c r="AO23" s="172" t="n">
        <v>3884748</v>
      </c>
      <c r="AP23" s="172" t="n">
        <v>4090926</v>
      </c>
      <c r="AQ23" s="172" t="n">
        <v>4250871</v>
      </c>
      <c r="AR23" s="172" t="n">
        <v>4432547</v>
      </c>
      <c r="AS23" s="172" t="n">
        <v>4950148</v>
      </c>
      <c r="AT23" s="172" t="n">
        <v>5168476</v>
      </c>
      <c r="AU23" s="172" t="n">
        <v>5293318</v>
      </c>
      <c r="AV23" s="172" t="n">
        <v>5416399</v>
      </c>
      <c r="AW23" s="172" t="n">
        <v>5491815</v>
      </c>
      <c r="AX23" s="172" t="n">
        <v>5563109</v>
      </c>
      <c r="AY23" s="172" t="n">
        <v>5580767</v>
      </c>
      <c r="AZ23" s="172" t="n">
        <v>5608654</v>
      </c>
      <c r="BA23" s="172" t="n">
        <v>5625697</v>
      </c>
      <c r="BB23" s="172" t="n">
        <v>5637874</v>
      </c>
      <c r="BC23" s="172" t="n">
        <v>5655202</v>
      </c>
      <c r="BD23" s="173" t="n">
        <v>5671916</v>
      </c>
      <c r="BE23" s="172" t="n">
        <v>5690076</v>
      </c>
      <c r="BF23" s="173" t="n">
        <v>5698950</v>
      </c>
      <c r="BG23" s="172" t="n">
        <v>5715395</v>
      </c>
      <c r="BH23" s="172" t="n">
        <v>5737700</v>
      </c>
      <c r="BI23" s="172" t="n">
        <v>5754738</v>
      </c>
      <c r="BJ23" s="172" t="n">
        <v>5747006</v>
      </c>
      <c r="BK23" s="172" t="n">
        <v>5764644</v>
      </c>
      <c r="BL23" s="172" t="n">
        <v>5780699</v>
      </c>
      <c r="BM23" s="172" t="n">
        <v>5799244</v>
      </c>
      <c r="BN23" s="172" t="n">
        <v>5796439</v>
      </c>
      <c r="BO23" s="172" t="n">
        <v>5766030</v>
      </c>
      <c r="BP23" s="172" t="n">
        <v>5796909</v>
      </c>
      <c r="BQ23" s="172" t="n">
        <v>5799168</v>
      </c>
      <c r="BR23" s="172" t="n">
        <v>5803191</v>
      </c>
      <c r="BS23" s="172" t="n">
        <v>5807168</v>
      </c>
      <c r="BT23" s="172" t="n">
        <v>5827933</v>
      </c>
      <c r="BU23" s="172" t="n">
        <v>5849375</v>
      </c>
      <c r="BV23" s="172">
        <f t="array" ref="BV23">_xlfn.XLOOKUP(1,(creditcard[YYYYMM]=BV$4)*(creditcard[Bank]=$A23),creditcard[有效卡數])</f>
        <v/>
      </c>
      <c r="BW23" s="172">
        <f t="array" ref="BW23">_xlfn.XLOOKUP(1,(creditcard[YYYYMM]=BW$4)*(creditcard[Bank]=$A23),creditcard[有效卡數])</f>
        <v/>
      </c>
      <c r="BX23" s="172">
        <f t="array" ref="BX23">_xlfn.XLOOKUP(1,(creditcard[YYYYMM]=BX$4)*(creditcard[Bank]=$A23),creditcard[有效卡數])</f>
        <v/>
      </c>
      <c r="BY23" s="172">
        <f t="array" ref="BY23">_xlfn.XLOOKUP(1,(creditcard[YYYYMM]=BY$4)*(creditcard[Bank]=$A23),creditcard[有效卡數],"")</f>
        <v/>
      </c>
      <c r="BZ23" s="172">
        <f t="array" ref="BZ23">_xlfn.XLOOKUP(1,(creditcard[YYYYMM]=BZ$4)*(creditcard[Bank]=$A23),creditcard[有效卡數],"")</f>
        <v/>
      </c>
      <c r="CA23" s="172">
        <f t="array" ref="CA23">_xlfn.XLOOKUP(1,(creditcard[YYYYMM]=CA$4)*(creditcard[Bank]=$A23),creditcard[有效卡數],"")</f>
        <v/>
      </c>
      <c r="CB23" s="172">
        <f t="array" ref="CB23">_xlfn.XLOOKUP(1,(creditcard[YYYYMM]=CB$4)*(creditcard[Bank]=$A23),creditcard[有效卡數],"")</f>
        <v/>
      </c>
      <c r="CC23" s="172">
        <f t="array" ref="CC23">_xlfn.XLOOKUP(1,(creditcard[YYYYMM]=CC$4)*(creditcard[Bank]=$A23),creditcard[有效卡數],"")</f>
        <v/>
      </c>
      <c r="CD23" s="172">
        <f t="array" ref="CD23">_xlfn.XLOOKUP(1,(creditcard[YYYYMM]=CD$4)*(creditcard[Bank]=$A23),creditcard[有效卡數],"")</f>
        <v/>
      </c>
      <c r="CE23" s="172">
        <f t="array" ref="CE23">_xlfn.XLOOKUP(1,(creditcard[YYYYMM]=CE$4)*(creditcard[Bank]=$A23),creditcard[有效卡數],"")</f>
        <v/>
      </c>
      <c r="CF23" s="172">
        <f t="array" ref="CF23">_xlfn.XLOOKUP(1,(creditcard[YYYYMM]=CF$4)*(creditcard[Bank]=$A23),creditcard[有效卡數],"")</f>
        <v/>
      </c>
      <c r="CG23" s="172">
        <f t="array" ref="CG23">_xlfn.XLOOKUP(1,(creditcard[YYYYMM]=CG$4)*(creditcard[Bank]=$A23),creditcard[有效卡數],"")</f>
        <v/>
      </c>
      <c r="CH23" s="172" t="n"/>
    </row>
    <row r="24">
      <c r="A24" s="174" t="inlineStr">
        <is>
          <t>國泰</t>
        </is>
      </c>
      <c r="B24" s="172" t="n">
        <v>4984194</v>
      </c>
      <c r="C24" s="172" t="n">
        <v>4993091</v>
      </c>
      <c r="D24" s="172" t="n">
        <v>5001551</v>
      </c>
      <c r="E24" s="172" t="n">
        <v>5004896</v>
      </c>
      <c r="F24" s="172" t="n">
        <v>5001822</v>
      </c>
      <c r="G24" s="172" t="n">
        <v>5005960</v>
      </c>
      <c r="H24" s="172" t="n">
        <v>4998658</v>
      </c>
      <c r="I24" s="172" t="n">
        <v>5021080</v>
      </c>
      <c r="J24" s="172" t="n">
        <v>5050965</v>
      </c>
      <c r="K24" s="172" t="n">
        <v>5055817</v>
      </c>
      <c r="L24" s="172" t="n">
        <v>5106133</v>
      </c>
      <c r="M24" s="172" t="n">
        <v>5134530</v>
      </c>
      <c r="N24" s="172" t="n">
        <v>5145914</v>
      </c>
      <c r="O24" s="172" t="n">
        <v>5151296</v>
      </c>
      <c r="P24" s="172" t="n">
        <v>5156073</v>
      </c>
      <c r="Q24" s="172" t="n">
        <v>5176869</v>
      </c>
      <c r="R24" s="172" t="n">
        <v>5179858</v>
      </c>
      <c r="S24" s="172" t="n">
        <v>5147707</v>
      </c>
      <c r="T24" s="172" t="n">
        <v>5139785</v>
      </c>
      <c r="U24" s="172" t="n">
        <v>5192743</v>
      </c>
      <c r="V24" s="172" t="n">
        <v>5263560</v>
      </c>
      <c r="W24" s="172" t="n">
        <v>5302993</v>
      </c>
      <c r="X24" s="172" t="n">
        <v>5373796</v>
      </c>
      <c r="Y24" s="172" t="n">
        <v>5431713</v>
      </c>
      <c r="Z24" s="172" t="n">
        <v>5473151</v>
      </c>
      <c r="AA24" s="173" t="n">
        <v>5467813</v>
      </c>
      <c r="AB24" s="173" t="n">
        <v>5461352</v>
      </c>
      <c r="AC24" s="172" t="n">
        <v>5474427</v>
      </c>
      <c r="AD24" s="172" t="n">
        <v>5473447</v>
      </c>
      <c r="AE24" s="172" t="n">
        <v>5470466</v>
      </c>
      <c r="AF24" s="172" t="n">
        <v>5487150</v>
      </c>
      <c r="AG24" s="172" t="n">
        <v>5556208</v>
      </c>
      <c r="AH24" s="172" t="n">
        <v>5570965</v>
      </c>
      <c r="AI24" s="172" t="n">
        <v>5613594</v>
      </c>
      <c r="AJ24" s="172" t="n">
        <v>5681656</v>
      </c>
      <c r="AK24" s="172" t="n">
        <v>5779361</v>
      </c>
      <c r="AL24" s="172" t="n">
        <v>5994465</v>
      </c>
      <c r="AM24" s="172" t="n">
        <v>6150389</v>
      </c>
      <c r="AN24" s="172" t="n">
        <v>6380658</v>
      </c>
      <c r="AO24" s="172" t="n">
        <v>6503877</v>
      </c>
      <c r="AP24" s="172" t="n">
        <v>6572542</v>
      </c>
      <c r="AQ24" s="172" t="n">
        <v>6600001</v>
      </c>
      <c r="AR24" s="172" t="n">
        <v>6604141</v>
      </c>
      <c r="AS24" s="172" t="n">
        <v>4424528</v>
      </c>
      <c r="AT24" s="172" t="n">
        <v>4494980</v>
      </c>
      <c r="AU24" s="172" t="n">
        <v>4552124</v>
      </c>
      <c r="AV24" s="172" t="n">
        <v>4599971</v>
      </c>
      <c r="AW24" s="172" t="n">
        <v>4627948</v>
      </c>
      <c r="AX24" s="172" t="n">
        <v>4658656</v>
      </c>
      <c r="AY24" s="172" t="n">
        <v>4663895</v>
      </c>
      <c r="AZ24" s="172" t="n">
        <v>4683326</v>
      </c>
      <c r="BA24" s="172" t="n">
        <v>4712850</v>
      </c>
      <c r="BB24" s="172" t="n">
        <v>4738121</v>
      </c>
      <c r="BC24" s="172" t="n">
        <v>4772811</v>
      </c>
      <c r="BD24" s="173" t="n">
        <v>4801477</v>
      </c>
      <c r="BE24" s="172" t="n">
        <v>4832845</v>
      </c>
      <c r="BF24" s="173" t="n">
        <v>4859031</v>
      </c>
      <c r="BG24" s="172" t="n">
        <v>4889407</v>
      </c>
      <c r="BH24" s="172" t="n">
        <v>4928376</v>
      </c>
      <c r="BI24" s="172" t="n">
        <v>4980797</v>
      </c>
      <c r="BJ24" s="172" t="n">
        <v>4998723</v>
      </c>
      <c r="BK24" s="172" t="n">
        <v>5016580</v>
      </c>
      <c r="BL24" s="172" t="n">
        <v>5039187</v>
      </c>
      <c r="BM24" s="172" t="n">
        <v>5064708</v>
      </c>
      <c r="BN24" s="172" t="n">
        <v>5081876</v>
      </c>
      <c r="BO24" s="172" t="n">
        <v>5097934</v>
      </c>
      <c r="BP24" s="172" t="n">
        <v>5127114</v>
      </c>
      <c r="BQ24" s="172" t="n">
        <v>5140127</v>
      </c>
      <c r="BR24" s="172" t="n">
        <v>5169904</v>
      </c>
      <c r="BS24" s="172" t="n">
        <v>5186971</v>
      </c>
      <c r="BT24" s="172" t="n">
        <v>5207744</v>
      </c>
      <c r="BU24" s="172" t="n">
        <v>5209203</v>
      </c>
      <c r="BV24" s="172">
        <f t="array" ref="BV24">_xlfn.XLOOKUP(1,(creditcard[YYYYMM]=BV$4)*(creditcard[Bank]=$A24),creditcard[有效卡數])</f>
        <v/>
      </c>
      <c r="BW24" s="172">
        <f t="array" ref="BW24">_xlfn.XLOOKUP(1,(creditcard[YYYYMM]=BW$4)*(creditcard[Bank]=$A24),creditcard[有效卡數])</f>
        <v/>
      </c>
      <c r="BX24" s="172">
        <f t="array" ref="BX24">_xlfn.XLOOKUP(1,(creditcard[YYYYMM]=BX$4)*(creditcard[Bank]=$A24),creditcard[有效卡數])</f>
        <v/>
      </c>
      <c r="BY24" s="172">
        <f t="array" ref="BY24">_xlfn.XLOOKUP(1,(creditcard[YYYYMM]=BY$4)*(creditcard[Bank]=$A24),creditcard[有效卡數],"")</f>
        <v/>
      </c>
      <c r="BZ24" s="172">
        <f t="array" ref="BZ24">_xlfn.XLOOKUP(1,(creditcard[YYYYMM]=BZ$4)*(creditcard[Bank]=$A24),creditcard[有效卡數],"")</f>
        <v/>
      </c>
      <c r="CA24" s="172">
        <f t="array" ref="CA24">_xlfn.XLOOKUP(1,(creditcard[YYYYMM]=CA$4)*(creditcard[Bank]=$A24),creditcard[有效卡數],"")</f>
        <v/>
      </c>
      <c r="CB24" s="172">
        <f t="array" ref="CB24">_xlfn.XLOOKUP(1,(creditcard[YYYYMM]=CB$4)*(creditcard[Bank]=$A24),creditcard[有效卡數],"")</f>
        <v/>
      </c>
      <c r="CC24" s="172">
        <f t="array" ref="CC24">_xlfn.XLOOKUP(1,(creditcard[YYYYMM]=CC$4)*(creditcard[Bank]=$A24),creditcard[有效卡數],"")</f>
        <v/>
      </c>
      <c r="CD24" s="172">
        <f t="array" ref="CD24">_xlfn.XLOOKUP(1,(creditcard[YYYYMM]=CD$4)*(creditcard[Bank]=$A24),creditcard[有效卡數],"")</f>
        <v/>
      </c>
      <c r="CE24" s="172">
        <f t="array" ref="CE24">_xlfn.XLOOKUP(1,(creditcard[YYYYMM]=CE$4)*(creditcard[Bank]=$A24),creditcard[有效卡數],"")</f>
        <v/>
      </c>
      <c r="CF24" s="172">
        <f t="array" ref="CF24">_xlfn.XLOOKUP(1,(creditcard[YYYYMM]=CF$4)*(creditcard[Bank]=$A24),creditcard[有效卡數],"")</f>
        <v/>
      </c>
      <c r="CG24" s="172">
        <f t="array" ref="CG24">_xlfn.XLOOKUP(1,(creditcard[YYYYMM]=CG$4)*(creditcard[Bank]=$A24),creditcard[有效卡數],"")</f>
        <v/>
      </c>
      <c r="CH24" s="172" t="n"/>
    </row>
    <row r="25">
      <c r="A25" s="174" t="inlineStr">
        <is>
          <t>玉山</t>
        </is>
      </c>
      <c r="B25" s="172" t="n">
        <v>4221953</v>
      </c>
      <c r="C25" s="172" t="n">
        <v>4277618</v>
      </c>
      <c r="D25" s="172" t="n">
        <v>4315393</v>
      </c>
      <c r="E25" s="172" t="n">
        <v>4334576</v>
      </c>
      <c r="F25" s="172" t="n">
        <v>4342924</v>
      </c>
      <c r="G25" s="172" t="n">
        <v>4362052</v>
      </c>
      <c r="H25" s="172" t="n">
        <v>4404803</v>
      </c>
      <c r="I25" s="172" t="n">
        <v>4414758</v>
      </c>
      <c r="J25" s="172" t="n">
        <v>4443827</v>
      </c>
      <c r="K25" s="172" t="n">
        <v>4460063</v>
      </c>
      <c r="L25" s="172" t="n">
        <v>4477538</v>
      </c>
      <c r="M25" s="172" t="n">
        <v>4488251</v>
      </c>
      <c r="N25" s="172" t="n">
        <v>4483522</v>
      </c>
      <c r="O25" s="172" t="n">
        <v>4479073</v>
      </c>
      <c r="P25" s="172" t="n">
        <v>4480211</v>
      </c>
      <c r="Q25" s="172" t="n">
        <v>4486016</v>
      </c>
      <c r="R25" s="172" t="n">
        <v>4494700</v>
      </c>
      <c r="S25" s="172" t="n">
        <v>4473471</v>
      </c>
      <c r="T25" s="172" t="n">
        <v>4467646</v>
      </c>
      <c r="U25" s="172" t="n">
        <v>4460909</v>
      </c>
      <c r="V25" s="172" t="n">
        <v>4471779</v>
      </c>
      <c r="W25" s="172" t="n">
        <v>4485535</v>
      </c>
      <c r="X25" s="172" t="n">
        <v>4495978</v>
      </c>
      <c r="Y25" s="172" t="n">
        <v>4531414</v>
      </c>
      <c r="Z25" s="172" t="n">
        <v>4546221</v>
      </c>
      <c r="AA25" s="173" t="n">
        <v>4539338</v>
      </c>
      <c r="AB25" s="173" t="n">
        <v>4533343</v>
      </c>
      <c r="AC25" s="172" t="n">
        <v>4532724</v>
      </c>
      <c r="AD25" s="172" t="n">
        <v>4522803</v>
      </c>
      <c r="AE25" s="172" t="n">
        <v>4526110</v>
      </c>
      <c r="AF25" s="172" t="n">
        <v>4536987</v>
      </c>
      <c r="AG25" s="172" t="n">
        <v>4574245</v>
      </c>
      <c r="AH25" s="172" t="n">
        <v>4606574</v>
      </c>
      <c r="AI25" s="172" t="n">
        <v>4626398</v>
      </c>
      <c r="AJ25" s="172" t="n">
        <v>4669064</v>
      </c>
      <c r="AK25" s="172" t="n">
        <v>4691885</v>
      </c>
      <c r="AL25" s="172" t="n">
        <v>4680156</v>
      </c>
      <c r="AM25" s="172" t="n">
        <v>4696644</v>
      </c>
      <c r="AN25" s="172" t="n">
        <v>4700695</v>
      </c>
      <c r="AO25" s="172" t="n">
        <v>4719597</v>
      </c>
      <c r="AP25" s="172" t="n">
        <v>4729932</v>
      </c>
      <c r="AQ25" s="172" t="n">
        <v>4731255</v>
      </c>
      <c r="AR25" s="172" t="n">
        <v>4745873</v>
      </c>
      <c r="AS25" s="172" t="n">
        <v>4769596</v>
      </c>
      <c r="AT25" s="172" t="n">
        <v>4789387</v>
      </c>
      <c r="AU25" s="172" t="n">
        <v>4784222</v>
      </c>
      <c r="AV25" s="172" t="n">
        <v>4800532</v>
      </c>
      <c r="AW25" s="172" t="n">
        <v>4804427</v>
      </c>
      <c r="AX25" s="172" t="n">
        <v>4826736</v>
      </c>
      <c r="AY25" s="172" t="n">
        <v>4814216</v>
      </c>
      <c r="AZ25" s="172" t="n">
        <v>4803284</v>
      </c>
      <c r="BA25" s="172" t="n">
        <v>4799838</v>
      </c>
      <c r="BB25" s="172" t="n">
        <v>4799594</v>
      </c>
      <c r="BC25" s="172" t="n">
        <v>4817103</v>
      </c>
      <c r="BD25" s="173" t="n">
        <v>4828965</v>
      </c>
      <c r="BE25" s="173" t="n">
        <v>4844694</v>
      </c>
      <c r="BF25" s="173" t="n">
        <v>4890091</v>
      </c>
      <c r="BG25" s="172" t="n">
        <v>4920104</v>
      </c>
      <c r="BH25" s="172" t="n">
        <v>4953725</v>
      </c>
      <c r="BI25" s="172" t="n">
        <v>4965433</v>
      </c>
      <c r="BJ25" s="172" t="n">
        <v>4967720</v>
      </c>
      <c r="BK25" s="172" t="n">
        <v>4980846</v>
      </c>
      <c r="BL25" s="172" t="n">
        <v>4967111</v>
      </c>
      <c r="BM25" s="172" t="n">
        <v>5058516</v>
      </c>
      <c r="BN25" s="172" t="n">
        <v>5176214</v>
      </c>
      <c r="BO25" s="172" t="n">
        <v>5294461</v>
      </c>
      <c r="BP25" s="172" t="n">
        <v>5403271</v>
      </c>
      <c r="BQ25" s="172" t="n">
        <v>5429148</v>
      </c>
      <c r="BR25" s="172" t="n">
        <v>5437724</v>
      </c>
      <c r="BS25" s="172" t="n">
        <v>5420952</v>
      </c>
      <c r="BT25" s="172" t="n">
        <v>5387478</v>
      </c>
      <c r="BU25" s="172" t="n">
        <v>5340523</v>
      </c>
      <c r="BV25" s="172">
        <f t="array" ref="BV25">_xlfn.XLOOKUP(1,(creditcard[YYYYMM]=BV$4)*(creditcard[Bank]=$A25),creditcard[有效卡數])</f>
        <v/>
      </c>
      <c r="BW25" s="172">
        <f t="array" ref="BW25">_xlfn.XLOOKUP(1,(creditcard[YYYYMM]=BW$4)*(creditcard[Bank]=$A25),creditcard[有效卡數])</f>
        <v/>
      </c>
      <c r="BX25" s="172">
        <f t="array" ref="BX25">_xlfn.XLOOKUP(1,(creditcard[YYYYMM]=BX$4)*(creditcard[Bank]=$A25),creditcard[有效卡數])</f>
        <v/>
      </c>
      <c r="BY25" s="172">
        <f t="array" ref="BY25">_xlfn.XLOOKUP(1,(creditcard[YYYYMM]=BY$4)*(creditcard[Bank]=$A25),creditcard[有效卡數],"")</f>
        <v/>
      </c>
      <c r="BZ25" s="172">
        <f t="array" ref="BZ25">_xlfn.XLOOKUP(1,(creditcard[YYYYMM]=BZ$4)*(creditcard[Bank]=$A25),creditcard[有效卡數],"")</f>
        <v/>
      </c>
      <c r="CA25" s="172">
        <f t="array" ref="CA25">_xlfn.XLOOKUP(1,(creditcard[YYYYMM]=CA$4)*(creditcard[Bank]=$A25),creditcard[有效卡數],"")</f>
        <v/>
      </c>
      <c r="CB25" s="172">
        <f t="array" ref="CB25">_xlfn.XLOOKUP(1,(creditcard[YYYYMM]=CB$4)*(creditcard[Bank]=$A25),creditcard[有效卡數],"")</f>
        <v/>
      </c>
      <c r="CC25" s="172">
        <f t="array" ref="CC25">_xlfn.XLOOKUP(1,(creditcard[YYYYMM]=CC$4)*(creditcard[Bank]=$A25),creditcard[有效卡數],"")</f>
        <v/>
      </c>
      <c r="CD25" s="172">
        <f t="array" ref="CD25">_xlfn.XLOOKUP(1,(creditcard[YYYYMM]=CD$4)*(creditcard[Bank]=$A25),creditcard[有效卡數],"")</f>
        <v/>
      </c>
      <c r="CE25" s="172">
        <f t="array" ref="CE25">_xlfn.XLOOKUP(1,(creditcard[YYYYMM]=CE$4)*(creditcard[Bank]=$A25),creditcard[有效卡數],"")</f>
        <v/>
      </c>
      <c r="CF25" s="172">
        <f t="array" ref="CF25">_xlfn.XLOOKUP(1,(creditcard[YYYYMM]=CF$4)*(creditcard[Bank]=$A25),creditcard[有效卡數],"")</f>
        <v/>
      </c>
      <c r="CG25" s="172">
        <f t="array" ref="CG25">_xlfn.XLOOKUP(1,(creditcard[YYYYMM]=CG$4)*(creditcard[Bank]=$A25),creditcard[有效卡數],"")</f>
        <v/>
      </c>
      <c r="CH25" s="172" t="n"/>
    </row>
    <row r="26" ht="15" customHeight="1" s="142">
      <c r="A26" s="174" t="inlineStr">
        <is>
          <t>台新</t>
        </is>
      </c>
      <c r="B26" s="172" t="n">
        <v>3801203</v>
      </c>
      <c r="C26" s="172" t="n">
        <v>3795970</v>
      </c>
      <c r="D26" s="172" t="n">
        <v>3809013</v>
      </c>
      <c r="E26" s="172" t="n">
        <v>3839447</v>
      </c>
      <c r="F26" s="172" t="n">
        <v>3934265</v>
      </c>
      <c r="G26" s="172" t="n">
        <v>3949393</v>
      </c>
      <c r="H26" s="172" t="n">
        <v>3950827</v>
      </c>
      <c r="I26" s="172" t="n">
        <v>3941993</v>
      </c>
      <c r="J26" s="172" t="n">
        <v>3948064</v>
      </c>
      <c r="K26" s="172" t="n">
        <v>3968052</v>
      </c>
      <c r="L26" s="172" t="n">
        <v>3990058</v>
      </c>
      <c r="M26" s="172" t="n">
        <v>4016276</v>
      </c>
      <c r="N26" s="172" t="n">
        <v>4027672</v>
      </c>
      <c r="O26" s="172" t="n">
        <v>4025096</v>
      </c>
      <c r="P26" s="172" t="n">
        <v>4054515</v>
      </c>
      <c r="Q26" s="172" t="n">
        <v>4071519</v>
      </c>
      <c r="R26" s="172" t="n">
        <v>4072757</v>
      </c>
      <c r="S26" s="172" t="n">
        <v>4048538</v>
      </c>
      <c r="T26" s="172" t="n">
        <v>4036717</v>
      </c>
      <c r="U26" s="172" t="n">
        <v>4044534</v>
      </c>
      <c r="V26" s="172" t="n">
        <v>4046445</v>
      </c>
      <c r="W26" s="172" t="n">
        <v>4043440</v>
      </c>
      <c r="X26" s="172" t="n">
        <v>4067702</v>
      </c>
      <c r="Y26" s="172" t="n">
        <v>4067592</v>
      </c>
      <c r="Z26" s="172" t="n">
        <v>4091774</v>
      </c>
      <c r="AA26" s="173" t="n">
        <v>4088018</v>
      </c>
      <c r="AB26" s="173" t="n">
        <v>4100790</v>
      </c>
      <c r="AC26" s="172" t="n">
        <v>4111663</v>
      </c>
      <c r="AD26" s="172" t="n">
        <v>4120744</v>
      </c>
      <c r="AE26" s="172" t="n">
        <v>4118540</v>
      </c>
      <c r="AF26" s="172" t="n">
        <v>4134423</v>
      </c>
      <c r="AG26" s="172" t="n">
        <v>4149634</v>
      </c>
      <c r="AH26" s="172" t="n">
        <v>4162487</v>
      </c>
      <c r="AI26" s="172" t="n">
        <v>4179735</v>
      </c>
      <c r="AJ26" s="172" t="n">
        <v>4228970</v>
      </c>
      <c r="AK26" s="172" t="n">
        <v>4261132</v>
      </c>
      <c r="AL26" s="172" t="n">
        <v>4288417</v>
      </c>
      <c r="AM26" s="172" t="n">
        <v>4300347</v>
      </c>
      <c r="AN26" s="172" t="n">
        <v>4331528</v>
      </c>
      <c r="AO26" s="172" t="n">
        <v>4360140</v>
      </c>
      <c r="AP26" s="172" t="n">
        <v>4386060</v>
      </c>
      <c r="AQ26" s="172" t="n">
        <v>4399712</v>
      </c>
      <c r="AR26" s="172" t="n">
        <v>4419399</v>
      </c>
      <c r="AS26" s="172" t="n">
        <v>4448555</v>
      </c>
      <c r="AT26" s="172" t="n">
        <v>4478662</v>
      </c>
      <c r="AU26" s="172" t="n">
        <v>4500599</v>
      </c>
      <c r="AV26" s="172" t="n">
        <v>4538190</v>
      </c>
      <c r="AW26" s="172" t="n">
        <v>4557884</v>
      </c>
      <c r="AX26" s="172" t="n">
        <v>4596014</v>
      </c>
      <c r="AY26" s="172" t="n">
        <v>4602442</v>
      </c>
      <c r="AZ26" s="172" t="n">
        <v>4632600</v>
      </c>
      <c r="BA26" s="172" t="n">
        <v>4652145</v>
      </c>
      <c r="BB26" s="172" t="n">
        <v>4654403</v>
      </c>
      <c r="BC26" s="172" t="n">
        <v>4653317</v>
      </c>
      <c r="BD26" s="173" t="n">
        <v>4718346</v>
      </c>
      <c r="BE26" s="172" t="n">
        <v>4758050</v>
      </c>
      <c r="BF26" s="173" t="n">
        <v>4801572</v>
      </c>
      <c r="BG26" s="172" t="n">
        <v>4821765</v>
      </c>
      <c r="BH26" s="172" t="n">
        <v>4844613</v>
      </c>
      <c r="BI26" s="172" t="n">
        <v>4845736</v>
      </c>
      <c r="BJ26" s="172" t="n">
        <v>4841935</v>
      </c>
      <c r="BK26" s="172" t="n">
        <v>4847223</v>
      </c>
      <c r="BL26" s="172" t="n">
        <v>4846808</v>
      </c>
      <c r="BM26" s="172" t="n">
        <v>4853069</v>
      </c>
      <c r="BN26" s="172" t="n">
        <v>4858371</v>
      </c>
      <c r="BO26" s="172" t="n">
        <v>4874392</v>
      </c>
      <c r="BP26" s="172" t="n">
        <v>4873151</v>
      </c>
      <c r="BQ26" s="172" t="n">
        <v>4875411</v>
      </c>
      <c r="BR26" s="172" t="n">
        <v>4844510</v>
      </c>
      <c r="BS26" s="172" t="n">
        <v>4861994</v>
      </c>
      <c r="BT26" s="172" t="n">
        <v>4861181</v>
      </c>
      <c r="BU26" s="172" t="n">
        <v>4852939</v>
      </c>
      <c r="BV26" s="172">
        <f t="array" ref="BV26">_xlfn.XLOOKUP(1,(creditcard[YYYYMM]=BV$4)*(creditcard[Bank]=$A26),creditcard[有效卡數])</f>
        <v/>
      </c>
      <c r="BW26" s="172">
        <f t="array" ref="BW26">_xlfn.XLOOKUP(1,(creditcard[YYYYMM]=BW$4)*(creditcard[Bank]=$A26),creditcard[有效卡數])</f>
        <v/>
      </c>
      <c r="BX26" s="172">
        <f t="array" ref="BX26">_xlfn.XLOOKUP(1,(creditcard[YYYYMM]=BX$4)*(creditcard[Bank]=$A26),creditcard[有效卡數])</f>
        <v/>
      </c>
      <c r="BY26" s="172">
        <f t="array" ref="BY26">_xlfn.XLOOKUP(1,(creditcard[YYYYMM]=BY$4)*(creditcard[Bank]=$A26),creditcard[有效卡數],"")</f>
        <v/>
      </c>
      <c r="BZ26" s="172">
        <f t="array" ref="BZ26">_xlfn.XLOOKUP(1,(creditcard[YYYYMM]=BZ$4)*(creditcard[Bank]=$A26),creditcard[有效卡數],"")</f>
        <v/>
      </c>
      <c r="CA26" s="172">
        <f t="array" ref="CA26">_xlfn.XLOOKUP(1,(creditcard[YYYYMM]=CA$4)*(creditcard[Bank]=$A26),creditcard[有效卡數],"")</f>
        <v/>
      </c>
      <c r="CB26" s="172">
        <f t="array" ref="CB26">_xlfn.XLOOKUP(1,(creditcard[YYYYMM]=CB$4)*(creditcard[Bank]=$A26),creditcard[有效卡數],"")</f>
        <v/>
      </c>
      <c r="CC26" s="172">
        <f t="array" ref="CC26">_xlfn.XLOOKUP(1,(creditcard[YYYYMM]=CC$4)*(creditcard[Bank]=$A26),creditcard[有效卡數],"")</f>
        <v/>
      </c>
      <c r="CD26" s="172">
        <f t="array" ref="CD26">_xlfn.XLOOKUP(1,(creditcard[YYYYMM]=CD$4)*(creditcard[Bank]=$A26),creditcard[有效卡數],"")</f>
        <v/>
      </c>
      <c r="CE26" s="172">
        <f t="array" ref="CE26">_xlfn.XLOOKUP(1,(creditcard[YYYYMM]=CE$4)*(creditcard[Bank]=$A26),creditcard[有效卡數],"")</f>
        <v/>
      </c>
      <c r="CF26" s="172">
        <f t="array" ref="CF26">_xlfn.XLOOKUP(1,(creditcard[YYYYMM]=CF$4)*(creditcard[Bank]=$A26),creditcard[有效卡數],"")</f>
        <v/>
      </c>
      <c r="CG26" s="172">
        <f t="array" ref="CG26">_xlfn.XLOOKUP(1,(creditcard[YYYYMM]=CG$4)*(creditcard[Bank]=$A26),creditcard[有效卡數],"")</f>
        <v/>
      </c>
      <c r="CH26" s="172" t="n"/>
    </row>
    <row r="27">
      <c r="A27" s="174" t="inlineStr">
        <is>
          <t>星展</t>
        </is>
      </c>
      <c r="B27" s="172" t="n">
        <v>326629</v>
      </c>
      <c r="C27" s="172" t="n">
        <v>324227</v>
      </c>
      <c r="D27" s="172" t="n">
        <v>323481</v>
      </c>
      <c r="E27" s="172" t="n">
        <v>330269</v>
      </c>
      <c r="F27" s="172" t="n">
        <v>327965</v>
      </c>
      <c r="G27" s="172" t="n">
        <v>328530</v>
      </c>
      <c r="H27" s="172" t="n">
        <v>330263</v>
      </c>
      <c r="I27" s="172" t="n">
        <v>335048</v>
      </c>
      <c r="J27" s="172" t="n">
        <v>336271</v>
      </c>
      <c r="K27" s="172" t="n">
        <v>335853</v>
      </c>
      <c r="L27" s="172" t="n">
        <v>328439</v>
      </c>
      <c r="M27" s="172" t="n">
        <v>327609</v>
      </c>
      <c r="N27" s="172" t="n">
        <v>327992</v>
      </c>
      <c r="O27" s="172" t="n">
        <v>324047</v>
      </c>
      <c r="P27" s="172" t="n">
        <v>318603</v>
      </c>
      <c r="Q27" s="172" t="n">
        <v>317198</v>
      </c>
      <c r="R27" s="172" t="n">
        <v>315593</v>
      </c>
      <c r="S27" s="172" t="n">
        <v>313021</v>
      </c>
      <c r="T27" s="172" t="n">
        <v>309883</v>
      </c>
      <c r="U27" s="172" t="n">
        <v>308680</v>
      </c>
      <c r="V27" s="172" t="n">
        <v>309322</v>
      </c>
      <c r="W27" s="172" t="n">
        <v>311872</v>
      </c>
      <c r="X27" s="172" t="n">
        <v>317527</v>
      </c>
      <c r="Y27" s="172" t="n">
        <v>318185</v>
      </c>
      <c r="Z27" s="172" t="n">
        <v>319111</v>
      </c>
      <c r="AA27" s="172" t="n">
        <v>319011</v>
      </c>
      <c r="AB27" s="172" t="n">
        <v>320552</v>
      </c>
      <c r="AC27" s="172" t="n">
        <v>322132</v>
      </c>
      <c r="AD27" s="172" t="n">
        <v>322861</v>
      </c>
      <c r="AE27" s="172" t="n">
        <v>323981</v>
      </c>
      <c r="AF27" s="172" t="n">
        <v>325928</v>
      </c>
      <c r="AG27" s="172" t="n">
        <v>327263</v>
      </c>
      <c r="AH27" s="172" t="n">
        <v>328041</v>
      </c>
      <c r="AI27" s="172" t="n">
        <v>327655</v>
      </c>
      <c r="AJ27" s="172" t="n">
        <v>329406</v>
      </c>
      <c r="AK27" s="172" t="n">
        <v>332785</v>
      </c>
      <c r="AL27" s="172" t="n">
        <v>335106</v>
      </c>
      <c r="AM27" s="172" t="n">
        <v>335128</v>
      </c>
      <c r="AN27" s="172" t="n">
        <v>337786</v>
      </c>
      <c r="AO27" s="172" t="n">
        <v>341644</v>
      </c>
      <c r="AP27" s="172" t="n">
        <v>345489</v>
      </c>
      <c r="AQ27" s="172" t="n">
        <v>349446</v>
      </c>
      <c r="AR27" s="172" t="n">
        <v>351912</v>
      </c>
      <c r="AS27" s="172" t="n">
        <v>1488741</v>
      </c>
      <c r="AT27" s="172" t="n">
        <v>2362915</v>
      </c>
      <c r="AU27" s="172" t="n">
        <v>2326603</v>
      </c>
      <c r="AV27" s="172" t="n">
        <v>2277962</v>
      </c>
      <c r="AW27" s="172" t="n">
        <v>2230905</v>
      </c>
      <c r="AX27" s="172" t="n">
        <v>2122428</v>
      </c>
      <c r="AY27" s="172" t="n">
        <v>2126704</v>
      </c>
      <c r="AZ27" s="172" t="n">
        <v>2030599</v>
      </c>
      <c r="BA27" s="172" t="n">
        <v>2079957</v>
      </c>
      <c r="BB27" s="172" t="n">
        <v>1962848</v>
      </c>
      <c r="BC27" s="172" t="n">
        <v>2042306</v>
      </c>
      <c r="BD27" s="173" t="n">
        <v>2026874</v>
      </c>
      <c r="BE27" s="172" t="n">
        <v>2086368</v>
      </c>
      <c r="BF27" s="173" t="n">
        <v>2088123</v>
      </c>
      <c r="BG27" s="172" t="n">
        <v>2083698</v>
      </c>
      <c r="BH27" s="172" t="n">
        <v>2084422</v>
      </c>
      <c r="BI27" s="172" t="n">
        <v>2071611</v>
      </c>
      <c r="BJ27" s="172" t="n">
        <v>2054973</v>
      </c>
      <c r="BK27" s="172" t="n">
        <v>2041452</v>
      </c>
      <c r="BL27" s="172" t="n">
        <v>2040784</v>
      </c>
      <c r="BM27" s="172" t="n">
        <v>2037265</v>
      </c>
      <c r="BN27" s="172" t="n">
        <v>2035932</v>
      </c>
      <c r="BO27" s="172" t="n">
        <v>2031513</v>
      </c>
      <c r="BP27" s="172" t="n">
        <v>2035831</v>
      </c>
      <c r="BQ27" s="172" t="n">
        <v>2047205</v>
      </c>
      <c r="BR27" s="172" t="n">
        <v>2046800</v>
      </c>
      <c r="BS27" s="172" t="n">
        <v>2066047</v>
      </c>
      <c r="BT27" s="172" t="n">
        <v>2069869</v>
      </c>
      <c r="BU27" s="172" t="n">
        <v>2087494</v>
      </c>
      <c r="BV27" s="172">
        <f t="array" ref="BV27">_xlfn.XLOOKUP(1,(creditcard[YYYYMM]=BV$4)*(creditcard[Bank]=$A27),creditcard[有效卡數])</f>
        <v/>
      </c>
      <c r="BW27" s="172">
        <f t="array" ref="BW27">_xlfn.XLOOKUP(1,(creditcard[YYYYMM]=BW$4)*(creditcard[Bank]=$A27),creditcard[有效卡數])</f>
        <v/>
      </c>
      <c r="BX27" s="172">
        <f t="array" ref="BX27">_xlfn.XLOOKUP(1,(creditcard[YYYYMM]=BX$4)*(creditcard[Bank]=$A27),creditcard[有效卡數])</f>
        <v/>
      </c>
      <c r="BY27" s="172">
        <f t="array" ref="BY27">_xlfn.XLOOKUP(1,(creditcard[YYYYMM]=BY$4)*(creditcard[Bank]=$A27),creditcard[有效卡數],"")</f>
        <v/>
      </c>
      <c r="BZ27" s="172">
        <f t="array" ref="BZ27">_xlfn.XLOOKUP(1,(creditcard[YYYYMM]=BZ$4)*(creditcard[Bank]=$A27),creditcard[有效卡數],"")</f>
        <v/>
      </c>
      <c r="CA27" s="172">
        <f t="array" ref="CA27">_xlfn.XLOOKUP(1,(creditcard[YYYYMM]=CA$4)*(creditcard[Bank]=$A27),creditcard[有效卡數],"")</f>
        <v/>
      </c>
      <c r="CB27" s="172">
        <f t="array" ref="CB27">_xlfn.XLOOKUP(1,(creditcard[YYYYMM]=CB$4)*(creditcard[Bank]=$A27),creditcard[有效卡數],"")</f>
        <v/>
      </c>
      <c r="CC27" s="172">
        <f t="array" ref="CC27">_xlfn.XLOOKUP(1,(creditcard[YYYYMM]=CC$4)*(creditcard[Bank]=$A27),creditcard[有效卡數],"")</f>
        <v/>
      </c>
      <c r="CD27" s="172">
        <f t="array" ref="CD27">_xlfn.XLOOKUP(1,(creditcard[YYYYMM]=CD$4)*(creditcard[Bank]=$A27),creditcard[有效卡數],"")</f>
        <v/>
      </c>
      <c r="CE27" s="172">
        <f t="array" ref="CE27">_xlfn.XLOOKUP(1,(creditcard[YYYYMM]=CE$4)*(creditcard[Bank]=$A27),creditcard[有效卡數],"")</f>
        <v/>
      </c>
      <c r="CF27" s="172">
        <f t="array" ref="CF27">_xlfn.XLOOKUP(1,(creditcard[YYYYMM]=CF$4)*(creditcard[Bank]=$A27),creditcard[有效卡數],"")</f>
        <v/>
      </c>
      <c r="CG27" s="172">
        <f t="array" ref="CG27">_xlfn.XLOOKUP(1,(creditcard[YYYYMM]=CG$4)*(creditcard[Bank]=$A27),creditcard[有效卡數],"")</f>
        <v/>
      </c>
      <c r="CH27" s="172" t="n"/>
    </row>
    <row r="28">
      <c r="A28" s="174" t="inlineStr">
        <is>
          <t>聯邦</t>
        </is>
      </c>
      <c r="B28" s="172" t="n">
        <v>1285410</v>
      </c>
      <c r="C28" s="172" t="n">
        <v>1292659</v>
      </c>
      <c r="D28" s="172" t="n">
        <v>1293597</v>
      </c>
      <c r="E28" s="172" t="n">
        <v>1299521</v>
      </c>
      <c r="F28" s="172" t="n">
        <v>1302505</v>
      </c>
      <c r="G28" s="172" t="n">
        <v>1307595</v>
      </c>
      <c r="H28" s="172" t="n">
        <v>1306551</v>
      </c>
      <c r="I28" s="172" t="n">
        <v>1308587</v>
      </c>
      <c r="J28" s="172" t="n">
        <v>1315903</v>
      </c>
      <c r="K28" s="172" t="n">
        <v>1309146</v>
      </c>
      <c r="L28" s="172" t="n">
        <v>1318430</v>
      </c>
      <c r="M28" s="172" t="n">
        <v>1322987</v>
      </c>
      <c r="N28" s="172" t="n">
        <v>1322997</v>
      </c>
      <c r="O28" s="172" t="n">
        <v>1324412</v>
      </c>
      <c r="P28" s="172" t="n">
        <v>1320990</v>
      </c>
      <c r="Q28" s="172" t="n">
        <v>1324602</v>
      </c>
      <c r="R28" s="172" t="n">
        <v>1329565</v>
      </c>
      <c r="S28" s="172" t="n">
        <v>1323492</v>
      </c>
      <c r="T28" s="172" t="n">
        <v>1307556</v>
      </c>
      <c r="U28" s="172" t="n">
        <v>1295590</v>
      </c>
      <c r="V28" s="172" t="n">
        <v>1289698</v>
      </c>
      <c r="W28" s="172" t="n">
        <v>1285380</v>
      </c>
      <c r="X28" s="172" t="n">
        <v>1285011</v>
      </c>
      <c r="Y28" s="172" t="n">
        <v>1300127</v>
      </c>
      <c r="Z28" s="172" t="n">
        <v>1316680</v>
      </c>
      <c r="AA28" s="173" t="n">
        <v>1327664</v>
      </c>
      <c r="AB28" s="173" t="n">
        <v>1332043</v>
      </c>
      <c r="AC28" s="172" t="n">
        <v>1337384</v>
      </c>
      <c r="AD28" s="172" t="n">
        <v>1337769</v>
      </c>
      <c r="AE28" s="172" t="n">
        <v>1334741</v>
      </c>
      <c r="AF28" s="172" t="n">
        <v>1331399</v>
      </c>
      <c r="AG28" s="172" t="n">
        <v>1339801</v>
      </c>
      <c r="AH28" s="172" t="n">
        <v>1346989</v>
      </c>
      <c r="AI28" s="172" t="n">
        <v>1350481</v>
      </c>
      <c r="AJ28" s="172" t="n">
        <v>1363408</v>
      </c>
      <c r="AK28" s="172" t="n">
        <v>1378137</v>
      </c>
      <c r="AL28" s="172" t="n">
        <v>1410354</v>
      </c>
      <c r="AM28" s="172" t="n">
        <v>1446152</v>
      </c>
      <c r="AN28" s="172" t="n">
        <v>1478870</v>
      </c>
      <c r="AO28" s="172" t="n">
        <v>1515979</v>
      </c>
      <c r="AP28" s="172" t="n">
        <v>1537647</v>
      </c>
      <c r="AQ28" s="172" t="n">
        <v>1558805</v>
      </c>
      <c r="AR28" s="172" t="n">
        <v>1580798</v>
      </c>
      <c r="AS28" s="172" t="n">
        <v>1634520</v>
      </c>
      <c r="AT28" s="172" t="n">
        <v>1688037</v>
      </c>
      <c r="AU28" s="172" t="n">
        <v>1719939</v>
      </c>
      <c r="AV28" s="172" t="n">
        <v>1749789</v>
      </c>
      <c r="AW28" s="172" t="n">
        <v>1775992</v>
      </c>
      <c r="AX28" s="172" t="n">
        <v>1775992</v>
      </c>
      <c r="AY28" s="172" t="n">
        <v>1824889</v>
      </c>
      <c r="AZ28" s="172" t="n">
        <v>1842928</v>
      </c>
      <c r="BA28" s="172" t="n">
        <v>1866257</v>
      </c>
      <c r="BB28" s="172" t="n">
        <v>1876977</v>
      </c>
      <c r="BC28" s="172" t="n">
        <v>1891236</v>
      </c>
      <c r="BD28" s="173" t="n">
        <v>1894851</v>
      </c>
      <c r="BE28" s="172" t="n">
        <v>1890247</v>
      </c>
      <c r="BF28" s="173" t="n">
        <v>1884640</v>
      </c>
      <c r="BG28" s="172" t="n">
        <v>1875259</v>
      </c>
      <c r="BH28" s="172" t="n">
        <v>1873468</v>
      </c>
      <c r="BI28" s="172" t="n">
        <v>1868354</v>
      </c>
      <c r="BJ28" s="172" t="n">
        <v>1866378</v>
      </c>
      <c r="BK28" s="172" t="n">
        <v>1862595</v>
      </c>
      <c r="BL28" s="172" t="n">
        <v>1857339</v>
      </c>
      <c r="BM28" s="172" t="n">
        <v>1856013</v>
      </c>
      <c r="BN28" s="172" t="n">
        <v>1849537</v>
      </c>
      <c r="BO28" s="172" t="n">
        <v>1846699</v>
      </c>
      <c r="BP28" s="172" t="n">
        <v>1842667</v>
      </c>
      <c r="BQ28" s="172" t="n">
        <v>1846922</v>
      </c>
      <c r="BR28" s="172" t="n">
        <v>1850898</v>
      </c>
      <c r="BS28" s="172" t="n">
        <v>1849732</v>
      </c>
      <c r="BT28" s="172" t="n">
        <v>1851382</v>
      </c>
      <c r="BU28" s="172" t="n">
        <v>1849324</v>
      </c>
      <c r="BV28" s="172">
        <f t="array" ref="BV28">_xlfn.XLOOKUP(1,(creditcard[YYYYMM]=BV$4)*(creditcard[Bank]=$A28),creditcard[有效卡數])</f>
        <v/>
      </c>
      <c r="BW28" s="172">
        <f t="array" ref="BW28">_xlfn.XLOOKUP(1,(creditcard[YYYYMM]=BW$4)*(creditcard[Bank]=$A28),creditcard[有效卡數])</f>
        <v/>
      </c>
      <c r="BX28" s="172">
        <f t="array" ref="BX28">_xlfn.XLOOKUP(1,(creditcard[YYYYMM]=BX$4)*(creditcard[Bank]=$A28),creditcard[有效卡數])</f>
        <v/>
      </c>
      <c r="BY28" s="172">
        <f t="array" ref="BY28">_xlfn.XLOOKUP(1,(creditcard[YYYYMM]=BY$4)*(creditcard[Bank]=$A28),creditcard[有效卡數],"")</f>
        <v/>
      </c>
      <c r="BZ28" s="172">
        <f t="array" ref="BZ28">_xlfn.XLOOKUP(1,(creditcard[YYYYMM]=BZ$4)*(creditcard[Bank]=$A28),creditcard[有效卡數],"")</f>
        <v/>
      </c>
      <c r="CA28" s="172">
        <f t="array" ref="CA28">_xlfn.XLOOKUP(1,(creditcard[YYYYMM]=CA$4)*(creditcard[Bank]=$A28),creditcard[有效卡數],"")</f>
        <v/>
      </c>
      <c r="CB28" s="172">
        <f t="array" ref="CB28">_xlfn.XLOOKUP(1,(creditcard[YYYYMM]=CB$4)*(creditcard[Bank]=$A28),creditcard[有效卡數],"")</f>
        <v/>
      </c>
      <c r="CC28" s="172">
        <f t="array" ref="CC28">_xlfn.XLOOKUP(1,(creditcard[YYYYMM]=CC$4)*(creditcard[Bank]=$A28),creditcard[有效卡數],"")</f>
        <v/>
      </c>
      <c r="CD28" s="172">
        <f t="array" ref="CD28">_xlfn.XLOOKUP(1,(creditcard[YYYYMM]=CD$4)*(creditcard[Bank]=$A28),creditcard[有效卡數],"")</f>
        <v/>
      </c>
      <c r="CE28" s="172">
        <f t="array" ref="CE28">_xlfn.XLOOKUP(1,(creditcard[YYYYMM]=CE$4)*(creditcard[Bank]=$A28),creditcard[有效卡數],"")</f>
        <v/>
      </c>
      <c r="CF28" s="172">
        <f t="array" ref="CF28">_xlfn.XLOOKUP(1,(creditcard[YYYYMM]=CF$4)*(creditcard[Bank]=$A28),creditcard[有效卡數],"")</f>
        <v/>
      </c>
      <c r="CG28" s="172">
        <f t="array" ref="CG28">_xlfn.XLOOKUP(1,(creditcard[YYYYMM]=CG$4)*(creditcard[Bank]=$A28),creditcard[有效卡數],"")</f>
        <v/>
      </c>
      <c r="CH28" s="172" t="n"/>
    </row>
    <row r="29">
      <c r="A29" s="174" t="inlineStr">
        <is>
          <t>永豐</t>
        </is>
      </c>
      <c r="B29" s="172" t="n">
        <v>1031171</v>
      </c>
      <c r="C29" s="172" t="n">
        <v>1029680</v>
      </c>
      <c r="D29" s="172" t="n">
        <v>1048373</v>
      </c>
      <c r="E29" s="172" t="n">
        <v>1055570</v>
      </c>
      <c r="F29" s="172" t="n">
        <v>1058270</v>
      </c>
      <c r="G29" s="172" t="n">
        <v>1055646</v>
      </c>
      <c r="H29" s="172" t="n">
        <v>1078258</v>
      </c>
      <c r="I29" s="172" t="n">
        <v>1086143</v>
      </c>
      <c r="J29" s="172" t="n">
        <v>1095715</v>
      </c>
      <c r="K29" s="172" t="n">
        <v>1099813</v>
      </c>
      <c r="L29" s="172" t="n">
        <v>1109061</v>
      </c>
      <c r="M29" s="172" t="n">
        <v>1108933</v>
      </c>
      <c r="N29" s="172" t="n">
        <v>1109617</v>
      </c>
      <c r="O29" s="172" t="n">
        <v>1114214</v>
      </c>
      <c r="P29" s="172" t="n">
        <v>1128544</v>
      </c>
      <c r="Q29" s="172" t="n">
        <v>1138686</v>
      </c>
      <c r="R29" s="172" t="n">
        <v>1143720</v>
      </c>
      <c r="S29" s="172" t="n">
        <v>1139492</v>
      </c>
      <c r="T29" s="172" t="n">
        <v>1143795</v>
      </c>
      <c r="U29" s="172" t="n">
        <v>1149466</v>
      </c>
      <c r="V29" s="172" t="n">
        <v>1148762</v>
      </c>
      <c r="W29" s="172" t="n">
        <v>1148623</v>
      </c>
      <c r="X29" s="172" t="n">
        <v>1155943</v>
      </c>
      <c r="Y29" s="172" t="n">
        <v>1166125</v>
      </c>
      <c r="Z29" s="172" t="n">
        <v>1176951</v>
      </c>
      <c r="AA29" s="173" t="n">
        <v>1175117</v>
      </c>
      <c r="AB29" s="173" t="n">
        <v>1194091</v>
      </c>
      <c r="AC29" s="172" t="n">
        <v>1200309</v>
      </c>
      <c r="AD29" s="172" t="n">
        <v>1201339</v>
      </c>
      <c r="AE29" s="172" t="n">
        <v>1203192</v>
      </c>
      <c r="AF29" s="172" t="n">
        <v>1210332</v>
      </c>
      <c r="AG29" s="172" t="n">
        <v>1213060</v>
      </c>
      <c r="AH29" s="172" t="n">
        <v>1209642</v>
      </c>
      <c r="AI29" s="172" t="n">
        <v>1214634</v>
      </c>
      <c r="AJ29" s="172" t="n">
        <v>1224302</v>
      </c>
      <c r="AK29" s="172" t="n">
        <v>1230621</v>
      </c>
      <c r="AL29" s="172" t="n">
        <v>1242575</v>
      </c>
      <c r="AM29" s="172" t="n">
        <v>1236796</v>
      </c>
      <c r="AN29" s="172" t="n">
        <v>1241034</v>
      </c>
      <c r="AO29" s="172" t="n">
        <v>1239205</v>
      </c>
      <c r="AP29" s="172" t="n">
        <v>1241647</v>
      </c>
      <c r="AQ29" s="172" t="n">
        <v>1243426</v>
      </c>
      <c r="AR29" s="172" t="n">
        <v>1239017</v>
      </c>
      <c r="AS29" s="172" t="n">
        <v>1249927</v>
      </c>
      <c r="AT29" s="172" t="n">
        <v>1245824</v>
      </c>
      <c r="AU29" s="172" t="n">
        <v>1250898</v>
      </c>
      <c r="AV29" s="172" t="n">
        <v>1257760</v>
      </c>
      <c r="AW29" s="172" t="n">
        <v>1259221</v>
      </c>
      <c r="AX29" s="172" t="n">
        <v>1265625</v>
      </c>
      <c r="AY29" s="172" t="n">
        <v>1261613</v>
      </c>
      <c r="AZ29" s="172" t="n">
        <v>1268856</v>
      </c>
      <c r="BA29" s="172" t="n">
        <v>1261206</v>
      </c>
      <c r="BB29" s="172" t="n">
        <v>1249908</v>
      </c>
      <c r="BC29" s="172" t="n">
        <v>1254241</v>
      </c>
      <c r="BD29" s="173" t="n">
        <v>1263294</v>
      </c>
      <c r="BE29" s="172" t="n">
        <v>1266309</v>
      </c>
      <c r="BF29" s="173" t="n">
        <v>1266554</v>
      </c>
      <c r="BG29" s="172" t="n">
        <v>1273605</v>
      </c>
      <c r="BH29" s="172" t="n">
        <v>1296046</v>
      </c>
      <c r="BI29" s="172" t="n">
        <v>1345701</v>
      </c>
      <c r="BJ29" s="172" t="n">
        <v>1407108</v>
      </c>
      <c r="BK29" s="172" t="n">
        <v>1461659</v>
      </c>
      <c r="BL29" s="172" t="n">
        <v>1484281</v>
      </c>
      <c r="BM29" s="172" t="n">
        <v>1495106</v>
      </c>
      <c r="BN29" s="172" t="n">
        <v>1502193</v>
      </c>
      <c r="BO29" s="172" t="n">
        <v>1503827</v>
      </c>
      <c r="BP29" s="172" t="n">
        <v>1522570</v>
      </c>
      <c r="BQ29" s="172" t="n">
        <v>1525417</v>
      </c>
      <c r="BR29" s="172" t="n">
        <v>1528884</v>
      </c>
      <c r="BS29" s="172" t="n">
        <v>1538563</v>
      </c>
      <c r="BT29" s="172" t="n">
        <v>1541989</v>
      </c>
      <c r="BU29" s="172" t="n">
        <v>1545721</v>
      </c>
      <c r="BV29" s="172">
        <f t="array" ref="BV29">_xlfn.XLOOKUP(1,(creditcard[YYYYMM]=BV$4)*(creditcard[Bank]=$A29),creditcard[有效卡數])</f>
        <v/>
      </c>
      <c r="BW29" s="172">
        <f t="array" ref="BW29">_xlfn.XLOOKUP(1,(creditcard[YYYYMM]=BW$4)*(creditcard[Bank]=$A29),creditcard[有效卡數])</f>
        <v/>
      </c>
      <c r="BX29" s="172">
        <f t="array" ref="BX29">_xlfn.XLOOKUP(1,(creditcard[YYYYMM]=BX$4)*(creditcard[Bank]=$A29),creditcard[有效卡數])</f>
        <v/>
      </c>
      <c r="BY29" s="172">
        <f t="array" ref="BY29">_xlfn.XLOOKUP(1,(creditcard[YYYYMM]=BY$4)*(creditcard[Bank]=$A29),creditcard[有效卡數],"")</f>
        <v/>
      </c>
      <c r="BZ29" s="172">
        <f t="array" ref="BZ29">_xlfn.XLOOKUP(1,(creditcard[YYYYMM]=BZ$4)*(creditcard[Bank]=$A29),creditcard[有效卡數],"")</f>
        <v/>
      </c>
      <c r="CA29" s="172">
        <f t="array" ref="CA29">_xlfn.XLOOKUP(1,(creditcard[YYYYMM]=CA$4)*(creditcard[Bank]=$A29),creditcard[有效卡數],"")</f>
        <v/>
      </c>
      <c r="CB29" s="172">
        <f t="array" ref="CB29">_xlfn.XLOOKUP(1,(creditcard[YYYYMM]=CB$4)*(creditcard[Bank]=$A29),creditcard[有效卡數],"")</f>
        <v/>
      </c>
      <c r="CC29" s="172">
        <f t="array" ref="CC29">_xlfn.XLOOKUP(1,(creditcard[YYYYMM]=CC$4)*(creditcard[Bank]=$A29),creditcard[有效卡數],"")</f>
        <v/>
      </c>
      <c r="CD29" s="172">
        <f t="array" ref="CD29">_xlfn.XLOOKUP(1,(creditcard[YYYYMM]=CD$4)*(creditcard[Bank]=$A29),creditcard[有效卡數],"")</f>
        <v/>
      </c>
      <c r="CE29" s="172">
        <f t="array" ref="CE29">_xlfn.XLOOKUP(1,(creditcard[YYYYMM]=CE$4)*(creditcard[Bank]=$A29),creditcard[有效卡數],"")</f>
        <v/>
      </c>
      <c r="CF29" s="172">
        <f t="array" ref="CF29">_xlfn.XLOOKUP(1,(creditcard[YYYYMM]=CF$4)*(creditcard[Bank]=$A29),creditcard[有效卡數],"")</f>
        <v/>
      </c>
      <c r="CG29" s="172">
        <f t="array" ref="CG29">_xlfn.XLOOKUP(1,(creditcard[YYYYMM]=CG$4)*(creditcard[Bank]=$A29),creditcard[有效卡數],"")</f>
        <v/>
      </c>
      <c r="CH29" s="172" t="n"/>
    </row>
    <row r="30">
      <c r="A30" s="174" t="inlineStr">
        <is>
          <t>第一</t>
        </is>
      </c>
      <c r="B30" s="172" t="n">
        <v>748430</v>
      </c>
      <c r="C30" s="172" t="n">
        <v>741911</v>
      </c>
      <c r="D30" s="172" t="n">
        <v>749586</v>
      </c>
      <c r="E30" s="172" t="n">
        <v>752382</v>
      </c>
      <c r="F30" s="172" t="n">
        <v>752249</v>
      </c>
      <c r="G30" s="172" t="n">
        <v>750833</v>
      </c>
      <c r="H30" s="172" t="n">
        <v>753398</v>
      </c>
      <c r="I30" s="172" t="n">
        <v>747800</v>
      </c>
      <c r="J30" s="172" t="n">
        <v>755366</v>
      </c>
      <c r="K30" s="172" t="n">
        <v>763536</v>
      </c>
      <c r="L30" s="172" t="n">
        <v>769145</v>
      </c>
      <c r="M30" s="172" t="n">
        <v>778382</v>
      </c>
      <c r="N30" s="172" t="n">
        <v>776255</v>
      </c>
      <c r="O30" s="172" t="n">
        <v>772079</v>
      </c>
      <c r="P30" s="172" t="n">
        <v>789215</v>
      </c>
      <c r="Q30" s="172" t="n">
        <v>809656</v>
      </c>
      <c r="R30" s="172" t="n">
        <v>822821</v>
      </c>
      <c r="S30" s="172" t="n">
        <v>823236</v>
      </c>
      <c r="T30" s="172" t="n">
        <v>826286</v>
      </c>
      <c r="U30" s="172" t="n">
        <v>831407</v>
      </c>
      <c r="V30" s="172" t="n">
        <v>831719</v>
      </c>
      <c r="W30" s="172" t="n">
        <v>834784</v>
      </c>
      <c r="X30" s="172" t="n">
        <v>838798</v>
      </c>
      <c r="Y30" s="172" t="n">
        <v>848636</v>
      </c>
      <c r="Z30" s="172" t="n">
        <v>861934</v>
      </c>
      <c r="AA30" s="173" t="n">
        <v>864745</v>
      </c>
      <c r="AB30" s="173" t="n">
        <v>876469</v>
      </c>
      <c r="AC30" s="172" t="n">
        <v>884665</v>
      </c>
      <c r="AD30" s="172" t="n">
        <v>888283</v>
      </c>
      <c r="AE30" s="172" t="n">
        <v>889372</v>
      </c>
      <c r="AF30" s="172" t="n">
        <v>889229</v>
      </c>
      <c r="AG30" s="172" t="n">
        <v>891970</v>
      </c>
      <c r="AH30" s="172" t="n">
        <v>897114</v>
      </c>
      <c r="AI30" s="172" t="n">
        <v>901984</v>
      </c>
      <c r="AJ30" s="172" t="n">
        <v>913590</v>
      </c>
      <c r="AK30" s="172" t="n">
        <v>920217</v>
      </c>
      <c r="AL30" s="172" t="n">
        <v>913028</v>
      </c>
      <c r="AM30" s="172" t="n">
        <v>917426</v>
      </c>
      <c r="AN30" s="172" t="n">
        <v>925554</v>
      </c>
      <c r="AO30" s="172" t="n">
        <v>929005</v>
      </c>
      <c r="AP30" s="172" t="n">
        <v>932036</v>
      </c>
      <c r="AQ30" s="172" t="n">
        <v>933474</v>
      </c>
      <c r="AR30" s="172" t="n">
        <v>929878</v>
      </c>
      <c r="AS30" s="172" t="n">
        <v>933620</v>
      </c>
      <c r="AT30" s="172" t="n">
        <v>934918</v>
      </c>
      <c r="AU30" s="172" t="n">
        <v>939323</v>
      </c>
      <c r="AV30" s="172" t="n">
        <v>943752</v>
      </c>
      <c r="AW30" s="172" t="n">
        <v>945372</v>
      </c>
      <c r="AX30" s="172" t="n">
        <v>945549</v>
      </c>
      <c r="AY30" s="172" t="n">
        <v>951249</v>
      </c>
      <c r="AZ30" s="172" t="n">
        <v>962672</v>
      </c>
      <c r="BA30" s="172" t="n">
        <v>963162</v>
      </c>
      <c r="BB30" s="172" t="n">
        <v>967881</v>
      </c>
      <c r="BC30" s="172" t="n">
        <v>964480</v>
      </c>
      <c r="BD30" s="173" t="n">
        <v>958431</v>
      </c>
      <c r="BE30" s="172" t="n">
        <v>948483</v>
      </c>
      <c r="BF30" s="173" t="n">
        <v>945921</v>
      </c>
      <c r="BG30" s="172" t="n">
        <v>948818</v>
      </c>
      <c r="BH30" s="172" t="n">
        <v>944936</v>
      </c>
      <c r="BI30" s="172" t="n">
        <v>942221</v>
      </c>
      <c r="BJ30" s="172" t="n">
        <v>934445</v>
      </c>
      <c r="BK30" s="172" t="n">
        <v>940183</v>
      </c>
      <c r="BL30" s="172" t="n">
        <v>944254</v>
      </c>
      <c r="BM30" s="172" t="n">
        <v>946416</v>
      </c>
      <c r="BN30" s="172" t="n">
        <v>945445</v>
      </c>
      <c r="BO30" s="172" t="n">
        <v>946717</v>
      </c>
      <c r="BP30" s="172" t="n">
        <v>952237</v>
      </c>
      <c r="BQ30" s="172" t="n">
        <v>950546</v>
      </c>
      <c r="BR30" s="172" t="n">
        <v>948177</v>
      </c>
      <c r="BS30" s="172" t="n">
        <v>946353</v>
      </c>
      <c r="BT30" s="172" t="n">
        <v>948639</v>
      </c>
      <c r="BU30" s="172" t="n">
        <v>952857</v>
      </c>
      <c r="BV30" s="172">
        <f t="array" ref="BV30">_xlfn.XLOOKUP(1,(creditcard[YYYYMM]=BV$4)*(creditcard[Bank]=$A30),creditcard[有效卡數])</f>
        <v/>
      </c>
      <c r="BW30" s="172">
        <f t="array" ref="BW30">_xlfn.XLOOKUP(1,(creditcard[YYYYMM]=BW$4)*(creditcard[Bank]=$A30),creditcard[有效卡數])</f>
        <v/>
      </c>
      <c r="BX30" s="172">
        <f t="array" ref="BX30">_xlfn.XLOOKUP(1,(creditcard[YYYYMM]=BX$4)*(creditcard[Bank]=$A30),creditcard[有效卡數])</f>
        <v/>
      </c>
      <c r="BY30" s="172">
        <f t="array" ref="BY30">_xlfn.XLOOKUP(1,(creditcard[YYYYMM]=BY$4)*(creditcard[Bank]=$A30),creditcard[有效卡數],"")</f>
        <v/>
      </c>
      <c r="BZ30" s="172">
        <f t="array" ref="BZ30">_xlfn.XLOOKUP(1,(creditcard[YYYYMM]=BZ$4)*(creditcard[Bank]=$A30),creditcard[有效卡數],"")</f>
        <v/>
      </c>
      <c r="CA30" s="172">
        <f t="array" ref="CA30">_xlfn.XLOOKUP(1,(creditcard[YYYYMM]=CA$4)*(creditcard[Bank]=$A30),creditcard[有效卡數],"")</f>
        <v/>
      </c>
      <c r="CB30" s="172">
        <f t="array" ref="CB30">_xlfn.XLOOKUP(1,(creditcard[YYYYMM]=CB$4)*(creditcard[Bank]=$A30),creditcard[有效卡數],"")</f>
        <v/>
      </c>
      <c r="CC30" s="172">
        <f t="array" ref="CC30">_xlfn.XLOOKUP(1,(creditcard[YYYYMM]=CC$4)*(creditcard[Bank]=$A30),creditcard[有效卡數],"")</f>
        <v/>
      </c>
      <c r="CD30" s="172">
        <f t="array" ref="CD30">_xlfn.XLOOKUP(1,(creditcard[YYYYMM]=CD$4)*(creditcard[Bank]=$A30),creditcard[有效卡數],"")</f>
        <v/>
      </c>
      <c r="CE30" s="172">
        <f t="array" ref="CE30">_xlfn.XLOOKUP(1,(creditcard[YYYYMM]=CE$4)*(creditcard[Bank]=$A30),creditcard[有效卡數],"")</f>
        <v/>
      </c>
      <c r="CF30" s="172">
        <f t="array" ref="CF30">_xlfn.XLOOKUP(1,(creditcard[YYYYMM]=CF$4)*(creditcard[Bank]=$A30),creditcard[有效卡數],"")</f>
        <v/>
      </c>
      <c r="CG30" s="172">
        <f t="array" ref="CG30">_xlfn.XLOOKUP(1,(creditcard[YYYYMM]=CG$4)*(creditcard[Bank]=$A30),creditcard[有效卡數],"")</f>
        <v/>
      </c>
      <c r="CH30" s="172" t="n"/>
    </row>
    <row r="31">
      <c r="A31" s="174" t="inlineStr">
        <is>
          <t>遠東</t>
        </is>
      </c>
      <c r="B31" s="172" t="n">
        <v>1052270</v>
      </c>
      <c r="C31" s="172" t="n">
        <v>1045414</v>
      </c>
      <c r="D31" s="172" t="n">
        <v>1045377</v>
      </c>
      <c r="E31" s="172" t="n">
        <v>1035633</v>
      </c>
      <c r="F31" s="172" t="n">
        <v>1023409</v>
      </c>
      <c r="G31" s="172" t="n">
        <v>1018110</v>
      </c>
      <c r="H31" s="172" t="n">
        <v>1014033</v>
      </c>
      <c r="I31" s="172" t="n">
        <v>1019925</v>
      </c>
      <c r="J31" s="172" t="n">
        <v>1021828</v>
      </c>
      <c r="K31" s="172" t="n">
        <v>1026460</v>
      </c>
      <c r="L31" s="172" t="n">
        <v>1039402</v>
      </c>
      <c r="M31" s="172" t="n">
        <v>1048521</v>
      </c>
      <c r="N31" s="172" t="n">
        <v>1047200</v>
      </c>
      <c r="O31" s="172" t="n">
        <v>1045513</v>
      </c>
      <c r="P31" s="172" t="n">
        <v>1047303</v>
      </c>
      <c r="Q31" s="172" t="n">
        <v>1043161</v>
      </c>
      <c r="R31" s="172" t="n">
        <v>1039108</v>
      </c>
      <c r="S31" s="172" t="n">
        <v>1016554</v>
      </c>
      <c r="T31" s="172" t="n">
        <v>998751</v>
      </c>
      <c r="U31" s="172" t="n">
        <v>986577</v>
      </c>
      <c r="V31" s="172" t="n">
        <v>972884</v>
      </c>
      <c r="W31" s="172" t="n">
        <v>963536</v>
      </c>
      <c r="X31" s="172" t="n">
        <v>975814</v>
      </c>
      <c r="Y31" s="172" t="n">
        <v>994110</v>
      </c>
      <c r="Z31" s="172" t="n">
        <v>1003215</v>
      </c>
      <c r="AA31" s="173" t="n">
        <v>1002306</v>
      </c>
      <c r="AB31" s="173" t="n">
        <v>1011034</v>
      </c>
      <c r="AC31" s="172" t="n">
        <v>1007260</v>
      </c>
      <c r="AD31" s="172" t="n">
        <v>995762</v>
      </c>
      <c r="AE31" s="172" t="n">
        <v>988328</v>
      </c>
      <c r="AF31" s="172" t="n">
        <v>985861</v>
      </c>
      <c r="AG31" s="172" t="n">
        <v>985581</v>
      </c>
      <c r="AH31" s="172" t="n">
        <v>976594</v>
      </c>
      <c r="AI31" s="172" t="n">
        <v>980420</v>
      </c>
      <c r="AJ31" s="172" t="n">
        <v>993097</v>
      </c>
      <c r="AK31" s="172" t="n">
        <v>1003019</v>
      </c>
      <c r="AL31" s="172" t="n">
        <v>1012499</v>
      </c>
      <c r="AM31" s="172" t="n">
        <v>1007515</v>
      </c>
      <c r="AN31" s="172" t="n">
        <v>1016400</v>
      </c>
      <c r="AO31" s="172" t="n">
        <v>1013139</v>
      </c>
      <c r="AP31" s="172" t="n">
        <v>1008779</v>
      </c>
      <c r="AQ31" s="172" t="n">
        <v>1000240</v>
      </c>
      <c r="AR31" s="172" t="n">
        <v>987088</v>
      </c>
      <c r="AS31" s="172" t="n">
        <v>992207</v>
      </c>
      <c r="AT31" s="172" t="n">
        <v>979979</v>
      </c>
      <c r="AU31" s="172" t="n">
        <v>978736</v>
      </c>
      <c r="AV31" s="172" t="n">
        <v>977431</v>
      </c>
      <c r="AW31" s="172" t="n">
        <v>976323</v>
      </c>
      <c r="AX31" s="172" t="n">
        <v>974331</v>
      </c>
      <c r="AY31" s="172" t="n">
        <v>968101</v>
      </c>
      <c r="AZ31" s="172" t="n">
        <v>966829</v>
      </c>
      <c r="BA31" s="172" t="n">
        <v>961162</v>
      </c>
      <c r="BB31" s="172" t="n">
        <v>954746</v>
      </c>
      <c r="BC31" s="172" t="n">
        <v>949495</v>
      </c>
      <c r="BD31" s="173" t="n">
        <v>946707</v>
      </c>
      <c r="BE31" s="172" t="n">
        <v>942869</v>
      </c>
      <c r="BF31" s="173" t="n">
        <v>941044</v>
      </c>
      <c r="BG31" s="172" t="n">
        <v>940380</v>
      </c>
      <c r="BH31" s="172" t="n">
        <v>943013</v>
      </c>
      <c r="BI31" s="172" t="n">
        <v>948035</v>
      </c>
      <c r="BJ31" s="172" t="n">
        <v>947191</v>
      </c>
      <c r="BK31" s="172" t="n">
        <v>947720</v>
      </c>
      <c r="BL31" s="172" t="n">
        <v>947008</v>
      </c>
      <c r="BM31" s="172" t="n">
        <v>944728</v>
      </c>
      <c r="BN31" s="172" t="n">
        <v>942748</v>
      </c>
      <c r="BO31" s="172" t="n">
        <v>935241</v>
      </c>
      <c r="BP31" s="172" t="n">
        <v>934831</v>
      </c>
      <c r="BQ31" s="172" t="n">
        <v>926739</v>
      </c>
      <c r="BR31" s="172" t="n">
        <v>919975</v>
      </c>
      <c r="BS31" s="172" t="n">
        <v>915673</v>
      </c>
      <c r="BT31" s="172" t="n">
        <v>913893</v>
      </c>
      <c r="BU31" s="172" t="n">
        <v>910122</v>
      </c>
      <c r="BV31" s="172">
        <f t="array" ref="BV31">_xlfn.XLOOKUP(1,(creditcard[YYYYMM]=BV$4)*(creditcard[Bank]=$A31),creditcard[有效卡數])</f>
        <v/>
      </c>
      <c r="BW31" s="172">
        <f t="array" ref="BW31">_xlfn.XLOOKUP(1,(creditcard[YYYYMM]=BW$4)*(creditcard[Bank]=$A31),creditcard[有效卡數])</f>
        <v/>
      </c>
      <c r="BX31" s="172">
        <f t="array" ref="BX31">_xlfn.XLOOKUP(1,(creditcard[YYYYMM]=BX$4)*(creditcard[Bank]=$A31),creditcard[有效卡數])</f>
        <v/>
      </c>
      <c r="BY31" s="172">
        <f t="array" ref="BY31">_xlfn.XLOOKUP(1,(creditcard[YYYYMM]=BY$4)*(creditcard[Bank]=$A31),creditcard[有效卡數],"")</f>
        <v/>
      </c>
      <c r="BZ31" s="172">
        <f t="array" ref="BZ31">_xlfn.XLOOKUP(1,(creditcard[YYYYMM]=BZ$4)*(creditcard[Bank]=$A31),creditcard[有效卡數],"")</f>
        <v/>
      </c>
      <c r="CA31" s="172">
        <f t="array" ref="CA31">_xlfn.XLOOKUP(1,(creditcard[YYYYMM]=CA$4)*(creditcard[Bank]=$A31),creditcard[有效卡數],"")</f>
        <v/>
      </c>
      <c r="CB31" s="172">
        <f t="array" ref="CB31">_xlfn.XLOOKUP(1,(creditcard[YYYYMM]=CB$4)*(creditcard[Bank]=$A31),creditcard[有效卡數],"")</f>
        <v/>
      </c>
      <c r="CC31" s="172">
        <f t="array" ref="CC31">_xlfn.XLOOKUP(1,(creditcard[YYYYMM]=CC$4)*(creditcard[Bank]=$A31),creditcard[有效卡數],"")</f>
        <v/>
      </c>
      <c r="CD31" s="172">
        <f t="array" ref="CD31">_xlfn.XLOOKUP(1,(creditcard[YYYYMM]=CD$4)*(creditcard[Bank]=$A31),creditcard[有效卡數],"")</f>
        <v/>
      </c>
      <c r="CE31" s="172">
        <f t="array" ref="CE31">_xlfn.XLOOKUP(1,(creditcard[YYYYMM]=CE$4)*(creditcard[Bank]=$A31),creditcard[有效卡數],"")</f>
        <v/>
      </c>
      <c r="CF31" s="172">
        <f t="array" ref="CF31">_xlfn.XLOOKUP(1,(creditcard[YYYYMM]=CF$4)*(creditcard[Bank]=$A31),creditcard[有效卡數],"")</f>
        <v/>
      </c>
      <c r="CG31" s="172">
        <f t="array" ref="CG31">_xlfn.XLOOKUP(1,(creditcard[YYYYMM]=CG$4)*(creditcard[Bank]=$A31),creditcard[有效卡數],"")</f>
        <v/>
      </c>
      <c r="CH31" s="172" t="n"/>
    </row>
    <row r="32">
      <c r="A32" s="170" t="inlineStr">
        <is>
          <t>市場總計</t>
        </is>
      </c>
      <c r="B32" s="170" t="n">
        <v>32024975</v>
      </c>
      <c r="C32" s="170" t="n">
        <v>32044792</v>
      </c>
      <c r="D32" s="170" t="n">
        <v>32162954</v>
      </c>
      <c r="E32" s="170" t="n">
        <v>32131415</v>
      </c>
      <c r="F32" s="170" t="n">
        <v>32183705</v>
      </c>
      <c r="G32" s="170" t="n">
        <v>32152731</v>
      </c>
      <c r="H32" s="170" t="n">
        <v>32276267</v>
      </c>
      <c r="I32" s="170" t="n">
        <v>32357764</v>
      </c>
      <c r="J32" s="170" t="n">
        <v>32516399</v>
      </c>
      <c r="K32" s="170" t="n">
        <v>32622661</v>
      </c>
      <c r="L32" s="170" t="n">
        <v>32822235</v>
      </c>
      <c r="M32" s="170" t="n">
        <v>33004316</v>
      </c>
      <c r="N32" s="170" t="n">
        <v>33030665</v>
      </c>
      <c r="O32" s="170" t="n">
        <v>33049410</v>
      </c>
      <c r="P32" s="170" t="n">
        <v>33201274</v>
      </c>
      <c r="Q32" s="170" t="n">
        <v>33342552</v>
      </c>
      <c r="R32" s="170" t="n">
        <v>33396000</v>
      </c>
      <c r="S32" s="170" t="n">
        <v>33183168</v>
      </c>
      <c r="T32" s="170" t="n">
        <v>33096122</v>
      </c>
      <c r="U32" s="170" t="n">
        <v>33144828</v>
      </c>
      <c r="V32" s="170" t="n">
        <v>33181794</v>
      </c>
      <c r="W32" s="170" t="n">
        <v>33235939</v>
      </c>
      <c r="X32" s="170" t="n">
        <v>33486160</v>
      </c>
      <c r="Y32" s="170" t="n">
        <v>33794844</v>
      </c>
      <c r="Z32" s="170" t="n">
        <v>33973211</v>
      </c>
      <c r="AA32" s="175" t="n">
        <v>33976443</v>
      </c>
      <c r="AB32" s="175" t="n">
        <v>34122060</v>
      </c>
      <c r="AC32" s="175" t="n">
        <v>33919801</v>
      </c>
      <c r="AD32" s="175" t="n">
        <v>33946889</v>
      </c>
      <c r="AE32" s="175" t="n">
        <v>33963815</v>
      </c>
      <c r="AF32" s="175" t="n">
        <v>34374784</v>
      </c>
      <c r="AG32" s="175" t="n">
        <v>34664057</v>
      </c>
      <c r="AH32" s="175" t="n">
        <v>34742649</v>
      </c>
      <c r="AI32" s="175" t="n">
        <v>34921067</v>
      </c>
      <c r="AJ32" s="175" t="n">
        <v>35293905</v>
      </c>
      <c r="AK32" s="175" t="n">
        <v>35597231</v>
      </c>
      <c r="AL32" s="170" t="n">
        <v>35932268</v>
      </c>
      <c r="AM32" s="175" t="n">
        <v>36255016</v>
      </c>
      <c r="AN32" s="175" t="n">
        <v>37037131</v>
      </c>
      <c r="AO32" s="175" t="n">
        <v>37431383</v>
      </c>
      <c r="AP32" s="175" t="n">
        <v>37778736</v>
      </c>
      <c r="AQ32" s="175" t="n">
        <v>38043120</v>
      </c>
      <c r="AR32" s="175" t="n">
        <v>38265105</v>
      </c>
      <c r="AS32" s="175" t="n">
        <v>36833945</v>
      </c>
      <c r="AT32" s="175" t="n">
        <v>37142706</v>
      </c>
      <c r="AU32" s="175" t="n">
        <v>37384502</v>
      </c>
      <c r="AV32" s="175" t="n">
        <v>37639601</v>
      </c>
      <c r="AW32" s="175" t="n">
        <v>37769198</v>
      </c>
      <c r="AX32" s="175" t="n">
        <v>37887426</v>
      </c>
      <c r="AY32" s="175" t="n">
        <v>37908568</v>
      </c>
      <c r="AZ32" s="175" t="n">
        <v>37956635</v>
      </c>
      <c r="BA32" s="175" t="n">
        <v>38116346</v>
      </c>
      <c r="BB32" s="175" t="n">
        <v>38060646</v>
      </c>
      <c r="BC32" s="175" t="n">
        <v>38239444</v>
      </c>
      <c r="BD32" s="175" t="n">
        <v>38358923</v>
      </c>
      <c r="BE32" s="175" t="n">
        <v>38538761</v>
      </c>
      <c r="BF32" s="175" t="n">
        <v>38629748</v>
      </c>
      <c r="BG32" s="175" t="n">
        <v>38717536</v>
      </c>
      <c r="BH32" s="175" t="n">
        <v>38905399</v>
      </c>
      <c r="BI32" s="175" t="n">
        <v>39084207</v>
      </c>
      <c r="BJ32" s="175" t="n">
        <v>39072550</v>
      </c>
      <c r="BK32" s="170" t="n">
        <v>39190270</v>
      </c>
      <c r="BL32" s="170" t="n">
        <v>39250194</v>
      </c>
      <c r="BM32" s="175" t="n">
        <v>39415942</v>
      </c>
      <c r="BN32" s="175" t="n">
        <v>39542944</v>
      </c>
      <c r="BO32" s="175" t="n">
        <v>39622444</v>
      </c>
      <c r="BP32" s="175" t="n">
        <v>39861195</v>
      </c>
      <c r="BQ32" s="175" t="n">
        <v>39931101</v>
      </c>
      <c r="BR32" s="175" t="n">
        <v>40185047</v>
      </c>
      <c r="BS32" s="175" t="n">
        <v>40376943</v>
      </c>
      <c r="BT32" s="175" t="n">
        <v>40466935</v>
      </c>
      <c r="BU32" s="175" t="n">
        <v>40554453</v>
      </c>
      <c r="BV32" s="175">
        <f t="array" ref="BV32">_xlfn.XLOOKUP(1,(creditcard[YYYYMM]=BV$4)*(creditcard[Bank]=$A32),creditcard[有效卡數])</f>
        <v/>
      </c>
      <c r="BW32" s="175">
        <f t="array" ref="BW32">_xlfn.XLOOKUP(1,(creditcard[YYYYMM]=BW$4)*(creditcard[Bank]=$A32),creditcard[有效卡數])</f>
        <v/>
      </c>
      <c r="BX32" s="175">
        <f t="array" ref="BX32">_xlfn.XLOOKUP(1,(creditcard[YYYYMM]=BX$4)*(creditcard[Bank]=$A32),creditcard[有效卡數])</f>
        <v/>
      </c>
      <c r="BY32" s="175">
        <f t="array" ref="BY32">_xlfn.XLOOKUP(1,(creditcard[YYYYMM]=BY$4)*(creditcard[Bank]=$A32),creditcard[有效卡數],"")</f>
        <v/>
      </c>
      <c r="BZ32" s="175">
        <f t="array" ref="BZ32">_xlfn.XLOOKUP(1,(creditcard[YYYYMM]=BZ$4)*(creditcard[Bank]=$A32),creditcard[有效卡數],"")</f>
        <v/>
      </c>
      <c r="CA32" s="175">
        <f t="array" ref="CA32">_xlfn.XLOOKUP(1,(creditcard[YYYYMM]=CA$4)*(creditcard[Bank]=$A32),creditcard[有效卡數],"")</f>
        <v/>
      </c>
      <c r="CB32" s="175">
        <f t="array" ref="CB32">_xlfn.XLOOKUP(1,(creditcard[YYYYMM]=CB$4)*(creditcard[Bank]=$A32),creditcard[有效卡數],"")</f>
        <v/>
      </c>
      <c r="CC32" s="175">
        <f t="array" ref="CC32">_xlfn.XLOOKUP(1,(creditcard[YYYYMM]=CC$4)*(creditcard[Bank]=$A32),creditcard[有效卡數],"")</f>
        <v/>
      </c>
      <c r="CD32" s="175">
        <f t="array" ref="CD32">_xlfn.XLOOKUP(1,(creditcard[YYYYMM]=CD$4)*(creditcard[Bank]=$A32),creditcard[有效卡數],"")</f>
        <v/>
      </c>
      <c r="CE32" s="175">
        <f t="array" ref="CE32">_xlfn.XLOOKUP(1,(creditcard[YYYYMM]=CE$4)*(creditcard[Bank]=$A32),creditcard[有效卡數],"")</f>
        <v/>
      </c>
      <c r="CF32" s="175">
        <f t="array" ref="CF32">_xlfn.XLOOKUP(1,(creditcard[YYYYMM]=CF$4)*(creditcard[Bank]=$A32),creditcard[有效卡數],"")</f>
        <v/>
      </c>
      <c r="CG32" s="175">
        <f t="array" ref="CG32">_xlfn.XLOOKUP(1,(creditcard[YYYYMM]=CG$4)*(creditcard[Bank]=$A32),creditcard[有效卡數],"")</f>
        <v/>
      </c>
      <c r="CH32" s="172" t="n"/>
    </row>
    <row r="33" ht="12.75" customFormat="1" customHeight="1" s="73">
      <c r="A33" s="176" t="inlineStr">
        <is>
          <t>TOP5</t>
        </is>
      </c>
      <c r="B33" s="177">
        <f>IFERROR(SUM(B22:B26)/B32,"")</f>
        <v/>
      </c>
      <c r="C33" s="177">
        <f>IFERROR(SUM(C22:C26)/C32,"")</f>
        <v/>
      </c>
      <c r="D33" s="177">
        <f>IFERROR(SUM(D22:D26)/D32,"")</f>
        <v/>
      </c>
      <c r="E33" s="177">
        <f>IFERROR(SUM(E22:E26)/E32,"")</f>
        <v/>
      </c>
      <c r="F33" s="177">
        <f>IFERROR(SUM(F22:F26)/F32,"")</f>
        <v/>
      </c>
      <c r="G33" s="177">
        <f>IFERROR(SUM(G22:G26)/G32,"")</f>
        <v/>
      </c>
      <c r="H33" s="177">
        <f>IFERROR(SUM(H22:H26)/H32,"")</f>
        <v/>
      </c>
      <c r="I33" s="177">
        <f>IFERROR(SUM(I22:I26)/I32,"")</f>
        <v/>
      </c>
      <c r="J33" s="177">
        <f>IFERROR(SUM(J22:J26)/J32,"")</f>
        <v/>
      </c>
      <c r="K33" s="177">
        <f>IFERROR(SUM(K22:K26)/K32,"")</f>
        <v/>
      </c>
      <c r="L33" s="177">
        <f>IFERROR(SUM(L22:L26)/L32,"")</f>
        <v/>
      </c>
      <c r="M33" s="177">
        <f>IFERROR(SUM(M22:M26)/M32,"")</f>
        <v/>
      </c>
      <c r="N33" s="177">
        <f>IFERROR(SUM(N22:N26)/N32,"")</f>
        <v/>
      </c>
      <c r="O33" s="177">
        <f>IFERROR(SUM(O22:O26)/O32,"")</f>
        <v/>
      </c>
      <c r="P33" s="177">
        <f>IFERROR(SUM(P22:P26)/P32,"")</f>
        <v/>
      </c>
      <c r="Q33" s="177">
        <f>IFERROR(SUM(Q22:Q26)/Q32,"")</f>
        <v/>
      </c>
      <c r="R33" s="177">
        <f>IFERROR(SUM(R22:R26)/R32,"")</f>
        <v/>
      </c>
      <c r="S33" s="177">
        <f>IFERROR(SUM(S22:S26)/S32,"")</f>
        <v/>
      </c>
      <c r="T33" s="177">
        <f>IFERROR(SUM(T22:T26)/T32,"")</f>
        <v/>
      </c>
      <c r="U33" s="177">
        <f>IFERROR(SUM(U22:U26)/U32,"")</f>
        <v/>
      </c>
      <c r="V33" s="177">
        <f>IFERROR(SUM(V22:V26)/V32,"")</f>
        <v/>
      </c>
      <c r="W33" s="177">
        <f>IFERROR(SUM(W22:W26)/W32,"")</f>
        <v/>
      </c>
      <c r="X33" s="177">
        <f>IFERROR(SUM(X22:X26)/X32,"")</f>
        <v/>
      </c>
      <c r="Y33" s="177">
        <f>IFERROR(SUM(Y22:Y26)/Y32,"")</f>
        <v/>
      </c>
      <c r="Z33" s="177">
        <f>IFERROR(SUM(Z22:Z26)/Z32,"")</f>
        <v/>
      </c>
      <c r="AA33" s="177">
        <f>IFERROR(SUM(AA22:AA26)/AA32,"")</f>
        <v/>
      </c>
      <c r="AB33" s="177">
        <f>IFERROR(SUM(AB22:AB26)/AB32,"")</f>
        <v/>
      </c>
      <c r="AC33" s="177">
        <f>IFERROR(SUM(AC22:AC26)/AC32,"")</f>
        <v/>
      </c>
      <c r="AD33" s="177">
        <f>IFERROR(SUM(AD22:AD26)/AD32,"")</f>
        <v/>
      </c>
      <c r="AE33" s="177">
        <f>IFERROR(SUM(AE22:AE26)/AE32,"")</f>
        <v/>
      </c>
      <c r="AF33" s="177">
        <f>IFERROR(SUM(AF22:AF26)/AF32,"")</f>
        <v/>
      </c>
      <c r="AG33" s="177">
        <f>IFERROR(SUM(AG22:AG26)/AG32,"")</f>
        <v/>
      </c>
      <c r="AH33" s="177">
        <f>IFERROR(SUM(AH22:AH26)/AH32,"")</f>
        <v/>
      </c>
      <c r="AI33" s="177">
        <f>IFERROR(SUM(AI22:AI26)/AI32,"")</f>
        <v/>
      </c>
      <c r="AJ33" s="177">
        <f>IFERROR(SUM(AJ22:AJ26)/AJ32,"")</f>
        <v/>
      </c>
      <c r="AK33" s="177">
        <f>IFERROR(SUM(AK22:AK26)/AK32,"")</f>
        <v/>
      </c>
      <c r="AL33" s="177">
        <f>IFERROR(SUM(AL22:AL26)/AL32,"")</f>
        <v/>
      </c>
      <c r="AM33" s="177">
        <f>IFERROR(SUM(AM22:AM26)/AM32,"")</f>
        <v/>
      </c>
      <c r="AN33" s="177">
        <f>IFERROR(SUM(AN22:AN26)/AN32,"")</f>
        <v/>
      </c>
      <c r="AO33" s="177">
        <f>IFERROR(SUM(AO22:AO26)/AO32,"")</f>
        <v/>
      </c>
      <c r="AP33" s="177">
        <f>IFERROR(SUM(AP22:AP26)/AP32,"")</f>
        <v/>
      </c>
      <c r="AQ33" s="177">
        <f>IFERROR(SUM(AQ22:AQ26)/AQ32,"")</f>
        <v/>
      </c>
      <c r="AR33" s="177">
        <f>IFERROR(SUM(AR22:AR26)/AR32,"")</f>
        <v/>
      </c>
      <c r="AS33" s="177">
        <f>IFERROR(SUM(AS22:AS26)/AS32,"")</f>
        <v/>
      </c>
      <c r="AT33" s="177">
        <f>IFERROR(SUM(AT22:AT26)/AT32,"")</f>
        <v/>
      </c>
      <c r="AU33" s="177">
        <f>IFERROR(SUM(AU22:AU26)/AU32,"")</f>
        <v/>
      </c>
      <c r="AV33" s="177">
        <f>IFERROR(SUM(AV22:AV26)/AV32,"")</f>
        <v/>
      </c>
      <c r="AW33" s="177">
        <f>IFERROR(SUM(AW22:AW26)/AW32,"")</f>
        <v/>
      </c>
      <c r="AX33" s="177">
        <f>IFERROR(SUM(AX22:AX26)/AX32,"")</f>
        <v/>
      </c>
      <c r="AY33" s="177">
        <f>IFERROR(SUM(AY22:AY26)/AY32,"")</f>
        <v/>
      </c>
      <c r="AZ33" s="177">
        <f>IFERROR(SUM(AZ22:AZ26)/AZ32,"")</f>
        <v/>
      </c>
      <c r="BA33" s="177">
        <f>IFERROR(SUM(BA22:BA26)/BA32,"")</f>
        <v/>
      </c>
      <c r="BB33" s="177">
        <f>IFERROR(SUM(BB22:BB26)/BB32,"")</f>
        <v/>
      </c>
      <c r="BC33" s="177">
        <f>IFERROR(SUM(BC22:BC26)/BC32,"")</f>
        <v/>
      </c>
      <c r="BD33" s="177">
        <f>IFERROR(SUM(BD22:BD26)/BD32,"")</f>
        <v/>
      </c>
      <c r="BE33" s="177">
        <f>IFERROR(SUM(BE22:BE26)/BE32,"")</f>
        <v/>
      </c>
      <c r="BF33" s="177">
        <f>IFERROR(SUM(BF22:BF26)/BF32,"")</f>
        <v/>
      </c>
      <c r="BG33" s="177">
        <f>IFERROR(SUM(BG22:BG26)/BG32,"")</f>
        <v/>
      </c>
      <c r="BH33" s="177">
        <f>IFERROR(SUM(BH22:BH26)/BH32,"")</f>
        <v/>
      </c>
      <c r="BI33" s="177">
        <f>IFERROR(SUM(BI22:BI26)/BI32,"")</f>
        <v/>
      </c>
      <c r="BJ33" s="177">
        <f>IFERROR(SUM(BJ22:BJ26)/BJ32,"")</f>
        <v/>
      </c>
      <c r="BK33" s="177">
        <f>IFERROR(SUM(BK22:BK26)/BK32,"")</f>
        <v/>
      </c>
      <c r="BL33" s="177">
        <f>IFERROR(SUM(BL22:BL26)/BL32,"")</f>
        <v/>
      </c>
      <c r="BM33" s="177">
        <f>IFERROR(SUM(BM22:BM26)/BM32,"")</f>
        <v/>
      </c>
      <c r="BN33" s="177">
        <f>IFERROR(SUM(BN22:BN26)/BN32,"")</f>
        <v/>
      </c>
      <c r="BO33" s="177">
        <f>IFERROR(SUM(BO22:BO26)/BO32,"")</f>
        <v/>
      </c>
      <c r="BP33" s="177">
        <f>IFERROR(SUM(BP22:BP26)/BP32,"")</f>
        <v/>
      </c>
      <c r="BQ33" s="177">
        <f>IFERROR(SUM(BQ22:BQ26)/BQ32,"")</f>
        <v/>
      </c>
      <c r="BR33" s="177">
        <f>IFERROR(SUM(BR22:BR26)/BR32,"")</f>
        <v/>
      </c>
      <c r="BS33" s="177">
        <f>IFERROR(SUM(BS22:BS26)/BS32,"")</f>
        <v/>
      </c>
      <c r="BT33" s="177">
        <f>IFERROR(SUM(BT22:BT26)/BT32,"")</f>
        <v/>
      </c>
      <c r="BU33" s="177">
        <f>IFERROR(SUM(BU22:BU26)/BU32,"")</f>
        <v/>
      </c>
      <c r="BV33" s="177">
        <f>IFERROR(SUM(BV22:BV26)/BV32,"")</f>
        <v/>
      </c>
      <c r="BW33" s="177">
        <f>IFERROR(SUM(BW22:BW26)/BW32,"")</f>
        <v/>
      </c>
      <c r="BX33" s="177">
        <f>IFERROR(SUM(BX22:BX26)/BX32,"")</f>
        <v/>
      </c>
      <c r="BY33" s="177">
        <f>IFERROR(SUM(BY22:BY26)/BY32,"")</f>
        <v/>
      </c>
      <c r="BZ33" s="177">
        <f>IFERROR(SUM(BZ22:BZ26)/BZ32,"")</f>
        <v/>
      </c>
      <c r="CA33" s="177">
        <f>IFERROR(SUM(CA22:CA26)/CA32,"")</f>
        <v/>
      </c>
      <c r="CB33" s="177">
        <f>IFERROR(SUM(CB22:CB26)/CB32,"")</f>
        <v/>
      </c>
      <c r="CC33" s="177">
        <f>IFERROR(SUM(CC22:CC26)/CC32,"")</f>
        <v/>
      </c>
      <c r="CD33" s="177">
        <f>IFERROR(SUM(CD22:CD26)/CD32,"")</f>
        <v/>
      </c>
      <c r="CE33" s="177">
        <f>IFERROR(SUM(CE22:CE26)/CE32,"")</f>
        <v/>
      </c>
      <c r="CF33" s="177">
        <f>IFERROR(SUM(CF22:CF26)/CF32,"")</f>
        <v/>
      </c>
      <c r="CG33" s="177">
        <f>IFERROR(SUM(CG22:CG26)/CG32,"")</f>
        <v/>
      </c>
      <c r="CH33" s="177" t="n"/>
    </row>
    <row r="34" ht="12.75" customFormat="1" customHeight="1" s="73">
      <c r="A34" s="176" t="inlineStr">
        <is>
          <t>TOP10</t>
        </is>
      </c>
      <c r="B34" s="177">
        <f>IFERROR(SUM(B22:B31)/B32,"")</f>
        <v/>
      </c>
      <c r="C34" s="177">
        <f>IFERROR(SUM(C22:C31)/C32,"")</f>
        <v/>
      </c>
      <c r="D34" s="177">
        <f>IFERROR(SUM(D22:D31)/D32,"")</f>
        <v/>
      </c>
      <c r="E34" s="177">
        <f>IFERROR(SUM(E22:E31)/E32,"")</f>
        <v/>
      </c>
      <c r="F34" s="177">
        <f>IFERROR(SUM(F22:F31)/F32,"")</f>
        <v/>
      </c>
      <c r="G34" s="177">
        <f>IFERROR(SUM(G22:G31)/G32,"")</f>
        <v/>
      </c>
      <c r="H34" s="177">
        <f>IFERROR(SUM(H22:H31)/H32,"")</f>
        <v/>
      </c>
      <c r="I34" s="177">
        <f>IFERROR(SUM(I22:I31)/I32,"")</f>
        <v/>
      </c>
      <c r="J34" s="177">
        <f>IFERROR(SUM(J22:J31)/J32,"")</f>
        <v/>
      </c>
      <c r="K34" s="177">
        <f>IFERROR(SUM(K22:K31)/K32,"")</f>
        <v/>
      </c>
      <c r="L34" s="177">
        <f>IFERROR(SUM(L22:L31)/L32,"")</f>
        <v/>
      </c>
      <c r="M34" s="177">
        <f>IFERROR(SUM(M22:M31)/M32,"")</f>
        <v/>
      </c>
      <c r="N34" s="177">
        <f>IFERROR(SUM(N22:N31)/N32,"")</f>
        <v/>
      </c>
      <c r="O34" s="177">
        <f>IFERROR(SUM(O22:O31)/O32,"")</f>
        <v/>
      </c>
      <c r="P34" s="177">
        <f>IFERROR(SUM(P22:P31)/P32,"")</f>
        <v/>
      </c>
      <c r="Q34" s="177">
        <f>IFERROR(SUM(Q22:Q31)/Q32,"")</f>
        <v/>
      </c>
      <c r="R34" s="177">
        <f>IFERROR(SUM(R22:R31)/R32,"")</f>
        <v/>
      </c>
      <c r="S34" s="177">
        <f>IFERROR(SUM(S22:S31)/S32,"")</f>
        <v/>
      </c>
      <c r="T34" s="177">
        <f>IFERROR(SUM(T22:T31)/T32,"")</f>
        <v/>
      </c>
      <c r="U34" s="177">
        <f>IFERROR(SUM(U22:U31)/U32,"")</f>
        <v/>
      </c>
      <c r="V34" s="177">
        <f>IFERROR(SUM(V22:V31)/V32,"")</f>
        <v/>
      </c>
      <c r="W34" s="177">
        <f>IFERROR(SUM(W22:W31)/W32,"")</f>
        <v/>
      </c>
      <c r="X34" s="177">
        <f>IFERROR(SUM(X22:X31)/X32,"")</f>
        <v/>
      </c>
      <c r="Y34" s="177">
        <f>IFERROR(SUM(Y22:Y31)/Y32,"")</f>
        <v/>
      </c>
      <c r="Z34" s="177">
        <f>IFERROR(SUM(Z22:Z31)/Z32,"")</f>
        <v/>
      </c>
      <c r="AA34" s="177">
        <f>IFERROR(SUM(AA22:AA31)/AA32,"")</f>
        <v/>
      </c>
      <c r="AB34" s="177">
        <f>IFERROR(SUM(AB22:AB31)/AB32,"")</f>
        <v/>
      </c>
      <c r="AC34" s="177">
        <f>IFERROR(SUM(AC22:AC31)/AC32,"")</f>
        <v/>
      </c>
      <c r="AD34" s="177">
        <f>IFERROR(SUM(AD22:AD31)/AD32,"")</f>
        <v/>
      </c>
      <c r="AE34" s="177">
        <f>IFERROR(SUM(AE22:AE31)/AE32,"")</f>
        <v/>
      </c>
      <c r="AF34" s="177">
        <f>IFERROR(SUM(AF22:AF31)/AF32,"")</f>
        <v/>
      </c>
      <c r="AG34" s="177">
        <f>IFERROR(SUM(AG22:AG31)/AG32,"")</f>
        <v/>
      </c>
      <c r="AH34" s="177">
        <f>IFERROR(SUM(AH22:AH31)/AH32,"")</f>
        <v/>
      </c>
      <c r="AI34" s="177">
        <f>IFERROR(SUM(AI22:AI31)/AI32,"")</f>
        <v/>
      </c>
      <c r="AJ34" s="177">
        <f>IFERROR(SUM(AJ22:AJ31)/AJ32,"")</f>
        <v/>
      </c>
      <c r="AK34" s="177">
        <f>IFERROR(SUM(AK22:AK31)/AK32,"")</f>
        <v/>
      </c>
      <c r="AL34" s="177">
        <f>IFERROR(SUM(AL22:AL31)/AL32,"")</f>
        <v/>
      </c>
      <c r="AM34" s="177">
        <f>IFERROR(SUM(AM22:AM31)/AM32,"")</f>
        <v/>
      </c>
      <c r="AN34" s="177">
        <f>IFERROR(SUM(AN22:AN31)/AN32,"")</f>
        <v/>
      </c>
      <c r="AO34" s="177">
        <f>IFERROR(SUM(AO22:AO31)/AO32,"")</f>
        <v/>
      </c>
      <c r="AP34" s="177">
        <f>IFERROR(SUM(AP22:AP31)/AP32,"")</f>
        <v/>
      </c>
      <c r="AQ34" s="177">
        <f>IFERROR(SUM(AQ22:AQ31)/AQ32,"")</f>
        <v/>
      </c>
      <c r="AR34" s="177">
        <f>IFERROR(SUM(AR22:AR31)/AR32,"")</f>
        <v/>
      </c>
      <c r="AS34" s="177">
        <f>IFERROR(SUM(AS22:AS31)/AS32,"")</f>
        <v/>
      </c>
      <c r="AT34" s="177">
        <f>IFERROR(SUM(AT22:AT31)/AT32,"")</f>
        <v/>
      </c>
      <c r="AU34" s="177">
        <f>IFERROR(SUM(AU22:AU31)/AU32,"")</f>
        <v/>
      </c>
      <c r="AV34" s="177">
        <f>IFERROR(SUM(AV22:AV31)/AV32,"")</f>
        <v/>
      </c>
      <c r="AW34" s="177">
        <f>IFERROR(SUM(AW22:AW31)/AW32,"")</f>
        <v/>
      </c>
      <c r="AX34" s="177">
        <f>IFERROR(SUM(AX22:AX31)/AX32,"")</f>
        <v/>
      </c>
      <c r="AY34" s="177">
        <f>IFERROR(SUM(AY22:AY31)/AY32,"")</f>
        <v/>
      </c>
      <c r="AZ34" s="177">
        <f>IFERROR(SUM(AZ22:AZ31)/AZ32,"")</f>
        <v/>
      </c>
      <c r="BA34" s="177">
        <f>IFERROR(SUM(BA22:BA31)/BA32,"")</f>
        <v/>
      </c>
      <c r="BB34" s="177">
        <f>IFERROR(SUM(BB22:BB31)/BB32,"")</f>
        <v/>
      </c>
      <c r="BC34" s="177">
        <f>IFERROR(SUM(BC22:BC31)/BC32,"")</f>
        <v/>
      </c>
      <c r="BD34" s="177">
        <f>IFERROR(SUM(BD22:BD31)/BD32,"")</f>
        <v/>
      </c>
      <c r="BE34" s="177">
        <f>IFERROR(SUM(BE22:BE31)/BE32,"")</f>
        <v/>
      </c>
      <c r="BF34" s="177">
        <f>IFERROR(SUM(BF22:BF31)/BF32,"")</f>
        <v/>
      </c>
      <c r="BG34" s="177">
        <f>IFERROR(SUM(BG22:BG31)/BG32,"")</f>
        <v/>
      </c>
      <c r="BH34" s="177">
        <f>IFERROR(SUM(BH22:BH31)/BH32,"")</f>
        <v/>
      </c>
      <c r="BI34" s="177">
        <f>IFERROR(SUM(BI22:BI31)/BI32,"")</f>
        <v/>
      </c>
      <c r="BJ34" s="177">
        <f>IFERROR(SUM(BJ22:BJ31)/BJ32,"")</f>
        <v/>
      </c>
      <c r="BK34" s="177">
        <f>IFERROR(SUM(BK22:BK31)/BK32,"")</f>
        <v/>
      </c>
      <c r="BL34" s="177">
        <f>IFERROR(SUM(BL22:BL31)/BL32,"")</f>
        <v/>
      </c>
      <c r="BM34" s="177">
        <f>IFERROR(SUM(BM22:BM31)/BM32,"")</f>
        <v/>
      </c>
      <c r="BN34" s="177">
        <f>IFERROR(SUM(BN22:BN31)/BN32,"")</f>
        <v/>
      </c>
      <c r="BO34" s="177">
        <f>IFERROR(SUM(BO22:BO31)/BO32,"")</f>
        <v/>
      </c>
      <c r="BP34" s="177">
        <f>IFERROR(SUM(BP22:BP31)/BP32,"")</f>
        <v/>
      </c>
      <c r="BQ34" s="177">
        <f>IFERROR(SUM(BQ22:BQ31)/BQ32,"")</f>
        <v/>
      </c>
      <c r="BR34" s="177">
        <f>IFERROR(SUM(BR22:BR31)/BR32,"")</f>
        <v/>
      </c>
      <c r="BS34" s="177">
        <f>IFERROR(SUM(BS22:BS31)/BS32,"")</f>
        <v/>
      </c>
      <c r="BT34" s="177">
        <f>IFERROR(SUM(BT22:BT31)/BT32,"")</f>
        <v/>
      </c>
      <c r="BU34" s="177">
        <f>IFERROR(SUM(BU22:BU31)/BU32,"")</f>
        <v/>
      </c>
      <c r="BV34" s="177">
        <f>IFERROR(SUM(BV22:BV31)/BV32,"")</f>
        <v/>
      </c>
      <c r="BW34" s="177">
        <f>IFERROR(SUM(BW22:BW31)/BW32,"")</f>
        <v/>
      </c>
      <c r="BX34" s="177">
        <f>IFERROR(SUM(BX22:BX31)/BX32,"")</f>
        <v/>
      </c>
      <c r="BY34" s="177">
        <f>IFERROR(SUM(BY22:BY31)/BY32,"")</f>
        <v/>
      </c>
      <c r="BZ34" s="177">
        <f>IFERROR(SUM(BZ22:BZ31)/BZ32,"")</f>
        <v/>
      </c>
      <c r="CA34" s="177">
        <f>IFERROR(SUM(CA22:CA31)/CA32,"")</f>
        <v/>
      </c>
      <c r="CB34" s="177">
        <f>IFERROR(SUM(CB22:CB31)/CB32,"")</f>
        <v/>
      </c>
      <c r="CC34" s="177">
        <f>IFERROR(SUM(CC22:CC31)/CC32,"")</f>
        <v/>
      </c>
      <c r="CD34" s="177">
        <f>IFERROR(SUM(CD22:CD31)/CD32,"")</f>
        <v/>
      </c>
      <c r="CE34" s="177">
        <f>IFERROR(SUM(CE22:CE31)/CE32,"")</f>
        <v/>
      </c>
      <c r="CF34" s="177">
        <f>IFERROR(SUM(CF22:CF31)/CF32,"")</f>
        <v/>
      </c>
      <c r="CG34" s="177">
        <f>IFERROR(SUM(CG22:CG31)/CG32,"")</f>
        <v/>
      </c>
      <c r="CH34" s="177" t="n"/>
    </row>
    <row r="35">
      <c r="A35" s="172" t="n"/>
      <c r="B35" s="180" t="n"/>
      <c r="C35" s="180" t="n"/>
      <c r="D35" s="180" t="n"/>
      <c r="E35" s="180" t="n"/>
      <c r="F35" s="180" t="n"/>
      <c r="G35" s="180" t="n"/>
      <c r="H35" s="180" t="n"/>
      <c r="I35" s="180" t="n"/>
      <c r="J35" s="180" t="n"/>
      <c r="K35" s="180" t="n"/>
      <c r="L35" s="180" t="n"/>
      <c r="M35" s="180" t="n"/>
      <c r="N35" s="180" t="n"/>
      <c r="O35" s="180" t="n"/>
      <c r="P35" s="180" t="n"/>
      <c r="Q35" s="180" t="n"/>
      <c r="R35" s="180" t="n"/>
      <c r="S35" s="180" t="n"/>
      <c r="T35" s="180" t="n"/>
      <c r="U35" s="180" t="n"/>
      <c r="V35" s="180" t="n"/>
      <c r="W35" s="180" t="n"/>
      <c r="X35" s="180" t="n"/>
      <c r="Y35" s="180" t="n"/>
      <c r="Z35" s="181" t="n"/>
      <c r="AA35" s="181" t="n"/>
      <c r="AB35" s="181" t="n"/>
      <c r="AC35" s="181" t="n"/>
      <c r="AD35" s="181" t="n"/>
      <c r="AE35" s="181" t="n"/>
      <c r="AF35" s="181" t="n"/>
      <c r="AG35" s="181" t="n"/>
      <c r="AH35" s="181" t="n"/>
      <c r="AI35" s="181" t="n"/>
      <c r="AJ35" s="181" t="n"/>
      <c r="AK35" s="180" t="n"/>
      <c r="AL35" s="180" t="n"/>
      <c r="AM35" s="180" t="n"/>
      <c r="AN35" s="180" t="n"/>
      <c r="AO35" s="180" t="n"/>
      <c r="AP35" s="180" t="n"/>
      <c r="AQ35" s="180" t="n"/>
      <c r="AR35" s="180" t="n"/>
      <c r="AS35" s="180" t="n"/>
      <c r="AT35" s="180" t="n"/>
      <c r="AU35" s="180" t="n"/>
      <c r="AV35" s="180" t="n"/>
      <c r="AW35" s="180" t="n"/>
      <c r="AX35" s="180" t="n"/>
      <c r="AY35" s="180" t="n"/>
      <c r="AZ35" s="180" t="n"/>
      <c r="BA35" s="180" t="n"/>
      <c r="BB35" s="180" t="n"/>
      <c r="BC35" s="180" t="n"/>
      <c r="BD35" s="180" t="n"/>
      <c r="BE35" s="180" t="n"/>
      <c r="BF35" s="180" t="n"/>
      <c r="BG35" s="180" t="n"/>
      <c r="BH35" s="180" t="n"/>
      <c r="BI35" s="180" t="n"/>
      <c r="BJ35" s="180" t="n"/>
      <c r="BK35" s="180" t="n"/>
      <c r="BL35" s="180" t="n"/>
      <c r="BM35" s="180" t="n"/>
      <c r="BN35" s="180" t="n"/>
      <c r="BO35" s="180" t="n"/>
      <c r="BP35" s="180" t="n"/>
      <c r="BQ35" s="180" t="n"/>
      <c r="BR35" s="180" t="n"/>
      <c r="BS35" s="180" t="n"/>
      <c r="BT35" s="180" t="n"/>
      <c r="BU35" s="180" t="n"/>
      <c r="BV35" s="180" t="n"/>
      <c r="BW35" s="180" t="n"/>
      <c r="BX35" s="180" t="n"/>
      <c r="BY35" s="180" t="n"/>
      <c r="BZ35" s="180" t="n"/>
      <c r="CA35" s="180" t="n"/>
      <c r="CB35" s="180" t="n"/>
      <c r="CC35" s="180" t="n"/>
      <c r="CD35" s="180" t="n"/>
      <c r="CE35" s="180" t="n"/>
      <c r="CF35" s="180" t="n"/>
      <c r="CG35" s="180" t="n"/>
      <c r="CH35" s="180" t="n"/>
    </row>
    <row r="36">
      <c r="A36" s="141" t="inlineStr">
        <is>
          <t>有效卡率(%)</t>
        </is>
      </c>
      <c r="B36" s="141">
        <f>B$1</f>
        <v/>
      </c>
      <c r="C36" s="141">
        <f>C$1</f>
        <v/>
      </c>
      <c r="D36" s="141">
        <f>D$1</f>
        <v/>
      </c>
      <c r="E36" s="141">
        <f>E$1</f>
        <v/>
      </c>
      <c r="F36" s="141">
        <f>F$1</f>
        <v/>
      </c>
      <c r="G36" s="141">
        <f>G$1</f>
        <v/>
      </c>
      <c r="H36" s="141">
        <f>H$1</f>
        <v/>
      </c>
      <c r="I36" s="141">
        <f>I$1</f>
        <v/>
      </c>
      <c r="J36" s="141">
        <f>J$1</f>
        <v/>
      </c>
      <c r="K36" s="141">
        <f>K$1</f>
        <v/>
      </c>
      <c r="L36" s="141">
        <f>L$1</f>
        <v/>
      </c>
      <c r="M36" s="141">
        <f>M$1</f>
        <v/>
      </c>
      <c r="N36" s="141">
        <f>N$1</f>
        <v/>
      </c>
      <c r="O36" s="141">
        <f>O$1</f>
        <v/>
      </c>
      <c r="P36" s="141">
        <f>P$1</f>
        <v/>
      </c>
      <c r="Q36" s="141">
        <f>Q$1</f>
        <v/>
      </c>
      <c r="R36" s="141">
        <f>R$1</f>
        <v/>
      </c>
      <c r="S36" s="141">
        <f>S$1</f>
        <v/>
      </c>
      <c r="T36" s="141">
        <f>T$1</f>
        <v/>
      </c>
      <c r="U36" s="141">
        <f>U$1</f>
        <v/>
      </c>
      <c r="V36" s="141">
        <f>V$1</f>
        <v/>
      </c>
      <c r="W36" s="141">
        <f>W$1</f>
        <v/>
      </c>
      <c r="X36" s="141">
        <f>X$1</f>
        <v/>
      </c>
      <c r="Y36" s="141">
        <f>Y$1</f>
        <v/>
      </c>
      <c r="Z36" s="141">
        <f>Z$1</f>
        <v/>
      </c>
      <c r="AA36" s="141">
        <f>AA$1</f>
        <v/>
      </c>
      <c r="AB36" s="141">
        <f>AB$1</f>
        <v/>
      </c>
      <c r="AC36" s="141">
        <f>AC$1</f>
        <v/>
      </c>
      <c r="AD36" s="141">
        <f>AD$1</f>
        <v/>
      </c>
      <c r="AE36" s="141">
        <f>AE$1</f>
        <v/>
      </c>
      <c r="AF36" s="141">
        <f>AF$1</f>
        <v/>
      </c>
      <c r="AG36" s="141">
        <f>AG$1</f>
        <v/>
      </c>
      <c r="AH36" s="141">
        <f>AH$1</f>
        <v/>
      </c>
      <c r="AI36" s="141">
        <f>AI$1</f>
        <v/>
      </c>
      <c r="AJ36" s="141">
        <f>AJ$1</f>
        <v/>
      </c>
      <c r="AK36" s="141">
        <f>AK$1</f>
        <v/>
      </c>
      <c r="AL36" s="141">
        <f>AL$1</f>
        <v/>
      </c>
      <c r="AM36" s="141">
        <f>AM$1</f>
        <v/>
      </c>
      <c r="AN36" s="141">
        <f>AN$1</f>
        <v/>
      </c>
      <c r="AO36" s="141">
        <f>AO$1</f>
        <v/>
      </c>
      <c r="AP36" s="141">
        <f>AP$1</f>
        <v/>
      </c>
      <c r="AQ36" s="141">
        <f>AQ$1</f>
        <v/>
      </c>
      <c r="AR36" s="141">
        <f>AR$1</f>
        <v/>
      </c>
      <c r="AS36" s="141">
        <f>AS$1</f>
        <v/>
      </c>
      <c r="AT36" s="141">
        <f>AT$1</f>
        <v/>
      </c>
      <c r="AU36" s="141">
        <f>AU$1</f>
        <v/>
      </c>
      <c r="AV36" s="141">
        <f>AV$1</f>
        <v/>
      </c>
      <c r="AW36" s="141">
        <f>AW$1</f>
        <v/>
      </c>
      <c r="AX36" s="141">
        <f>AX$1</f>
        <v/>
      </c>
      <c r="AY36" s="141">
        <f>AY$1</f>
        <v/>
      </c>
      <c r="AZ36" s="141">
        <f>AZ$1</f>
        <v/>
      </c>
      <c r="BA36" s="141">
        <f>BA$1</f>
        <v/>
      </c>
      <c r="BB36" s="141">
        <f>BB$1</f>
        <v/>
      </c>
      <c r="BC36" s="141">
        <f>BC$1</f>
        <v/>
      </c>
      <c r="BD36" s="141">
        <f>BD$1</f>
        <v/>
      </c>
      <c r="BE36" s="141">
        <f>BE$1</f>
        <v/>
      </c>
      <c r="BF36" s="141">
        <f>BF$1</f>
        <v/>
      </c>
      <c r="BG36" s="141">
        <f>BG$1</f>
        <v/>
      </c>
      <c r="BH36" s="141">
        <f>BH$1</f>
        <v/>
      </c>
      <c r="BI36" s="141">
        <f>BI$1</f>
        <v/>
      </c>
      <c r="BJ36" s="141">
        <f>BJ$1</f>
        <v/>
      </c>
      <c r="BK36" s="141">
        <f>BK$1</f>
        <v/>
      </c>
      <c r="BL36" s="141">
        <f>BL$1</f>
        <v/>
      </c>
      <c r="BM36" s="141">
        <f>BM$1</f>
        <v/>
      </c>
      <c r="BN36" s="141">
        <f>BN$1</f>
        <v/>
      </c>
      <c r="BO36" s="141">
        <f>BO$1</f>
        <v/>
      </c>
      <c r="BP36" s="141">
        <f>BP$1</f>
        <v/>
      </c>
      <c r="BQ36" s="141">
        <f>BQ$1</f>
        <v/>
      </c>
      <c r="BR36" s="141">
        <f>BR$1</f>
        <v/>
      </c>
      <c r="BS36" s="141">
        <f>BS$1</f>
        <v/>
      </c>
      <c r="BT36" s="141">
        <f>BT$1</f>
        <v/>
      </c>
      <c r="BU36" s="141">
        <f>BU$1</f>
        <v/>
      </c>
      <c r="BV36" s="141">
        <f>BV$1</f>
        <v/>
      </c>
      <c r="BW36" s="141">
        <f>BW$1</f>
        <v/>
      </c>
      <c r="BX36" s="141">
        <f>BX$1</f>
        <v/>
      </c>
      <c r="BY36" s="141">
        <f>BY$1</f>
        <v/>
      </c>
      <c r="BZ36" s="141">
        <f>BZ$1</f>
        <v/>
      </c>
      <c r="CA36" s="141">
        <f>CA$1</f>
        <v/>
      </c>
      <c r="CB36" s="141">
        <f>CB$1</f>
        <v/>
      </c>
      <c r="CC36" s="141">
        <f>CC$1</f>
        <v/>
      </c>
      <c r="CD36" s="141">
        <f>CD$1</f>
        <v/>
      </c>
      <c r="CE36" s="141">
        <f>CE$1</f>
        <v/>
      </c>
      <c r="CF36" s="141">
        <f>CF$1</f>
        <v/>
      </c>
      <c r="CG36" s="141">
        <f>CG$1</f>
        <v/>
      </c>
      <c r="CH36" s="30" t="n"/>
    </row>
    <row r="37">
      <c r="A37" s="174" t="inlineStr">
        <is>
          <t>中信</t>
        </is>
      </c>
      <c r="B37" s="4">
        <f>IFERROR(B22/B5,"")</f>
        <v/>
      </c>
      <c r="C37" s="4">
        <f>IFERROR(C22/C5,"")</f>
        <v/>
      </c>
      <c r="D37" s="4">
        <f>IFERROR(D22/D5,"")</f>
        <v/>
      </c>
      <c r="E37" s="4">
        <f>IFERROR(E22/E5,"")</f>
        <v/>
      </c>
      <c r="F37" s="4">
        <f>IFERROR(F22/F5,"")</f>
        <v/>
      </c>
      <c r="G37" s="4">
        <f>IFERROR(G22/G5,"")</f>
        <v/>
      </c>
      <c r="H37" s="4">
        <f>IFERROR(H22/H5,"")</f>
        <v/>
      </c>
      <c r="I37" s="4">
        <f>IFERROR(I22/I5,"")</f>
        <v/>
      </c>
      <c r="J37" s="4">
        <f>IFERROR(J22/J5,"")</f>
        <v/>
      </c>
      <c r="K37" s="4">
        <f>IFERROR(K22/K5,"")</f>
        <v/>
      </c>
      <c r="L37" s="4">
        <f>IFERROR(L22/L5,"")</f>
        <v/>
      </c>
      <c r="M37" s="4">
        <f>IFERROR(M22/M5,"")</f>
        <v/>
      </c>
      <c r="N37" s="4">
        <f>IFERROR(N22/N5,"")</f>
        <v/>
      </c>
      <c r="O37" s="4">
        <f>IFERROR(O22/O5,"")</f>
        <v/>
      </c>
      <c r="P37" s="4">
        <f>IFERROR(P22/P5,"")</f>
        <v/>
      </c>
      <c r="Q37" s="4">
        <f>IFERROR(Q22/Q5,"")</f>
        <v/>
      </c>
      <c r="R37" s="4">
        <f>IFERROR(R22/R5,"")</f>
        <v/>
      </c>
      <c r="S37" s="4">
        <f>IFERROR(S22/S5,"")</f>
        <v/>
      </c>
      <c r="T37" s="4">
        <f>IFERROR(T22/T5,"")</f>
        <v/>
      </c>
      <c r="U37" s="4">
        <f>IFERROR(U22/U5,"")</f>
        <v/>
      </c>
      <c r="V37" s="4">
        <f>IFERROR(V22/V5,"")</f>
        <v/>
      </c>
      <c r="W37" s="4">
        <f>IFERROR(W22/W5,"")</f>
        <v/>
      </c>
      <c r="X37" s="4">
        <f>IFERROR(X22/X5,"")</f>
        <v/>
      </c>
      <c r="Y37" s="4">
        <f>IFERROR(Y22/Y5,"")</f>
        <v/>
      </c>
      <c r="Z37" s="4">
        <f>IFERROR(Z22/Z5,"")</f>
        <v/>
      </c>
      <c r="AA37" s="4">
        <f>IFERROR(AA22/AA5,"")</f>
        <v/>
      </c>
      <c r="AB37" s="4">
        <f>IFERROR(AB22/AB5,"")</f>
        <v/>
      </c>
      <c r="AC37" s="4">
        <f>IFERROR(AC22/AC5,"")</f>
        <v/>
      </c>
      <c r="AD37" s="4">
        <f>IFERROR(AD22/AD5,"")</f>
        <v/>
      </c>
      <c r="AE37" s="4">
        <f>IFERROR(AE22/AE5,"")</f>
        <v/>
      </c>
      <c r="AF37" s="4">
        <f>IFERROR(AF22/AF5,"")</f>
        <v/>
      </c>
      <c r="AG37" s="4">
        <f>IFERROR(AG22/AG5,"")</f>
        <v/>
      </c>
      <c r="AH37" s="4">
        <f>IFERROR(AH22/AH5,"")</f>
        <v/>
      </c>
      <c r="AI37" s="4">
        <f>IFERROR(AI22/AI5,"")</f>
        <v/>
      </c>
      <c r="AJ37" s="4">
        <f>IFERROR(AJ22/AJ5,"")</f>
        <v/>
      </c>
      <c r="AK37" s="4">
        <f>IFERROR(AK22/AK5,"")</f>
        <v/>
      </c>
      <c r="AL37" s="4">
        <f>IFERROR(AL22/AL5,"")</f>
        <v/>
      </c>
      <c r="AM37" s="4">
        <f>IFERROR(AM22/AM5,"")</f>
        <v/>
      </c>
      <c r="AN37" s="4">
        <f>IFERROR(AN22/AN5,"")</f>
        <v/>
      </c>
      <c r="AO37" s="4">
        <f>IFERROR(AO22/AO5,"")</f>
        <v/>
      </c>
      <c r="AP37" s="4">
        <f>IFERROR(AP22/AP5,"")</f>
        <v/>
      </c>
      <c r="AQ37" s="4">
        <f>IFERROR(AQ22/AQ5,"")</f>
        <v/>
      </c>
      <c r="AR37" s="4">
        <f>IFERROR(AR22/AR5,"")</f>
        <v/>
      </c>
      <c r="AS37" s="4">
        <f>IFERROR(AS22/AS5,"")</f>
        <v/>
      </c>
      <c r="AT37" s="4">
        <f>IFERROR(AT22/AT5,"")</f>
        <v/>
      </c>
      <c r="AU37" s="4">
        <f>IFERROR(AU22/AU5,"")</f>
        <v/>
      </c>
      <c r="AV37" s="4">
        <f>IFERROR(AV22/AV5,"")</f>
        <v/>
      </c>
      <c r="AW37" s="4">
        <f>IFERROR(AW22/AW5,"")</f>
        <v/>
      </c>
      <c r="AX37" s="4">
        <f>IFERROR(AX22/AX5,"")</f>
        <v/>
      </c>
      <c r="AY37" s="4">
        <f>IFERROR(AY22/AY5,"")</f>
        <v/>
      </c>
      <c r="AZ37" s="4">
        <f>IFERROR(AZ22/AZ5,"")</f>
        <v/>
      </c>
      <c r="BA37" s="4">
        <f>IFERROR(BA22/BA5,"")</f>
        <v/>
      </c>
      <c r="BB37" s="4">
        <f>IFERROR(BB22/BB5,"")</f>
        <v/>
      </c>
      <c r="BC37" s="4">
        <f>IFERROR(BC22/BC5,"")</f>
        <v/>
      </c>
      <c r="BD37" s="4">
        <f>IFERROR(BD22/BD5,"")</f>
        <v/>
      </c>
      <c r="BE37" s="4">
        <f>IFERROR(BE22/BE5,"")</f>
        <v/>
      </c>
      <c r="BF37" s="4">
        <f>IFERROR(BF22/BF5,"")</f>
        <v/>
      </c>
      <c r="BG37" s="4">
        <f>IFERROR(BG22/BG5,"")</f>
        <v/>
      </c>
      <c r="BH37" s="4">
        <f>IFERROR(BH22/BH5,"")</f>
        <v/>
      </c>
      <c r="BI37" s="4">
        <f>IFERROR(BI22/BI5,"")</f>
        <v/>
      </c>
      <c r="BJ37" s="4">
        <f>IFERROR(BJ22/BJ5,"")</f>
        <v/>
      </c>
      <c r="BK37" s="4">
        <f>IFERROR(BK22/BK5,"")</f>
        <v/>
      </c>
      <c r="BL37" s="4">
        <f>IFERROR(BL22/BL5,"")</f>
        <v/>
      </c>
      <c r="BM37" s="4">
        <f>IFERROR(BM22/BM5,"")</f>
        <v/>
      </c>
      <c r="BN37" s="4">
        <f>IFERROR(BN22/BN5,"")</f>
        <v/>
      </c>
      <c r="BO37" s="4">
        <f>IFERROR(BO22/BO5,"")</f>
        <v/>
      </c>
      <c r="BP37" s="4">
        <f>IFERROR(BP22/BP5,"")</f>
        <v/>
      </c>
      <c r="BQ37" s="4">
        <f>IFERROR(BQ22/BQ5,"")</f>
        <v/>
      </c>
      <c r="BR37" s="4">
        <f>IFERROR(BR22/BR5,"")</f>
        <v/>
      </c>
      <c r="BS37" s="4">
        <f>IFERROR(BS22/BS5,"")</f>
        <v/>
      </c>
      <c r="BT37" s="4">
        <f>IFERROR(BT22/BT5,"")</f>
        <v/>
      </c>
      <c r="BU37" s="4">
        <f>IFERROR(BU22/BU5,"")</f>
        <v/>
      </c>
      <c r="BV37" s="4">
        <f>IFERROR(BV22/BV5,"")</f>
        <v/>
      </c>
      <c r="BW37" s="4">
        <f>IFERROR(BW22/BW5,"")</f>
        <v/>
      </c>
      <c r="BX37" s="4">
        <f>IFERROR(BX22/BX5,"")</f>
        <v/>
      </c>
      <c r="BY37" s="4">
        <f>IFERROR(BY22/BY5,"")</f>
        <v/>
      </c>
      <c r="BZ37" s="4">
        <f>IFERROR(BZ22/BZ5,"")</f>
        <v/>
      </c>
      <c r="CA37" s="4">
        <f>IFERROR(CA22/CA5,"")</f>
        <v/>
      </c>
      <c r="CB37" s="4">
        <f>IFERROR(CB22/CB5,"")</f>
        <v/>
      </c>
      <c r="CC37" s="4">
        <f>IFERROR(CC22/CC5,"")</f>
        <v/>
      </c>
      <c r="CD37" s="4">
        <f>IFERROR(CD22/CD5,"")</f>
        <v/>
      </c>
      <c r="CE37" s="4">
        <f>IFERROR(CE22/CE5,"")</f>
        <v/>
      </c>
      <c r="CF37" s="4">
        <f>IFERROR(CF22/CF5,"")</f>
        <v/>
      </c>
      <c r="CG37" s="4">
        <f>IFERROR(CG22/CG5,"")</f>
        <v/>
      </c>
      <c r="CH37" s="4" t="n"/>
    </row>
    <row r="38">
      <c r="A38" s="174" t="inlineStr">
        <is>
          <t>富邦</t>
        </is>
      </c>
      <c r="B38" s="4">
        <f>IFERROR(B23/B6,"")</f>
        <v/>
      </c>
      <c r="C38" s="4">
        <f>IFERROR(C23/C6,"")</f>
        <v/>
      </c>
      <c r="D38" s="4">
        <f>IFERROR(D23/D6,"")</f>
        <v/>
      </c>
      <c r="E38" s="4">
        <f>IFERROR(E23/E6,"")</f>
        <v/>
      </c>
      <c r="F38" s="4">
        <f>IFERROR(F23/F6,"")</f>
        <v/>
      </c>
      <c r="G38" s="4">
        <f>IFERROR(G23/G6,"")</f>
        <v/>
      </c>
      <c r="H38" s="4">
        <f>IFERROR(H23/H6,"")</f>
        <v/>
      </c>
      <c r="I38" s="4">
        <f>IFERROR(I23/I6,"")</f>
        <v/>
      </c>
      <c r="J38" s="4">
        <f>IFERROR(J23/J6,"")</f>
        <v/>
      </c>
      <c r="K38" s="4">
        <f>IFERROR(K23/K6,"")</f>
        <v/>
      </c>
      <c r="L38" s="4">
        <f>IFERROR(L23/L6,"")</f>
        <v/>
      </c>
      <c r="M38" s="4">
        <f>IFERROR(M23/M6,"")</f>
        <v/>
      </c>
      <c r="N38" s="4">
        <f>IFERROR(N23/N6,"")</f>
        <v/>
      </c>
      <c r="O38" s="4">
        <f>IFERROR(O23/O6,"")</f>
        <v/>
      </c>
      <c r="P38" s="4">
        <f>IFERROR(P23/P6,"")</f>
        <v/>
      </c>
      <c r="Q38" s="4">
        <f>IFERROR(Q23/Q6,"")</f>
        <v/>
      </c>
      <c r="R38" s="4">
        <f>IFERROR(R23/R6,"")</f>
        <v/>
      </c>
      <c r="S38" s="4">
        <f>IFERROR(S23/S6,"")</f>
        <v/>
      </c>
      <c r="T38" s="4">
        <f>IFERROR(T23/T6,"")</f>
        <v/>
      </c>
      <c r="U38" s="4">
        <f>IFERROR(U23/U6,"")</f>
        <v/>
      </c>
      <c r="V38" s="4">
        <f>IFERROR(V23/V6,"")</f>
        <v/>
      </c>
      <c r="W38" s="4">
        <f>IFERROR(W23/W6,"")</f>
        <v/>
      </c>
      <c r="X38" s="4">
        <f>IFERROR(X23/X6,"")</f>
        <v/>
      </c>
      <c r="Y38" s="4">
        <f>IFERROR(Y23/Y6,"")</f>
        <v/>
      </c>
      <c r="Z38" s="4">
        <f>IFERROR(Z23/Z6,"")</f>
        <v/>
      </c>
      <c r="AA38" s="4">
        <f>IFERROR(AA23/AA6,"")</f>
        <v/>
      </c>
      <c r="AB38" s="4">
        <f>IFERROR(AB23/AB6,"")</f>
        <v/>
      </c>
      <c r="AC38" s="4">
        <f>IFERROR(AC23/AC6,"")</f>
        <v/>
      </c>
      <c r="AD38" s="4">
        <f>IFERROR(AD23/AD6,"")</f>
        <v/>
      </c>
      <c r="AE38" s="4">
        <f>IFERROR(AE23/AE6,"")</f>
        <v/>
      </c>
      <c r="AF38" s="4">
        <f>IFERROR(AF23/AF6,"")</f>
        <v/>
      </c>
      <c r="AG38" s="4">
        <f>IFERROR(AG23/AG6,"")</f>
        <v/>
      </c>
      <c r="AH38" s="4">
        <f>IFERROR(AH23/AH6,"")</f>
        <v/>
      </c>
      <c r="AI38" s="4">
        <f>IFERROR(AI23/AI6,"")</f>
        <v/>
      </c>
      <c r="AJ38" s="4">
        <f>IFERROR(AJ23/AJ6,"")</f>
        <v/>
      </c>
      <c r="AK38" s="4">
        <f>IFERROR(AK23/AK6,"")</f>
        <v/>
      </c>
      <c r="AL38" s="4">
        <f>IFERROR(AL23/AL6,"")</f>
        <v/>
      </c>
      <c r="AM38" s="4">
        <f>IFERROR(AM23/AM6,"")</f>
        <v/>
      </c>
      <c r="AN38" s="4">
        <f>IFERROR(AN23/AN6,"")</f>
        <v/>
      </c>
      <c r="AO38" s="4">
        <f>IFERROR(AO23/AO6,"")</f>
        <v/>
      </c>
      <c r="AP38" s="4">
        <f>IFERROR(AP23/AP6,"")</f>
        <v/>
      </c>
      <c r="AQ38" s="4">
        <f>IFERROR(AQ23/AQ6,"")</f>
        <v/>
      </c>
      <c r="AR38" s="4">
        <f>IFERROR(AR23/AR6,"")</f>
        <v/>
      </c>
      <c r="AS38" s="4">
        <f>IFERROR(AS23/AS6,"")</f>
        <v/>
      </c>
      <c r="AT38" s="4">
        <f>IFERROR(AT23/AT6,"")</f>
        <v/>
      </c>
      <c r="AU38" s="4">
        <f>IFERROR(AU23/AU6,"")</f>
        <v/>
      </c>
      <c r="AV38" s="4">
        <f>IFERROR(AV23/AV6,"")</f>
        <v/>
      </c>
      <c r="AW38" s="4">
        <f>IFERROR(AW23/AW6,"")</f>
        <v/>
      </c>
      <c r="AX38" s="4">
        <f>IFERROR(AX23/AX6,"")</f>
        <v/>
      </c>
      <c r="AY38" s="4">
        <f>IFERROR(AY23/AY6,"")</f>
        <v/>
      </c>
      <c r="AZ38" s="4">
        <f>IFERROR(AZ23/AZ6,"")</f>
        <v/>
      </c>
      <c r="BA38" s="4">
        <f>IFERROR(BA23/BA6,"")</f>
        <v/>
      </c>
      <c r="BB38" s="4">
        <f>IFERROR(BB23/BB6,"")</f>
        <v/>
      </c>
      <c r="BC38" s="4">
        <f>IFERROR(BC23/BC6,"")</f>
        <v/>
      </c>
      <c r="BD38" s="4">
        <f>IFERROR(BD23/BD6,"")</f>
        <v/>
      </c>
      <c r="BE38" s="4">
        <f>IFERROR(BE23/BE6,"")</f>
        <v/>
      </c>
      <c r="BF38" s="4">
        <f>IFERROR(BF23/BF6,"")</f>
        <v/>
      </c>
      <c r="BG38" s="4">
        <f>IFERROR(BG23/BG6,"")</f>
        <v/>
      </c>
      <c r="BH38" s="4">
        <f>IFERROR(BH23/BH6,"")</f>
        <v/>
      </c>
      <c r="BI38" s="4">
        <f>IFERROR(BI23/BI6,"")</f>
        <v/>
      </c>
      <c r="BJ38" s="4">
        <f>IFERROR(BJ23/BJ6,"")</f>
        <v/>
      </c>
      <c r="BK38" s="4">
        <f>IFERROR(BK23/BK6,"")</f>
        <v/>
      </c>
      <c r="BL38" s="4">
        <f>IFERROR(BL23/BL6,"")</f>
        <v/>
      </c>
      <c r="BM38" s="4">
        <f>IFERROR(BM23/BM6,"")</f>
        <v/>
      </c>
      <c r="BN38" s="4">
        <f>IFERROR(BN23/BN6,"")</f>
        <v/>
      </c>
      <c r="BO38" s="4">
        <f>IFERROR(BO23/BO6,"")</f>
        <v/>
      </c>
      <c r="BP38" s="4">
        <f>IFERROR(BP23/BP6,"")</f>
        <v/>
      </c>
      <c r="BQ38" s="4">
        <f>IFERROR(BQ23/BQ6,"")</f>
        <v/>
      </c>
      <c r="BR38" s="4">
        <f>IFERROR(BR23/BR6,"")</f>
        <v/>
      </c>
      <c r="BS38" s="4">
        <f>IFERROR(BS23/BS6,"")</f>
        <v/>
      </c>
      <c r="BT38" s="4">
        <f>IFERROR(BT23/BT6,"")</f>
        <v/>
      </c>
      <c r="BU38" s="4">
        <f>IFERROR(BU23/BU6,"")</f>
        <v/>
      </c>
      <c r="BV38" s="4">
        <f>IFERROR(BV23/BV6,"")</f>
        <v/>
      </c>
      <c r="BW38" s="4">
        <f>IFERROR(BW23/BW6,"")</f>
        <v/>
      </c>
      <c r="BX38" s="4">
        <f>IFERROR(BX23/BX6,"")</f>
        <v/>
      </c>
      <c r="BY38" s="4">
        <f>IFERROR(BY23/BY6,"")</f>
        <v/>
      </c>
      <c r="BZ38" s="4">
        <f>IFERROR(BZ23/BZ6,"")</f>
        <v/>
      </c>
      <c r="CA38" s="4">
        <f>IFERROR(CA23/CA6,"")</f>
        <v/>
      </c>
      <c r="CB38" s="4">
        <f>IFERROR(CB23/CB6,"")</f>
        <v/>
      </c>
      <c r="CC38" s="4">
        <f>IFERROR(CC23/CC6,"")</f>
        <v/>
      </c>
      <c r="CD38" s="4">
        <f>IFERROR(CD23/CD6,"")</f>
        <v/>
      </c>
      <c r="CE38" s="4">
        <f>IFERROR(CE23/CE6,"")</f>
        <v/>
      </c>
      <c r="CF38" s="4">
        <f>IFERROR(CF23/CF6,"")</f>
        <v/>
      </c>
      <c r="CG38" s="4">
        <f>IFERROR(CG23/CG6,"")</f>
        <v/>
      </c>
      <c r="CH38" s="4" t="n"/>
    </row>
    <row r="39">
      <c r="A39" s="174" t="inlineStr">
        <is>
          <t>國泰</t>
        </is>
      </c>
      <c r="B39" s="4">
        <f>IFERROR(B24/B7,"")</f>
        <v/>
      </c>
      <c r="C39" s="4">
        <f>IFERROR(C24/C7,"")</f>
        <v/>
      </c>
      <c r="D39" s="4">
        <f>IFERROR(D24/D7,"")</f>
        <v/>
      </c>
      <c r="E39" s="4">
        <f>IFERROR(E24/E7,"")</f>
        <v/>
      </c>
      <c r="F39" s="4">
        <f>IFERROR(F24/F7,"")</f>
        <v/>
      </c>
      <c r="G39" s="4">
        <f>IFERROR(G24/G7,"")</f>
        <v/>
      </c>
      <c r="H39" s="4">
        <f>IFERROR(H24/H7,"")</f>
        <v/>
      </c>
      <c r="I39" s="4">
        <f>IFERROR(I24/I7,"")</f>
        <v/>
      </c>
      <c r="J39" s="4">
        <f>IFERROR(J24/J7,"")</f>
        <v/>
      </c>
      <c r="K39" s="4">
        <f>IFERROR(K24/K7,"")</f>
        <v/>
      </c>
      <c r="L39" s="4">
        <f>IFERROR(L24/L7,"")</f>
        <v/>
      </c>
      <c r="M39" s="4">
        <f>IFERROR(M24/M7,"")</f>
        <v/>
      </c>
      <c r="N39" s="4">
        <f>IFERROR(N24/N7,"")</f>
        <v/>
      </c>
      <c r="O39" s="4">
        <f>IFERROR(O24/O7,"")</f>
        <v/>
      </c>
      <c r="P39" s="4">
        <f>IFERROR(P24/P7,"")</f>
        <v/>
      </c>
      <c r="Q39" s="4">
        <f>IFERROR(Q24/Q7,"")</f>
        <v/>
      </c>
      <c r="R39" s="4">
        <f>IFERROR(R24/R7,"")</f>
        <v/>
      </c>
      <c r="S39" s="4">
        <f>IFERROR(S24/S7,"")</f>
        <v/>
      </c>
      <c r="T39" s="4">
        <f>IFERROR(T24/T7,"")</f>
        <v/>
      </c>
      <c r="U39" s="4">
        <f>IFERROR(U24/U7,"")</f>
        <v/>
      </c>
      <c r="V39" s="4">
        <f>IFERROR(V24/V7,"")</f>
        <v/>
      </c>
      <c r="W39" s="4">
        <f>IFERROR(W24/W7,"")</f>
        <v/>
      </c>
      <c r="X39" s="4">
        <f>IFERROR(X24/X7,"")</f>
        <v/>
      </c>
      <c r="Y39" s="4">
        <f>IFERROR(Y24/Y7,"")</f>
        <v/>
      </c>
      <c r="Z39" s="4">
        <f>IFERROR(Z24/Z7,"")</f>
        <v/>
      </c>
      <c r="AA39" s="4">
        <f>IFERROR(AA24/AA7,"")</f>
        <v/>
      </c>
      <c r="AB39" s="4">
        <f>IFERROR(AB24/AB7,"")</f>
        <v/>
      </c>
      <c r="AC39" s="4">
        <f>IFERROR(AC24/AC7,"")</f>
        <v/>
      </c>
      <c r="AD39" s="4">
        <f>IFERROR(AD24/AD7,"")</f>
        <v/>
      </c>
      <c r="AE39" s="4">
        <f>IFERROR(AE24/AE7,"")</f>
        <v/>
      </c>
      <c r="AF39" s="4">
        <f>IFERROR(AF24/AF7,"")</f>
        <v/>
      </c>
      <c r="AG39" s="4">
        <f>IFERROR(AG24/AG7,"")</f>
        <v/>
      </c>
      <c r="AH39" s="4">
        <f>IFERROR(AH24/AH7,"")</f>
        <v/>
      </c>
      <c r="AI39" s="4">
        <f>IFERROR(AI24/AI7,"")</f>
        <v/>
      </c>
      <c r="AJ39" s="4">
        <f>IFERROR(AJ24/AJ7,"")</f>
        <v/>
      </c>
      <c r="AK39" s="4">
        <f>IFERROR(AK24/AK7,"")</f>
        <v/>
      </c>
      <c r="AL39" s="4">
        <f>IFERROR(AL24/AL7,"")</f>
        <v/>
      </c>
      <c r="AM39" s="4">
        <f>IFERROR(AM24/AM7,"")</f>
        <v/>
      </c>
      <c r="AN39" s="4">
        <f>IFERROR(AN24/AN7,"")</f>
        <v/>
      </c>
      <c r="AO39" s="4">
        <f>IFERROR(AO24/AO7,"")</f>
        <v/>
      </c>
      <c r="AP39" s="4">
        <f>IFERROR(AP24/AP7,"")</f>
        <v/>
      </c>
      <c r="AQ39" s="4">
        <f>IFERROR(AQ24/AQ7,"")</f>
        <v/>
      </c>
      <c r="AR39" s="4">
        <f>IFERROR(AR24/AR7,"")</f>
        <v/>
      </c>
      <c r="AS39" s="4">
        <f>IFERROR(AS24/AS7,"")</f>
        <v/>
      </c>
      <c r="AT39" s="4">
        <f>IFERROR(AT24/AT7,"")</f>
        <v/>
      </c>
      <c r="AU39" s="4">
        <f>IFERROR(AU24/AU7,"")</f>
        <v/>
      </c>
      <c r="AV39" s="4">
        <f>IFERROR(AV24/AV7,"")</f>
        <v/>
      </c>
      <c r="AW39" s="4">
        <f>IFERROR(AW24/AW7,"")</f>
        <v/>
      </c>
      <c r="AX39" s="4">
        <f>IFERROR(AX24/AX7,"")</f>
        <v/>
      </c>
      <c r="AY39" s="4">
        <f>IFERROR(AY24/AY7,"")</f>
        <v/>
      </c>
      <c r="AZ39" s="4">
        <f>IFERROR(AZ24/AZ7,"")</f>
        <v/>
      </c>
      <c r="BA39" s="4">
        <f>IFERROR(BA24/BA7,"")</f>
        <v/>
      </c>
      <c r="BB39" s="4">
        <f>IFERROR(BB24/BB7,"")</f>
        <v/>
      </c>
      <c r="BC39" s="4">
        <f>IFERROR(BC24/BC7,"")</f>
        <v/>
      </c>
      <c r="BD39" s="4">
        <f>IFERROR(BD24/BD7,"")</f>
        <v/>
      </c>
      <c r="BE39" s="4">
        <f>IFERROR(BE24/BE7,"")</f>
        <v/>
      </c>
      <c r="BF39" s="4">
        <f>IFERROR(BF24/BF7,"")</f>
        <v/>
      </c>
      <c r="BG39" s="4">
        <f>IFERROR(BG24/BG7,"")</f>
        <v/>
      </c>
      <c r="BH39" s="4">
        <f>IFERROR(BH24/BH7,"")</f>
        <v/>
      </c>
      <c r="BI39" s="4">
        <f>IFERROR(BI24/BI7,"")</f>
        <v/>
      </c>
      <c r="BJ39" s="4">
        <f>IFERROR(BJ24/BJ7,"")</f>
        <v/>
      </c>
      <c r="BK39" s="4">
        <f>IFERROR(BK24/BK7,"")</f>
        <v/>
      </c>
      <c r="BL39" s="4">
        <f>IFERROR(BL24/BL7,"")</f>
        <v/>
      </c>
      <c r="BM39" s="4">
        <f>IFERROR(BM24/BM7,"")</f>
        <v/>
      </c>
      <c r="BN39" s="4">
        <f>IFERROR(BN24/BN7,"")</f>
        <v/>
      </c>
      <c r="BO39" s="4">
        <f>IFERROR(BO24/BO7,"")</f>
        <v/>
      </c>
      <c r="BP39" s="4">
        <f>IFERROR(BP24/BP7,"")</f>
        <v/>
      </c>
      <c r="BQ39" s="4">
        <f>IFERROR(BQ24/BQ7,"")</f>
        <v/>
      </c>
      <c r="BR39" s="4">
        <f>IFERROR(BR24/BR7,"")</f>
        <v/>
      </c>
      <c r="BS39" s="4">
        <f>IFERROR(BS24/BS7,"")</f>
        <v/>
      </c>
      <c r="BT39" s="4">
        <f>IFERROR(BT24/BT7,"")</f>
        <v/>
      </c>
      <c r="BU39" s="4">
        <f>IFERROR(BU24/BU7,"")</f>
        <v/>
      </c>
      <c r="BV39" s="4">
        <f>IFERROR(BV24/BV7,"")</f>
        <v/>
      </c>
      <c r="BW39" s="4">
        <f>IFERROR(BW24/BW7,"")</f>
        <v/>
      </c>
      <c r="BX39" s="4">
        <f>IFERROR(BX24/BX7,"")</f>
        <v/>
      </c>
      <c r="BY39" s="4">
        <f>IFERROR(BY24/BY7,"")</f>
        <v/>
      </c>
      <c r="BZ39" s="4">
        <f>IFERROR(BZ24/BZ7,"")</f>
        <v/>
      </c>
      <c r="CA39" s="4">
        <f>IFERROR(CA24/CA7,"")</f>
        <v/>
      </c>
      <c r="CB39" s="4">
        <f>IFERROR(CB24/CB7,"")</f>
        <v/>
      </c>
      <c r="CC39" s="4">
        <f>IFERROR(CC24/CC7,"")</f>
        <v/>
      </c>
      <c r="CD39" s="4">
        <f>IFERROR(CD24/CD7,"")</f>
        <v/>
      </c>
      <c r="CE39" s="4">
        <f>IFERROR(CE24/CE7,"")</f>
        <v/>
      </c>
      <c r="CF39" s="4">
        <f>IFERROR(CF24/CF7,"")</f>
        <v/>
      </c>
      <c r="CG39" s="4">
        <f>IFERROR(CG24/CG7,"")</f>
        <v/>
      </c>
      <c r="CH39" s="4" t="n"/>
    </row>
    <row r="40">
      <c r="A40" s="174" t="inlineStr">
        <is>
          <t>玉山</t>
        </is>
      </c>
      <c r="B40" s="4">
        <f>IFERROR(B25/B8,"")</f>
        <v/>
      </c>
      <c r="C40" s="4">
        <f>IFERROR(C25/C8,"")</f>
        <v/>
      </c>
      <c r="D40" s="4">
        <f>IFERROR(D25/D8,"")</f>
        <v/>
      </c>
      <c r="E40" s="4">
        <f>IFERROR(E25/E8,"")</f>
        <v/>
      </c>
      <c r="F40" s="4">
        <f>IFERROR(F25/F8,"")</f>
        <v/>
      </c>
      <c r="G40" s="4">
        <f>IFERROR(G25/G8,"")</f>
        <v/>
      </c>
      <c r="H40" s="4">
        <f>IFERROR(H25/H8,"")</f>
        <v/>
      </c>
      <c r="I40" s="4">
        <f>IFERROR(I25/I8,"")</f>
        <v/>
      </c>
      <c r="J40" s="4">
        <f>IFERROR(J25/J8,"")</f>
        <v/>
      </c>
      <c r="K40" s="4">
        <f>IFERROR(K25/K8,"")</f>
        <v/>
      </c>
      <c r="L40" s="4">
        <f>IFERROR(L25/L8,"")</f>
        <v/>
      </c>
      <c r="M40" s="4">
        <f>IFERROR(M25/M8,"")</f>
        <v/>
      </c>
      <c r="N40" s="4">
        <f>IFERROR(N25/N8,"")</f>
        <v/>
      </c>
      <c r="O40" s="4">
        <f>IFERROR(O25/O8,"")</f>
        <v/>
      </c>
      <c r="P40" s="4">
        <f>IFERROR(P25/P8,"")</f>
        <v/>
      </c>
      <c r="Q40" s="4">
        <f>IFERROR(Q25/Q8,"")</f>
        <v/>
      </c>
      <c r="R40" s="4">
        <f>IFERROR(R25/R8,"")</f>
        <v/>
      </c>
      <c r="S40" s="4">
        <f>IFERROR(S25/S8,"")</f>
        <v/>
      </c>
      <c r="T40" s="4">
        <f>IFERROR(T25/T8,"")</f>
        <v/>
      </c>
      <c r="U40" s="4">
        <f>IFERROR(U25/U8,"")</f>
        <v/>
      </c>
      <c r="V40" s="4">
        <f>IFERROR(V25/V8,"")</f>
        <v/>
      </c>
      <c r="W40" s="4">
        <f>IFERROR(W25/W8,"")</f>
        <v/>
      </c>
      <c r="X40" s="4">
        <f>IFERROR(X25/X8,"")</f>
        <v/>
      </c>
      <c r="Y40" s="4">
        <f>IFERROR(Y25/Y8,"")</f>
        <v/>
      </c>
      <c r="Z40" s="4">
        <f>IFERROR(Z25/Z8,"")</f>
        <v/>
      </c>
      <c r="AA40" s="4">
        <f>IFERROR(AA25/AA8,"")</f>
        <v/>
      </c>
      <c r="AB40" s="4">
        <f>IFERROR(AB25/AB8,"")</f>
        <v/>
      </c>
      <c r="AC40" s="4">
        <f>IFERROR(AC25/AC8,"")</f>
        <v/>
      </c>
      <c r="AD40" s="4">
        <f>IFERROR(AD25/AD8,"")</f>
        <v/>
      </c>
      <c r="AE40" s="4">
        <f>IFERROR(AE25/AE8,"")</f>
        <v/>
      </c>
      <c r="AF40" s="4">
        <f>IFERROR(AF25/AF8,"")</f>
        <v/>
      </c>
      <c r="AG40" s="4">
        <f>IFERROR(AG25/AG8,"")</f>
        <v/>
      </c>
      <c r="AH40" s="4">
        <f>IFERROR(AH25/AH8,"")</f>
        <v/>
      </c>
      <c r="AI40" s="4">
        <f>IFERROR(AI25/AI8,"")</f>
        <v/>
      </c>
      <c r="AJ40" s="4">
        <f>IFERROR(AJ25/AJ8,"")</f>
        <v/>
      </c>
      <c r="AK40" s="4">
        <f>IFERROR(AK25/AK8,"")</f>
        <v/>
      </c>
      <c r="AL40" s="4">
        <f>IFERROR(AL25/AL8,"")</f>
        <v/>
      </c>
      <c r="AM40" s="4">
        <f>IFERROR(AM25/AM8,"")</f>
        <v/>
      </c>
      <c r="AN40" s="4">
        <f>IFERROR(AN25/AN8,"")</f>
        <v/>
      </c>
      <c r="AO40" s="4">
        <f>IFERROR(AO25/AO8,"")</f>
        <v/>
      </c>
      <c r="AP40" s="4">
        <f>IFERROR(AP25/AP8,"")</f>
        <v/>
      </c>
      <c r="AQ40" s="4">
        <f>IFERROR(AQ25/AQ8,"")</f>
        <v/>
      </c>
      <c r="AR40" s="4">
        <f>IFERROR(AR25/AR8,"")</f>
        <v/>
      </c>
      <c r="AS40" s="4">
        <f>IFERROR(AS25/AS8,"")</f>
        <v/>
      </c>
      <c r="AT40" s="4">
        <f>IFERROR(AT25/AT8,"")</f>
        <v/>
      </c>
      <c r="AU40" s="4">
        <f>IFERROR(AU25/AU8,"")</f>
        <v/>
      </c>
      <c r="AV40" s="4">
        <f>IFERROR(AV25/AV8,"")</f>
        <v/>
      </c>
      <c r="AW40" s="4">
        <f>IFERROR(AW25/AW8,"")</f>
        <v/>
      </c>
      <c r="AX40" s="4">
        <f>IFERROR(AX25/AX8,"")</f>
        <v/>
      </c>
      <c r="AY40" s="4">
        <f>IFERROR(AY25/AY8,"")</f>
        <v/>
      </c>
      <c r="AZ40" s="4">
        <f>IFERROR(AZ25/AZ8,"")</f>
        <v/>
      </c>
      <c r="BA40" s="4">
        <f>IFERROR(BA25/BA8,"")</f>
        <v/>
      </c>
      <c r="BB40" s="4">
        <f>IFERROR(BB25/BB8,"")</f>
        <v/>
      </c>
      <c r="BC40" s="4">
        <f>IFERROR(BC25/BC8,"")</f>
        <v/>
      </c>
      <c r="BD40" s="4">
        <f>IFERROR(BD25/BD8,"")</f>
        <v/>
      </c>
      <c r="BE40" s="4">
        <f>IFERROR(BE25/BE8,"")</f>
        <v/>
      </c>
      <c r="BF40" s="4">
        <f>IFERROR(BF25/BF8,"")</f>
        <v/>
      </c>
      <c r="BG40" s="4">
        <f>IFERROR(BG25/BG8,"")</f>
        <v/>
      </c>
      <c r="BH40" s="4">
        <f>IFERROR(BH25/BH8,"")</f>
        <v/>
      </c>
      <c r="BI40" s="4">
        <f>IFERROR(BI25/BI8,"")</f>
        <v/>
      </c>
      <c r="BJ40" s="4">
        <f>IFERROR(BJ25/BJ8,"")</f>
        <v/>
      </c>
      <c r="BK40" s="4">
        <f>IFERROR(BK25/BK8,"")</f>
        <v/>
      </c>
      <c r="BL40" s="4">
        <f>IFERROR(BL25/BL8,"")</f>
        <v/>
      </c>
      <c r="BM40" s="4">
        <f>IFERROR(BM25/BM8,"")</f>
        <v/>
      </c>
      <c r="BN40" s="4">
        <f>IFERROR(BN25/BN8,"")</f>
        <v/>
      </c>
      <c r="BO40" s="4">
        <f>IFERROR(BO25/BO8,"")</f>
        <v/>
      </c>
      <c r="BP40" s="4">
        <f>IFERROR(BP25/BP8,"")</f>
        <v/>
      </c>
      <c r="BQ40" s="4">
        <f>IFERROR(BQ25/BQ8,"")</f>
        <v/>
      </c>
      <c r="BR40" s="4">
        <f>IFERROR(BR25/BR8,"")</f>
        <v/>
      </c>
      <c r="BS40" s="4">
        <f>IFERROR(BS25/BS8,"")</f>
        <v/>
      </c>
      <c r="BT40" s="4">
        <f>IFERROR(BT25/BT8,"")</f>
        <v/>
      </c>
      <c r="BU40" s="4">
        <f>IFERROR(BU25/BU8,"")</f>
        <v/>
      </c>
      <c r="BV40" s="4">
        <f>IFERROR(BV25/BV8,"")</f>
        <v/>
      </c>
      <c r="BW40" s="4">
        <f>IFERROR(BW25/BW8,"")</f>
        <v/>
      </c>
      <c r="BX40" s="4">
        <f>IFERROR(BX25/BX8,"")</f>
        <v/>
      </c>
      <c r="BY40" s="4">
        <f>IFERROR(BY25/BY8,"")</f>
        <v/>
      </c>
      <c r="BZ40" s="4">
        <f>IFERROR(BZ25/BZ8,"")</f>
        <v/>
      </c>
      <c r="CA40" s="4">
        <f>IFERROR(CA25/CA8,"")</f>
        <v/>
      </c>
      <c r="CB40" s="4">
        <f>IFERROR(CB25/CB8,"")</f>
        <v/>
      </c>
      <c r="CC40" s="4">
        <f>IFERROR(CC25/CC8,"")</f>
        <v/>
      </c>
      <c r="CD40" s="4">
        <f>IFERROR(CD25/CD8,"")</f>
        <v/>
      </c>
      <c r="CE40" s="4">
        <f>IFERROR(CE25/CE8,"")</f>
        <v/>
      </c>
      <c r="CF40" s="4">
        <f>IFERROR(CF25/CF8,"")</f>
        <v/>
      </c>
      <c r="CG40" s="4">
        <f>IFERROR(CG25/CG8,"")</f>
        <v/>
      </c>
      <c r="CH40" s="4" t="n"/>
    </row>
    <row r="41">
      <c r="A41" s="174" t="inlineStr">
        <is>
          <t>台新</t>
        </is>
      </c>
      <c r="B41" s="4">
        <f>IFERROR(B26/B9,"")</f>
        <v/>
      </c>
      <c r="C41" s="4">
        <f>IFERROR(C26/C9,"")</f>
        <v/>
      </c>
      <c r="D41" s="4">
        <f>IFERROR(D26/D9,"")</f>
        <v/>
      </c>
      <c r="E41" s="4">
        <f>IFERROR(E26/E9,"")</f>
        <v/>
      </c>
      <c r="F41" s="4">
        <f>IFERROR(F26/F9,"")</f>
        <v/>
      </c>
      <c r="G41" s="4">
        <f>IFERROR(G26/G9,"")</f>
        <v/>
      </c>
      <c r="H41" s="4">
        <f>IFERROR(H26/H9,"")</f>
        <v/>
      </c>
      <c r="I41" s="4">
        <f>IFERROR(I26/I9,"")</f>
        <v/>
      </c>
      <c r="J41" s="4">
        <f>IFERROR(J26/J9,"")</f>
        <v/>
      </c>
      <c r="K41" s="4">
        <f>IFERROR(K26/K9,"")</f>
        <v/>
      </c>
      <c r="L41" s="4">
        <f>IFERROR(L26/L9,"")</f>
        <v/>
      </c>
      <c r="M41" s="4">
        <f>IFERROR(M26/M9,"")</f>
        <v/>
      </c>
      <c r="N41" s="4">
        <f>IFERROR(N26/N9,"")</f>
        <v/>
      </c>
      <c r="O41" s="4">
        <f>IFERROR(O26/O9,"")</f>
        <v/>
      </c>
      <c r="P41" s="4">
        <f>IFERROR(P26/P9,"")</f>
        <v/>
      </c>
      <c r="Q41" s="4">
        <f>IFERROR(Q26/Q9,"")</f>
        <v/>
      </c>
      <c r="R41" s="4">
        <f>IFERROR(R26/R9,"")</f>
        <v/>
      </c>
      <c r="S41" s="4">
        <f>IFERROR(S26/S9,"")</f>
        <v/>
      </c>
      <c r="T41" s="4">
        <f>IFERROR(T26/T9,"")</f>
        <v/>
      </c>
      <c r="U41" s="4">
        <f>IFERROR(U26/U9,"")</f>
        <v/>
      </c>
      <c r="V41" s="4">
        <f>IFERROR(V26/V9,"")</f>
        <v/>
      </c>
      <c r="W41" s="4">
        <f>IFERROR(W26/W9,"")</f>
        <v/>
      </c>
      <c r="X41" s="4">
        <f>IFERROR(X26/X9,"")</f>
        <v/>
      </c>
      <c r="Y41" s="4">
        <f>IFERROR(Y26/Y9,"")</f>
        <v/>
      </c>
      <c r="Z41" s="4">
        <f>IFERROR(Z26/Z9,"")</f>
        <v/>
      </c>
      <c r="AA41" s="4">
        <f>IFERROR(AA26/AA9,"")</f>
        <v/>
      </c>
      <c r="AB41" s="4">
        <f>IFERROR(AB26/AB9,"")</f>
        <v/>
      </c>
      <c r="AC41" s="4">
        <f>IFERROR(AC26/AC9,"")</f>
        <v/>
      </c>
      <c r="AD41" s="4">
        <f>IFERROR(AD26/AD9,"")</f>
        <v/>
      </c>
      <c r="AE41" s="4">
        <f>IFERROR(AE26/AE9,"")</f>
        <v/>
      </c>
      <c r="AF41" s="4">
        <f>IFERROR(AF26/AF9,"")</f>
        <v/>
      </c>
      <c r="AG41" s="4">
        <f>IFERROR(AG26/AG9,"")</f>
        <v/>
      </c>
      <c r="AH41" s="4">
        <f>IFERROR(AH26/AH9,"")</f>
        <v/>
      </c>
      <c r="AI41" s="4">
        <f>IFERROR(AI26/AI9,"")</f>
        <v/>
      </c>
      <c r="AJ41" s="4">
        <f>IFERROR(AJ26/AJ9,"")</f>
        <v/>
      </c>
      <c r="AK41" s="4">
        <f>IFERROR(AK26/AK9,"")</f>
        <v/>
      </c>
      <c r="AL41" s="4">
        <f>IFERROR(AL26/AL9,"")</f>
        <v/>
      </c>
      <c r="AM41" s="4">
        <f>IFERROR(AM26/AM9,"")</f>
        <v/>
      </c>
      <c r="AN41" s="4">
        <f>IFERROR(AN26/AN9,"")</f>
        <v/>
      </c>
      <c r="AO41" s="4">
        <f>IFERROR(AO26/AO9,"")</f>
        <v/>
      </c>
      <c r="AP41" s="4">
        <f>IFERROR(AP26/AP9,"")</f>
        <v/>
      </c>
      <c r="AQ41" s="4">
        <f>IFERROR(AQ26/AQ9,"")</f>
        <v/>
      </c>
      <c r="AR41" s="4">
        <f>IFERROR(AR26/AR9,"")</f>
        <v/>
      </c>
      <c r="AS41" s="4">
        <f>IFERROR(AS26/AS9,"")</f>
        <v/>
      </c>
      <c r="AT41" s="4">
        <f>IFERROR(AT26/AT9,"")</f>
        <v/>
      </c>
      <c r="AU41" s="4">
        <f>IFERROR(AU26/AU9,"")</f>
        <v/>
      </c>
      <c r="AV41" s="4">
        <f>IFERROR(AV26/AV9,"")</f>
        <v/>
      </c>
      <c r="AW41" s="4">
        <f>IFERROR(AW26/AW9,"")</f>
        <v/>
      </c>
      <c r="AX41" s="4">
        <f>IFERROR(AX26/AX9,"")</f>
        <v/>
      </c>
      <c r="AY41" s="4">
        <f>IFERROR(AY26/AY9,"")</f>
        <v/>
      </c>
      <c r="AZ41" s="4">
        <f>IFERROR(AZ26/AZ9,"")</f>
        <v/>
      </c>
      <c r="BA41" s="4">
        <f>IFERROR(BA26/BA9,"")</f>
        <v/>
      </c>
      <c r="BB41" s="4">
        <f>IFERROR(BB26/BB9,"")</f>
        <v/>
      </c>
      <c r="BC41" s="4">
        <f>IFERROR(BC26/BC9,"")</f>
        <v/>
      </c>
      <c r="BD41" s="4">
        <f>IFERROR(BD26/BD9,"")</f>
        <v/>
      </c>
      <c r="BE41" s="4">
        <f>IFERROR(BE26/BE9,"")</f>
        <v/>
      </c>
      <c r="BF41" s="4">
        <f>IFERROR(BF26/BF9,"")</f>
        <v/>
      </c>
      <c r="BG41" s="4">
        <f>IFERROR(BG26/BG9,"")</f>
        <v/>
      </c>
      <c r="BH41" s="4">
        <f>IFERROR(BH26/BH9,"")</f>
        <v/>
      </c>
      <c r="BI41" s="4">
        <f>IFERROR(BI26/BI9,"")</f>
        <v/>
      </c>
      <c r="BJ41" s="4">
        <f>IFERROR(BJ26/BJ9,"")</f>
        <v/>
      </c>
      <c r="BK41" s="4">
        <f>IFERROR(BK26/BK9,"")</f>
        <v/>
      </c>
      <c r="BL41" s="4">
        <f>IFERROR(BL26/BL9,"")</f>
        <v/>
      </c>
      <c r="BM41" s="4">
        <f>IFERROR(BM26/BM9,"")</f>
        <v/>
      </c>
      <c r="BN41" s="4">
        <f>IFERROR(BN26/BN9,"")</f>
        <v/>
      </c>
      <c r="BO41" s="4">
        <f>IFERROR(BO26/BO9,"")</f>
        <v/>
      </c>
      <c r="BP41" s="4">
        <f>IFERROR(BP26/BP9,"")</f>
        <v/>
      </c>
      <c r="BQ41" s="4">
        <f>IFERROR(BQ26/BQ9,"")</f>
        <v/>
      </c>
      <c r="BR41" s="4">
        <f>IFERROR(BR26/BR9,"")</f>
        <v/>
      </c>
      <c r="BS41" s="4">
        <f>IFERROR(BS26/BS9,"")</f>
        <v/>
      </c>
      <c r="BT41" s="4">
        <f>IFERROR(BT26/BT9,"")</f>
        <v/>
      </c>
      <c r="BU41" s="4">
        <f>IFERROR(BU26/BU9,"")</f>
        <v/>
      </c>
      <c r="BV41" s="4">
        <f>IFERROR(BV26/BV9,"")</f>
        <v/>
      </c>
      <c r="BW41" s="4">
        <f>IFERROR(BW26/BW9,"")</f>
        <v/>
      </c>
      <c r="BX41" s="4">
        <f>IFERROR(BX26/BX9,"")</f>
        <v/>
      </c>
      <c r="BY41" s="4">
        <f>IFERROR(BY26/BY9,"")</f>
        <v/>
      </c>
      <c r="BZ41" s="4">
        <f>IFERROR(BZ26/BZ9,"")</f>
        <v/>
      </c>
      <c r="CA41" s="4">
        <f>IFERROR(CA26/CA9,"")</f>
        <v/>
      </c>
      <c r="CB41" s="4">
        <f>IFERROR(CB26/CB9,"")</f>
        <v/>
      </c>
      <c r="CC41" s="4">
        <f>IFERROR(CC26/CC9,"")</f>
        <v/>
      </c>
      <c r="CD41" s="4">
        <f>IFERROR(CD26/CD9,"")</f>
        <v/>
      </c>
      <c r="CE41" s="4">
        <f>IFERROR(CE26/CE9,"")</f>
        <v/>
      </c>
      <c r="CF41" s="4">
        <f>IFERROR(CF26/CF9,"")</f>
        <v/>
      </c>
      <c r="CG41" s="4">
        <f>IFERROR(CG26/CG9,"")</f>
        <v/>
      </c>
      <c r="CH41" s="4" t="n"/>
    </row>
    <row r="42">
      <c r="A42" s="174" t="inlineStr">
        <is>
          <t>星展</t>
        </is>
      </c>
      <c r="B42" s="4">
        <f>IFERROR(B27/B10,"")</f>
        <v/>
      </c>
      <c r="C42" s="4">
        <f>IFERROR(C27/C10,"")</f>
        <v/>
      </c>
      <c r="D42" s="4">
        <f>IFERROR(D27/D10,"")</f>
        <v/>
      </c>
      <c r="E42" s="4">
        <f>IFERROR(E27/E10,"")</f>
        <v/>
      </c>
      <c r="F42" s="4">
        <f>IFERROR(F27/F10,"")</f>
        <v/>
      </c>
      <c r="G42" s="4">
        <f>IFERROR(G27/G10,"")</f>
        <v/>
      </c>
      <c r="H42" s="4">
        <f>IFERROR(H27/H10,"")</f>
        <v/>
      </c>
      <c r="I42" s="4">
        <f>IFERROR(I27/I10,"")</f>
        <v/>
      </c>
      <c r="J42" s="4">
        <f>IFERROR(J27/J10,"")</f>
        <v/>
      </c>
      <c r="K42" s="4">
        <f>IFERROR(K27/K10,"")</f>
        <v/>
      </c>
      <c r="L42" s="4">
        <f>IFERROR(L27/L10,"")</f>
        <v/>
      </c>
      <c r="M42" s="4">
        <f>IFERROR(M27/M10,"")</f>
        <v/>
      </c>
      <c r="N42" s="4">
        <f>IFERROR(N27/N10,"")</f>
        <v/>
      </c>
      <c r="O42" s="4">
        <f>IFERROR(O27/O10,"")</f>
        <v/>
      </c>
      <c r="P42" s="4">
        <f>IFERROR(P27/P10,"")</f>
        <v/>
      </c>
      <c r="Q42" s="4">
        <f>IFERROR(Q27/Q10,"")</f>
        <v/>
      </c>
      <c r="R42" s="4">
        <f>IFERROR(R27/R10,"")</f>
        <v/>
      </c>
      <c r="S42" s="4">
        <f>IFERROR(S27/S10,"")</f>
        <v/>
      </c>
      <c r="T42" s="4">
        <f>IFERROR(T27/T10,"")</f>
        <v/>
      </c>
      <c r="U42" s="4">
        <f>IFERROR(U27/U10,"")</f>
        <v/>
      </c>
      <c r="V42" s="4">
        <f>IFERROR(V27/V10,"")</f>
        <v/>
      </c>
      <c r="W42" s="4">
        <f>IFERROR(W27/W10,"")</f>
        <v/>
      </c>
      <c r="X42" s="4">
        <f>IFERROR(X27/X10,"")</f>
        <v/>
      </c>
      <c r="Y42" s="4">
        <f>IFERROR(Y27/Y10,"")</f>
        <v/>
      </c>
      <c r="Z42" s="4">
        <f>IFERROR(Z27/Z10,"")</f>
        <v/>
      </c>
      <c r="AA42" s="4">
        <f>IFERROR(AA27/AA10,"")</f>
        <v/>
      </c>
      <c r="AB42" s="4">
        <f>IFERROR(AB27/AB10,"")</f>
        <v/>
      </c>
      <c r="AC42" s="4">
        <f>IFERROR(AC27/AC10,"")</f>
        <v/>
      </c>
      <c r="AD42" s="4">
        <f>IFERROR(AD27/AD10,"")</f>
        <v/>
      </c>
      <c r="AE42" s="4">
        <f>IFERROR(AE27/AE10,"")</f>
        <v/>
      </c>
      <c r="AF42" s="4">
        <f>IFERROR(AF27/AF10,"")</f>
        <v/>
      </c>
      <c r="AG42" s="4">
        <f>IFERROR(AG27/AG10,"")</f>
        <v/>
      </c>
      <c r="AH42" s="4">
        <f>IFERROR(AH27/AH10,"")</f>
        <v/>
      </c>
      <c r="AI42" s="4">
        <f>IFERROR(AI27/AI10,"")</f>
        <v/>
      </c>
      <c r="AJ42" s="4">
        <f>IFERROR(AJ27/AJ10,"")</f>
        <v/>
      </c>
      <c r="AK42" s="4">
        <f>IFERROR(AK27/AK10,"")</f>
        <v/>
      </c>
      <c r="AL42" s="4">
        <f>IFERROR(AL27/AL10,"")</f>
        <v/>
      </c>
      <c r="AM42" s="4">
        <f>IFERROR(AM27/AM10,"")</f>
        <v/>
      </c>
      <c r="AN42" s="4">
        <f>IFERROR(AN27/AN10,"")</f>
        <v/>
      </c>
      <c r="AO42" s="4">
        <f>IFERROR(AO27/AO10,"")</f>
        <v/>
      </c>
      <c r="AP42" s="4">
        <f>IFERROR(AP27/AP10,"")</f>
        <v/>
      </c>
      <c r="AQ42" s="4">
        <f>IFERROR(AQ27/AQ10,"")</f>
        <v/>
      </c>
      <c r="AR42" s="4">
        <f>IFERROR(AR27/AR10,"")</f>
        <v/>
      </c>
      <c r="AS42" s="4">
        <f>IFERROR(AS27/AS10,"")</f>
        <v/>
      </c>
      <c r="AT42" s="4">
        <f>IFERROR(AT27/AT10,"")</f>
        <v/>
      </c>
      <c r="AU42" s="4">
        <f>IFERROR(AU27/AU10,"")</f>
        <v/>
      </c>
      <c r="AV42" s="4">
        <f>IFERROR(AV27/AV10,"")</f>
        <v/>
      </c>
      <c r="AW42" s="4">
        <f>IFERROR(AW27/AW10,"")</f>
        <v/>
      </c>
      <c r="AX42" s="4">
        <f>IFERROR(AX27/AX10,"")</f>
        <v/>
      </c>
      <c r="AY42" s="4">
        <f>IFERROR(AY27/AY10,"")</f>
        <v/>
      </c>
      <c r="AZ42" s="4">
        <f>IFERROR(AZ27/AZ10,"")</f>
        <v/>
      </c>
      <c r="BA42" s="4">
        <f>IFERROR(BA27/BA10,"")</f>
        <v/>
      </c>
      <c r="BB42" s="4">
        <f>IFERROR(BB27/BB10,"")</f>
        <v/>
      </c>
      <c r="BC42" s="4">
        <f>IFERROR(BC27/BC10,"")</f>
        <v/>
      </c>
      <c r="BD42" s="4">
        <f>IFERROR(BD27/BD10,"")</f>
        <v/>
      </c>
      <c r="BE42" s="4">
        <f>IFERROR(BE27/BE10,"")</f>
        <v/>
      </c>
      <c r="BF42" s="4">
        <f>IFERROR(BF27/BF10,"")</f>
        <v/>
      </c>
      <c r="BG42" s="4">
        <f>IFERROR(BG27/BG10,"")</f>
        <v/>
      </c>
      <c r="BH42" s="4">
        <f>IFERROR(BH27/BH10,"")</f>
        <v/>
      </c>
      <c r="BI42" s="4">
        <f>IFERROR(BI27/BI10,"")</f>
        <v/>
      </c>
      <c r="BJ42" s="4">
        <f>IFERROR(BJ27/BJ10,"")</f>
        <v/>
      </c>
      <c r="BK42" s="4">
        <f>IFERROR(BK27/BK10,"")</f>
        <v/>
      </c>
      <c r="BL42" s="4">
        <f>IFERROR(BL27/BL10,"")</f>
        <v/>
      </c>
      <c r="BM42" s="4">
        <f>IFERROR(BM27/BM10,"")</f>
        <v/>
      </c>
      <c r="BN42" s="4">
        <f>IFERROR(BN27/BN10,"")</f>
        <v/>
      </c>
      <c r="BO42" s="4">
        <f>IFERROR(BO27/BO10,"")</f>
        <v/>
      </c>
      <c r="BP42" s="4">
        <f>IFERROR(BP27/BP10,"")</f>
        <v/>
      </c>
      <c r="BQ42" s="4">
        <f>IFERROR(BQ27/BQ10,"")</f>
        <v/>
      </c>
      <c r="BR42" s="4">
        <f>IFERROR(BR27/BR10,"")</f>
        <v/>
      </c>
      <c r="BS42" s="4">
        <f>IFERROR(BS27/BS10,"")</f>
        <v/>
      </c>
      <c r="BT42" s="4">
        <f>IFERROR(BT27/BT10,"")</f>
        <v/>
      </c>
      <c r="BU42" s="4">
        <f>IFERROR(BU27/BU10,"")</f>
        <v/>
      </c>
      <c r="BV42" s="4">
        <f>IFERROR(BV27/BV10,"")</f>
        <v/>
      </c>
      <c r="BW42" s="4">
        <f>IFERROR(BW27/BW10,"")</f>
        <v/>
      </c>
      <c r="BX42" s="4">
        <f>IFERROR(BX27/BX10,"")</f>
        <v/>
      </c>
      <c r="BY42" s="4">
        <f>IFERROR(BY27/BY10,"")</f>
        <v/>
      </c>
      <c r="BZ42" s="4">
        <f>IFERROR(BZ27/BZ10,"")</f>
        <v/>
      </c>
      <c r="CA42" s="4">
        <f>IFERROR(CA27/CA10,"")</f>
        <v/>
      </c>
      <c r="CB42" s="4">
        <f>IFERROR(CB27/CB10,"")</f>
        <v/>
      </c>
      <c r="CC42" s="4">
        <f>IFERROR(CC27/CC10,"")</f>
        <v/>
      </c>
      <c r="CD42" s="4">
        <f>IFERROR(CD27/CD10,"")</f>
        <v/>
      </c>
      <c r="CE42" s="4">
        <f>IFERROR(CE27/CE10,"")</f>
        <v/>
      </c>
      <c r="CF42" s="4">
        <f>IFERROR(CF27/CF10,"")</f>
        <v/>
      </c>
      <c r="CG42" s="4">
        <f>IFERROR(CG27/CG10,"")</f>
        <v/>
      </c>
      <c r="CH42" s="4" t="n"/>
    </row>
    <row r="43">
      <c r="A43" s="174" t="inlineStr">
        <is>
          <t>聯邦</t>
        </is>
      </c>
      <c r="B43" s="4">
        <f>IFERROR(B28/B11,"")</f>
        <v/>
      </c>
      <c r="C43" s="4">
        <f>IFERROR(C28/C11,"")</f>
        <v/>
      </c>
      <c r="D43" s="4">
        <f>IFERROR(D28/D11,"")</f>
        <v/>
      </c>
      <c r="E43" s="4">
        <f>IFERROR(E28/E11,"")</f>
        <v/>
      </c>
      <c r="F43" s="4">
        <f>IFERROR(F28/F11,"")</f>
        <v/>
      </c>
      <c r="G43" s="4">
        <f>IFERROR(G28/G11,"")</f>
        <v/>
      </c>
      <c r="H43" s="4">
        <f>IFERROR(H28/H11,"")</f>
        <v/>
      </c>
      <c r="I43" s="4">
        <f>IFERROR(I28/I11,"")</f>
        <v/>
      </c>
      <c r="J43" s="4">
        <f>IFERROR(J28/J11,"")</f>
        <v/>
      </c>
      <c r="K43" s="4">
        <f>IFERROR(K28/K11,"")</f>
        <v/>
      </c>
      <c r="L43" s="4">
        <f>IFERROR(L28/L11,"")</f>
        <v/>
      </c>
      <c r="M43" s="4">
        <f>IFERROR(M28/M11,"")</f>
        <v/>
      </c>
      <c r="N43" s="4">
        <f>IFERROR(N28/N11,"")</f>
        <v/>
      </c>
      <c r="O43" s="4">
        <f>IFERROR(O28/O11,"")</f>
        <v/>
      </c>
      <c r="P43" s="4">
        <f>IFERROR(P28/P11,"")</f>
        <v/>
      </c>
      <c r="Q43" s="4">
        <f>IFERROR(Q28/Q11,"")</f>
        <v/>
      </c>
      <c r="R43" s="4">
        <f>IFERROR(R28/R11,"")</f>
        <v/>
      </c>
      <c r="S43" s="4">
        <f>IFERROR(S28/S11,"")</f>
        <v/>
      </c>
      <c r="T43" s="4">
        <f>IFERROR(T28/T11,"")</f>
        <v/>
      </c>
      <c r="U43" s="4">
        <f>IFERROR(U28/U11,"")</f>
        <v/>
      </c>
      <c r="V43" s="4">
        <f>IFERROR(V28/V11,"")</f>
        <v/>
      </c>
      <c r="W43" s="4">
        <f>IFERROR(W28/W11,"")</f>
        <v/>
      </c>
      <c r="X43" s="4">
        <f>IFERROR(X28/X11,"")</f>
        <v/>
      </c>
      <c r="Y43" s="4">
        <f>IFERROR(Y28/Y11,"")</f>
        <v/>
      </c>
      <c r="Z43" s="4">
        <f>IFERROR(Z28/Z11,"")</f>
        <v/>
      </c>
      <c r="AA43" s="4">
        <f>IFERROR(AA28/AA11,"")</f>
        <v/>
      </c>
      <c r="AB43" s="4">
        <f>IFERROR(AB28/AB11,"")</f>
        <v/>
      </c>
      <c r="AC43" s="4">
        <f>IFERROR(AC28/AC11,"")</f>
        <v/>
      </c>
      <c r="AD43" s="4">
        <f>IFERROR(AD28/AD11,"")</f>
        <v/>
      </c>
      <c r="AE43" s="4">
        <f>IFERROR(AE28/AE11,"")</f>
        <v/>
      </c>
      <c r="AF43" s="4">
        <f>IFERROR(AF28/AF11,"")</f>
        <v/>
      </c>
      <c r="AG43" s="4">
        <f>IFERROR(AG28/AG11,"")</f>
        <v/>
      </c>
      <c r="AH43" s="4">
        <f>IFERROR(AH28/AH11,"")</f>
        <v/>
      </c>
      <c r="AI43" s="4">
        <f>IFERROR(AI28/AI11,"")</f>
        <v/>
      </c>
      <c r="AJ43" s="4">
        <f>IFERROR(AJ28/AJ11,"")</f>
        <v/>
      </c>
      <c r="AK43" s="4">
        <f>IFERROR(AK28/AK11,"")</f>
        <v/>
      </c>
      <c r="AL43" s="4">
        <f>IFERROR(AL28/AL11,"")</f>
        <v/>
      </c>
      <c r="AM43" s="4">
        <f>IFERROR(AM28/AM11,"")</f>
        <v/>
      </c>
      <c r="AN43" s="4">
        <f>IFERROR(AN28/AN11,"")</f>
        <v/>
      </c>
      <c r="AO43" s="4">
        <f>IFERROR(AO28/AO11,"")</f>
        <v/>
      </c>
      <c r="AP43" s="4">
        <f>IFERROR(AP28/AP11,"")</f>
        <v/>
      </c>
      <c r="AQ43" s="4">
        <f>IFERROR(AQ28/AQ11,"")</f>
        <v/>
      </c>
      <c r="AR43" s="4">
        <f>IFERROR(AR28/AR11,"")</f>
        <v/>
      </c>
      <c r="AS43" s="4">
        <f>IFERROR(AS28/AS11,"")</f>
        <v/>
      </c>
      <c r="AT43" s="4">
        <f>IFERROR(AT28/AT11,"")</f>
        <v/>
      </c>
      <c r="AU43" s="4">
        <f>IFERROR(AU28/AU11,"")</f>
        <v/>
      </c>
      <c r="AV43" s="4">
        <f>IFERROR(AV28/AV11,"")</f>
        <v/>
      </c>
      <c r="AW43" s="4">
        <f>IFERROR(AW28/AW11,"")</f>
        <v/>
      </c>
      <c r="AX43" s="4">
        <f>IFERROR(AX28/AX11,"")</f>
        <v/>
      </c>
      <c r="AY43" s="4">
        <f>IFERROR(AY28/AY11,"")</f>
        <v/>
      </c>
      <c r="AZ43" s="4">
        <f>IFERROR(AZ28/AZ11,"")</f>
        <v/>
      </c>
      <c r="BA43" s="4">
        <f>IFERROR(BA28/BA11,"")</f>
        <v/>
      </c>
      <c r="BB43" s="4">
        <f>IFERROR(BB28/BB11,"")</f>
        <v/>
      </c>
      <c r="BC43" s="4">
        <f>IFERROR(BC28/BC11,"")</f>
        <v/>
      </c>
      <c r="BD43" s="4">
        <f>IFERROR(BD28/BD11,"")</f>
        <v/>
      </c>
      <c r="BE43" s="4">
        <f>IFERROR(BE28/BE11,"")</f>
        <v/>
      </c>
      <c r="BF43" s="4">
        <f>IFERROR(BF28/BF11,"")</f>
        <v/>
      </c>
      <c r="BG43" s="4">
        <f>IFERROR(BG28/BG11,"")</f>
        <v/>
      </c>
      <c r="BH43" s="4">
        <f>IFERROR(BH28/BH11,"")</f>
        <v/>
      </c>
      <c r="BI43" s="4">
        <f>IFERROR(BI28/BI11,"")</f>
        <v/>
      </c>
      <c r="BJ43" s="4">
        <f>IFERROR(BJ28/BJ11,"")</f>
        <v/>
      </c>
      <c r="BK43" s="4">
        <f>IFERROR(BK28/BK11,"")</f>
        <v/>
      </c>
      <c r="BL43" s="4">
        <f>IFERROR(BL28/BL11,"")</f>
        <v/>
      </c>
      <c r="BM43" s="4">
        <f>IFERROR(BM28/BM11,"")</f>
        <v/>
      </c>
      <c r="BN43" s="4">
        <f>IFERROR(BN28/BN11,"")</f>
        <v/>
      </c>
      <c r="BO43" s="4">
        <f>IFERROR(BO28/BO11,"")</f>
        <v/>
      </c>
      <c r="BP43" s="4">
        <f>IFERROR(BP28/BP11,"")</f>
        <v/>
      </c>
      <c r="BQ43" s="4">
        <f>IFERROR(BQ28/BQ11,"")</f>
        <v/>
      </c>
      <c r="BR43" s="4">
        <f>IFERROR(BR28/BR11,"")</f>
        <v/>
      </c>
      <c r="BS43" s="4">
        <f>IFERROR(BS28/BS11,"")</f>
        <v/>
      </c>
      <c r="BT43" s="4">
        <f>IFERROR(BT28/BT11,"")</f>
        <v/>
      </c>
      <c r="BU43" s="4">
        <f>IFERROR(BU28/BU11,"")</f>
        <v/>
      </c>
      <c r="BV43" s="4">
        <f>IFERROR(BV28/BV11,"")</f>
        <v/>
      </c>
      <c r="BW43" s="4">
        <f>IFERROR(BW28/BW11,"")</f>
        <v/>
      </c>
      <c r="BX43" s="4">
        <f>IFERROR(BX28/BX11,"")</f>
        <v/>
      </c>
      <c r="BY43" s="4">
        <f>IFERROR(BY28/BY11,"")</f>
        <v/>
      </c>
      <c r="BZ43" s="4">
        <f>IFERROR(BZ28/BZ11,"")</f>
        <v/>
      </c>
      <c r="CA43" s="4">
        <f>IFERROR(CA28/CA11,"")</f>
        <v/>
      </c>
      <c r="CB43" s="4">
        <f>IFERROR(CB28/CB11,"")</f>
        <v/>
      </c>
      <c r="CC43" s="4">
        <f>IFERROR(CC28/CC11,"")</f>
        <v/>
      </c>
      <c r="CD43" s="4">
        <f>IFERROR(CD28/CD11,"")</f>
        <v/>
      </c>
      <c r="CE43" s="4">
        <f>IFERROR(CE28/CE11,"")</f>
        <v/>
      </c>
      <c r="CF43" s="4">
        <f>IFERROR(CF28/CF11,"")</f>
        <v/>
      </c>
      <c r="CG43" s="4">
        <f>IFERROR(CG28/CG11,"")</f>
        <v/>
      </c>
      <c r="CH43" s="4" t="n"/>
    </row>
    <row r="44">
      <c r="A44" s="174" t="inlineStr">
        <is>
          <t>永豐</t>
        </is>
      </c>
      <c r="B44" s="4">
        <f>IFERROR(B29/B12,"")</f>
        <v/>
      </c>
      <c r="C44" s="4">
        <f>IFERROR(C29/C12,"")</f>
        <v/>
      </c>
      <c r="D44" s="4">
        <f>IFERROR(D29/D12,"")</f>
        <v/>
      </c>
      <c r="E44" s="4">
        <f>IFERROR(E29/E12,"")</f>
        <v/>
      </c>
      <c r="F44" s="4">
        <f>IFERROR(F29/F12,"")</f>
        <v/>
      </c>
      <c r="G44" s="4">
        <f>IFERROR(G29/G12,"")</f>
        <v/>
      </c>
      <c r="H44" s="4">
        <f>IFERROR(H29/H12,"")</f>
        <v/>
      </c>
      <c r="I44" s="4">
        <f>IFERROR(I29/I12,"")</f>
        <v/>
      </c>
      <c r="J44" s="4">
        <f>IFERROR(J29/J12,"")</f>
        <v/>
      </c>
      <c r="K44" s="4">
        <f>IFERROR(K29/K12,"")</f>
        <v/>
      </c>
      <c r="L44" s="4">
        <f>IFERROR(L29/L12,"")</f>
        <v/>
      </c>
      <c r="M44" s="4">
        <f>IFERROR(M29/M12,"")</f>
        <v/>
      </c>
      <c r="N44" s="4">
        <f>IFERROR(N29/N12,"")</f>
        <v/>
      </c>
      <c r="O44" s="4">
        <f>IFERROR(O29/O12,"")</f>
        <v/>
      </c>
      <c r="P44" s="4">
        <f>IFERROR(P29/P12,"")</f>
        <v/>
      </c>
      <c r="Q44" s="4">
        <f>IFERROR(Q29/Q12,"")</f>
        <v/>
      </c>
      <c r="R44" s="4">
        <f>IFERROR(R29/R12,"")</f>
        <v/>
      </c>
      <c r="S44" s="4">
        <f>IFERROR(S29/S12,"")</f>
        <v/>
      </c>
      <c r="T44" s="4">
        <f>IFERROR(T29/T12,"")</f>
        <v/>
      </c>
      <c r="U44" s="4">
        <f>IFERROR(U29/U12,"")</f>
        <v/>
      </c>
      <c r="V44" s="4">
        <f>IFERROR(V29/V12,"")</f>
        <v/>
      </c>
      <c r="W44" s="4">
        <f>IFERROR(W29/W12,"")</f>
        <v/>
      </c>
      <c r="X44" s="4">
        <f>IFERROR(X29/X12,"")</f>
        <v/>
      </c>
      <c r="Y44" s="4">
        <f>IFERROR(Y29/Y12,"")</f>
        <v/>
      </c>
      <c r="Z44" s="4">
        <f>IFERROR(Z29/Z12,"")</f>
        <v/>
      </c>
      <c r="AA44" s="4">
        <f>IFERROR(AA29/AA12,"")</f>
        <v/>
      </c>
      <c r="AB44" s="4">
        <f>IFERROR(AB29/AB12,"")</f>
        <v/>
      </c>
      <c r="AC44" s="4">
        <f>IFERROR(AC29/AC12,"")</f>
        <v/>
      </c>
      <c r="AD44" s="4">
        <f>IFERROR(AD29/AD12,"")</f>
        <v/>
      </c>
      <c r="AE44" s="4">
        <f>IFERROR(AE29/AE12,"")</f>
        <v/>
      </c>
      <c r="AF44" s="4">
        <f>IFERROR(AF29/AF12,"")</f>
        <v/>
      </c>
      <c r="AG44" s="4">
        <f>IFERROR(AG29/AG12,"")</f>
        <v/>
      </c>
      <c r="AH44" s="4">
        <f>IFERROR(AH29/AH12,"")</f>
        <v/>
      </c>
      <c r="AI44" s="4">
        <f>IFERROR(AI29/AI12,"")</f>
        <v/>
      </c>
      <c r="AJ44" s="4">
        <f>IFERROR(AJ29/AJ12,"")</f>
        <v/>
      </c>
      <c r="AK44" s="4">
        <f>IFERROR(AK29/AK12,"")</f>
        <v/>
      </c>
      <c r="AL44" s="4">
        <f>IFERROR(AL29/AL12,"")</f>
        <v/>
      </c>
      <c r="AM44" s="4">
        <f>IFERROR(AM29/AM12,"")</f>
        <v/>
      </c>
      <c r="AN44" s="4">
        <f>IFERROR(AN29/AN12,"")</f>
        <v/>
      </c>
      <c r="AO44" s="4">
        <f>IFERROR(AO29/AO12,"")</f>
        <v/>
      </c>
      <c r="AP44" s="4">
        <f>IFERROR(AP29/AP12,"")</f>
        <v/>
      </c>
      <c r="AQ44" s="4">
        <f>IFERROR(AQ29/AQ12,"")</f>
        <v/>
      </c>
      <c r="AR44" s="4">
        <f>IFERROR(AR29/AR12,"")</f>
        <v/>
      </c>
      <c r="AS44" s="4">
        <f>IFERROR(AS29/AS12,"")</f>
        <v/>
      </c>
      <c r="AT44" s="4">
        <f>IFERROR(AT29/AT12,"")</f>
        <v/>
      </c>
      <c r="AU44" s="4">
        <f>IFERROR(AU29/AU12,"")</f>
        <v/>
      </c>
      <c r="AV44" s="4">
        <f>IFERROR(AV29/AV12,"")</f>
        <v/>
      </c>
      <c r="AW44" s="4">
        <f>IFERROR(AW29/AW12,"")</f>
        <v/>
      </c>
      <c r="AX44" s="4">
        <f>IFERROR(AX29/AX12,"")</f>
        <v/>
      </c>
      <c r="AY44" s="4">
        <f>IFERROR(AY29/AY12,"")</f>
        <v/>
      </c>
      <c r="AZ44" s="4">
        <f>IFERROR(AZ29/AZ12,"")</f>
        <v/>
      </c>
      <c r="BA44" s="4">
        <f>IFERROR(BA29/BA12,"")</f>
        <v/>
      </c>
      <c r="BB44" s="4">
        <f>IFERROR(BB29/BB12,"")</f>
        <v/>
      </c>
      <c r="BC44" s="4">
        <f>IFERROR(BC29/BC12,"")</f>
        <v/>
      </c>
      <c r="BD44" s="4">
        <f>IFERROR(BD29/BD12,"")</f>
        <v/>
      </c>
      <c r="BE44" s="4">
        <f>IFERROR(BE29/BE12,"")</f>
        <v/>
      </c>
      <c r="BF44" s="4">
        <f>IFERROR(BF29/BF12,"")</f>
        <v/>
      </c>
      <c r="BG44" s="4">
        <f>IFERROR(BG29/BG12,"")</f>
        <v/>
      </c>
      <c r="BH44" s="4">
        <f>IFERROR(BH29/BH12,"")</f>
        <v/>
      </c>
      <c r="BI44" s="4">
        <f>IFERROR(BI29/BI12,"")</f>
        <v/>
      </c>
      <c r="BJ44" s="4">
        <f>IFERROR(BJ29/BJ12,"")</f>
        <v/>
      </c>
      <c r="BK44" s="4">
        <f>IFERROR(BK29/BK12,"")</f>
        <v/>
      </c>
      <c r="BL44" s="4">
        <f>IFERROR(BL29/BL12,"")</f>
        <v/>
      </c>
      <c r="BM44" s="4">
        <f>IFERROR(BM29/BM12,"")</f>
        <v/>
      </c>
      <c r="BN44" s="4">
        <f>IFERROR(BN29/BN12,"")</f>
        <v/>
      </c>
      <c r="BO44" s="4">
        <f>IFERROR(BO29/BO12,"")</f>
        <v/>
      </c>
      <c r="BP44" s="4">
        <f>IFERROR(BP29/BP12,"")</f>
        <v/>
      </c>
      <c r="BQ44" s="4">
        <f>IFERROR(BQ29/BQ12,"")</f>
        <v/>
      </c>
      <c r="BR44" s="4">
        <f>IFERROR(BR29/BR12,"")</f>
        <v/>
      </c>
      <c r="BS44" s="4">
        <f>IFERROR(BS29/BS12,"")</f>
        <v/>
      </c>
      <c r="BT44" s="4">
        <f>IFERROR(BT29/BT12,"")</f>
        <v/>
      </c>
      <c r="BU44" s="4">
        <f>IFERROR(BU29/BU12,"")</f>
        <v/>
      </c>
      <c r="BV44" s="4">
        <f>IFERROR(BV29/BV12,"")</f>
        <v/>
      </c>
      <c r="BW44" s="4">
        <f>IFERROR(BW29/BW12,"")</f>
        <v/>
      </c>
      <c r="BX44" s="4">
        <f>IFERROR(BX29/BX12,"")</f>
        <v/>
      </c>
      <c r="BY44" s="4">
        <f>IFERROR(BY29/BY12,"")</f>
        <v/>
      </c>
      <c r="BZ44" s="4">
        <f>IFERROR(BZ29/BZ12,"")</f>
        <v/>
      </c>
      <c r="CA44" s="4">
        <f>IFERROR(CA29/CA12,"")</f>
        <v/>
      </c>
      <c r="CB44" s="4">
        <f>IFERROR(CB29/CB12,"")</f>
        <v/>
      </c>
      <c r="CC44" s="4">
        <f>IFERROR(CC29/CC12,"")</f>
        <v/>
      </c>
      <c r="CD44" s="4">
        <f>IFERROR(CD29/CD12,"")</f>
        <v/>
      </c>
      <c r="CE44" s="4">
        <f>IFERROR(CE29/CE12,"")</f>
        <v/>
      </c>
      <c r="CF44" s="4">
        <f>IFERROR(CF29/CF12,"")</f>
        <v/>
      </c>
      <c r="CG44" s="4">
        <f>IFERROR(CG29/CG12,"")</f>
        <v/>
      </c>
      <c r="CH44" s="4" t="n"/>
    </row>
    <row r="45">
      <c r="A45" s="174" t="inlineStr">
        <is>
          <t>第一</t>
        </is>
      </c>
      <c r="B45" s="4">
        <f>IFERROR(B30/B13,"")</f>
        <v/>
      </c>
      <c r="C45" s="4">
        <f>IFERROR(C30/C13,"")</f>
        <v/>
      </c>
      <c r="D45" s="4">
        <f>IFERROR(D30/D13,"")</f>
        <v/>
      </c>
      <c r="E45" s="4">
        <f>IFERROR(E30/E13,"")</f>
        <v/>
      </c>
      <c r="F45" s="4">
        <f>IFERROR(F30/F13,"")</f>
        <v/>
      </c>
      <c r="G45" s="4">
        <f>IFERROR(G30/G13,"")</f>
        <v/>
      </c>
      <c r="H45" s="4">
        <f>IFERROR(H30/H13,"")</f>
        <v/>
      </c>
      <c r="I45" s="4">
        <f>IFERROR(I30/I13,"")</f>
        <v/>
      </c>
      <c r="J45" s="4">
        <f>IFERROR(J30/J13,"")</f>
        <v/>
      </c>
      <c r="K45" s="4">
        <f>IFERROR(K30/K13,"")</f>
        <v/>
      </c>
      <c r="L45" s="4">
        <f>IFERROR(L30/L13,"")</f>
        <v/>
      </c>
      <c r="M45" s="4">
        <f>IFERROR(M30/M13,"")</f>
        <v/>
      </c>
      <c r="N45" s="4">
        <f>IFERROR(N30/N13,"")</f>
        <v/>
      </c>
      <c r="O45" s="4">
        <f>IFERROR(O30/O13,"")</f>
        <v/>
      </c>
      <c r="P45" s="4">
        <f>IFERROR(P30/P13,"")</f>
        <v/>
      </c>
      <c r="Q45" s="4">
        <f>IFERROR(Q30/Q13,"")</f>
        <v/>
      </c>
      <c r="R45" s="4">
        <f>IFERROR(R30/R13,"")</f>
        <v/>
      </c>
      <c r="S45" s="4">
        <f>IFERROR(S30/S13,"")</f>
        <v/>
      </c>
      <c r="T45" s="4">
        <f>IFERROR(T30/T13,"")</f>
        <v/>
      </c>
      <c r="U45" s="4">
        <f>IFERROR(U30/U13,"")</f>
        <v/>
      </c>
      <c r="V45" s="4">
        <f>IFERROR(V30/V13,"")</f>
        <v/>
      </c>
      <c r="W45" s="4">
        <f>IFERROR(W30/W13,"")</f>
        <v/>
      </c>
      <c r="X45" s="4">
        <f>IFERROR(X30/X13,"")</f>
        <v/>
      </c>
      <c r="Y45" s="4">
        <f>IFERROR(Y30/Y13,"")</f>
        <v/>
      </c>
      <c r="Z45" s="4">
        <f>IFERROR(Z30/Z13,"")</f>
        <v/>
      </c>
      <c r="AA45" s="4">
        <f>IFERROR(AA30/AA13,"")</f>
        <v/>
      </c>
      <c r="AB45" s="4">
        <f>IFERROR(AB30/AB13,"")</f>
        <v/>
      </c>
      <c r="AC45" s="4">
        <f>IFERROR(AC30/AC13,"")</f>
        <v/>
      </c>
      <c r="AD45" s="4">
        <f>IFERROR(AD30/AD13,"")</f>
        <v/>
      </c>
      <c r="AE45" s="4">
        <f>IFERROR(AE30/AE13,"")</f>
        <v/>
      </c>
      <c r="AF45" s="4">
        <f>IFERROR(AF30/AF13,"")</f>
        <v/>
      </c>
      <c r="AG45" s="4">
        <f>IFERROR(AG30/AG13,"")</f>
        <v/>
      </c>
      <c r="AH45" s="4">
        <f>IFERROR(AH30/AH13,"")</f>
        <v/>
      </c>
      <c r="AI45" s="4">
        <f>IFERROR(AI30/AI13,"")</f>
        <v/>
      </c>
      <c r="AJ45" s="4">
        <f>IFERROR(AJ30/AJ13,"")</f>
        <v/>
      </c>
      <c r="AK45" s="4">
        <f>IFERROR(AK30/AK13,"")</f>
        <v/>
      </c>
      <c r="AL45" s="4">
        <f>IFERROR(AL30/AL13,"")</f>
        <v/>
      </c>
      <c r="AM45" s="4">
        <f>IFERROR(AM30/AM13,"")</f>
        <v/>
      </c>
      <c r="AN45" s="4">
        <f>IFERROR(AN30/AN13,"")</f>
        <v/>
      </c>
      <c r="AO45" s="4">
        <f>IFERROR(AO30/AO13,"")</f>
        <v/>
      </c>
      <c r="AP45" s="4">
        <f>IFERROR(AP30/AP13,"")</f>
        <v/>
      </c>
      <c r="AQ45" s="4">
        <f>IFERROR(AQ30/AQ13,"")</f>
        <v/>
      </c>
      <c r="AR45" s="4">
        <f>IFERROR(AR30/AR13,"")</f>
        <v/>
      </c>
      <c r="AS45" s="4">
        <f>IFERROR(AS30/AS13,"")</f>
        <v/>
      </c>
      <c r="AT45" s="4">
        <f>IFERROR(AT30/AT13,"")</f>
        <v/>
      </c>
      <c r="AU45" s="4">
        <f>IFERROR(AU30/AU13,"")</f>
        <v/>
      </c>
      <c r="AV45" s="4">
        <f>IFERROR(AV30/AV13,"")</f>
        <v/>
      </c>
      <c r="AW45" s="4">
        <f>IFERROR(AW30/AW13,"")</f>
        <v/>
      </c>
      <c r="AX45" s="4">
        <f>IFERROR(AX30/AX13,"")</f>
        <v/>
      </c>
      <c r="AY45" s="4">
        <f>IFERROR(AY30/AY13,"")</f>
        <v/>
      </c>
      <c r="AZ45" s="4">
        <f>IFERROR(AZ30/AZ13,"")</f>
        <v/>
      </c>
      <c r="BA45" s="4">
        <f>IFERROR(BA30/BA13,"")</f>
        <v/>
      </c>
      <c r="BB45" s="4">
        <f>IFERROR(BB30/BB13,"")</f>
        <v/>
      </c>
      <c r="BC45" s="4">
        <f>IFERROR(BC30/BC13,"")</f>
        <v/>
      </c>
      <c r="BD45" s="4">
        <f>IFERROR(BD30/BD13,"")</f>
        <v/>
      </c>
      <c r="BE45" s="4">
        <f>IFERROR(BE30/BE13,"")</f>
        <v/>
      </c>
      <c r="BF45" s="4">
        <f>IFERROR(BF30/BF13,"")</f>
        <v/>
      </c>
      <c r="BG45" s="4">
        <f>IFERROR(BG30/BG13,"")</f>
        <v/>
      </c>
      <c r="BH45" s="4">
        <f>IFERROR(BH30/BH13,"")</f>
        <v/>
      </c>
      <c r="BI45" s="4">
        <f>IFERROR(BI30/BI13,"")</f>
        <v/>
      </c>
      <c r="BJ45" s="4">
        <f>IFERROR(BJ30/BJ13,"")</f>
        <v/>
      </c>
      <c r="BK45" s="4">
        <f>IFERROR(BK30/BK13,"")</f>
        <v/>
      </c>
      <c r="BL45" s="4">
        <f>IFERROR(BL30/BL13,"")</f>
        <v/>
      </c>
      <c r="BM45" s="4">
        <f>IFERROR(BM30/BM13,"")</f>
        <v/>
      </c>
      <c r="BN45" s="4">
        <f>IFERROR(BN30/BN13,"")</f>
        <v/>
      </c>
      <c r="BO45" s="4">
        <f>IFERROR(BO30/BO13,"")</f>
        <v/>
      </c>
      <c r="BP45" s="4">
        <f>IFERROR(BP30/BP13,"")</f>
        <v/>
      </c>
      <c r="BQ45" s="4">
        <f>IFERROR(BQ30/BQ13,"")</f>
        <v/>
      </c>
      <c r="BR45" s="4">
        <f>IFERROR(BR30/BR13,"")</f>
        <v/>
      </c>
      <c r="BS45" s="4">
        <f>IFERROR(BS30/BS13,"")</f>
        <v/>
      </c>
      <c r="BT45" s="4">
        <f>IFERROR(BT30/BT13,"")</f>
        <v/>
      </c>
      <c r="BU45" s="4">
        <f>IFERROR(BU30/BU13,"")</f>
        <v/>
      </c>
      <c r="BV45" s="4">
        <f>IFERROR(BV30/BV13,"")</f>
        <v/>
      </c>
      <c r="BW45" s="4">
        <f>IFERROR(BW30/BW13,"")</f>
        <v/>
      </c>
      <c r="BX45" s="4">
        <f>IFERROR(BX30/BX13,"")</f>
        <v/>
      </c>
      <c r="BY45" s="4">
        <f>IFERROR(BY30/BY13,"")</f>
        <v/>
      </c>
      <c r="BZ45" s="4">
        <f>IFERROR(BZ30/BZ13,"")</f>
        <v/>
      </c>
      <c r="CA45" s="4">
        <f>IFERROR(CA30/CA13,"")</f>
        <v/>
      </c>
      <c r="CB45" s="4">
        <f>IFERROR(CB30/CB13,"")</f>
        <v/>
      </c>
      <c r="CC45" s="4">
        <f>IFERROR(CC30/CC13,"")</f>
        <v/>
      </c>
      <c r="CD45" s="4">
        <f>IFERROR(CD30/CD13,"")</f>
        <v/>
      </c>
      <c r="CE45" s="4">
        <f>IFERROR(CE30/CE13,"")</f>
        <v/>
      </c>
      <c r="CF45" s="4">
        <f>IFERROR(CF30/CF13,"")</f>
        <v/>
      </c>
      <c r="CG45" s="4">
        <f>IFERROR(CG30/CG13,"")</f>
        <v/>
      </c>
      <c r="CH45" s="4" t="n"/>
    </row>
    <row r="46">
      <c r="A46" s="174" t="inlineStr">
        <is>
          <t>遠東</t>
        </is>
      </c>
      <c r="B46" s="4">
        <f>IFERROR(B31/B14,"")</f>
        <v/>
      </c>
      <c r="C46" s="4">
        <f>IFERROR(C31/C14,"")</f>
        <v/>
      </c>
      <c r="D46" s="4">
        <f>IFERROR(D31/D14,"")</f>
        <v/>
      </c>
      <c r="E46" s="4">
        <f>IFERROR(E31/E14,"")</f>
        <v/>
      </c>
      <c r="F46" s="4">
        <f>IFERROR(F31/F14,"")</f>
        <v/>
      </c>
      <c r="G46" s="4">
        <f>IFERROR(G31/G14,"")</f>
        <v/>
      </c>
      <c r="H46" s="4">
        <f>IFERROR(H31/H14,"")</f>
        <v/>
      </c>
      <c r="I46" s="4">
        <f>IFERROR(I31/I14,"")</f>
        <v/>
      </c>
      <c r="J46" s="4">
        <f>IFERROR(J31/J14,"")</f>
        <v/>
      </c>
      <c r="K46" s="4">
        <f>IFERROR(K31/K14,"")</f>
        <v/>
      </c>
      <c r="L46" s="4">
        <f>IFERROR(L31/L14,"")</f>
        <v/>
      </c>
      <c r="M46" s="4">
        <f>IFERROR(M31/M14,"")</f>
        <v/>
      </c>
      <c r="N46" s="4">
        <f>IFERROR(N31/N14,"")</f>
        <v/>
      </c>
      <c r="O46" s="4">
        <f>IFERROR(O31/O14,"")</f>
        <v/>
      </c>
      <c r="P46" s="4">
        <f>IFERROR(P31/P14,"")</f>
        <v/>
      </c>
      <c r="Q46" s="4">
        <f>IFERROR(Q31/Q14,"")</f>
        <v/>
      </c>
      <c r="R46" s="4">
        <f>IFERROR(R31/R14,"")</f>
        <v/>
      </c>
      <c r="S46" s="4">
        <f>IFERROR(S31/S14,"")</f>
        <v/>
      </c>
      <c r="T46" s="4">
        <f>IFERROR(T31/T14,"")</f>
        <v/>
      </c>
      <c r="U46" s="4">
        <f>IFERROR(U31/U14,"")</f>
        <v/>
      </c>
      <c r="V46" s="4">
        <f>IFERROR(V31/V14,"")</f>
        <v/>
      </c>
      <c r="W46" s="4">
        <f>IFERROR(W31/W14,"")</f>
        <v/>
      </c>
      <c r="X46" s="4">
        <f>IFERROR(X31/X14,"")</f>
        <v/>
      </c>
      <c r="Y46" s="4">
        <f>IFERROR(Y31/Y14,"")</f>
        <v/>
      </c>
      <c r="Z46" s="4">
        <f>IFERROR(Z31/Z14,"")</f>
        <v/>
      </c>
      <c r="AA46" s="4">
        <f>IFERROR(AA31/AA14,"")</f>
        <v/>
      </c>
      <c r="AB46" s="4">
        <f>IFERROR(AB31/AB14,"")</f>
        <v/>
      </c>
      <c r="AC46" s="4">
        <f>IFERROR(AC31/AC14,"")</f>
        <v/>
      </c>
      <c r="AD46" s="4">
        <f>IFERROR(AD31/AD14,"")</f>
        <v/>
      </c>
      <c r="AE46" s="4">
        <f>IFERROR(AE31/AE14,"")</f>
        <v/>
      </c>
      <c r="AF46" s="4">
        <f>IFERROR(AF31/AF14,"")</f>
        <v/>
      </c>
      <c r="AG46" s="4">
        <f>IFERROR(AG31/AG14,"")</f>
        <v/>
      </c>
      <c r="AH46" s="4">
        <f>IFERROR(AH31/AH14,"")</f>
        <v/>
      </c>
      <c r="AI46" s="4">
        <f>IFERROR(AI31/AI14,"")</f>
        <v/>
      </c>
      <c r="AJ46" s="4">
        <f>IFERROR(AJ31/AJ14,"")</f>
        <v/>
      </c>
      <c r="AK46" s="4">
        <f>IFERROR(AK31/AK14,"")</f>
        <v/>
      </c>
      <c r="AL46" s="4">
        <f>IFERROR(AL31/AL14,"")</f>
        <v/>
      </c>
      <c r="AM46" s="4">
        <f>IFERROR(AM31/AM14,"")</f>
        <v/>
      </c>
      <c r="AN46" s="4">
        <f>IFERROR(AN31/AN14,"")</f>
        <v/>
      </c>
      <c r="AO46" s="4">
        <f>IFERROR(AO31/AO14,"")</f>
        <v/>
      </c>
      <c r="AP46" s="4">
        <f>IFERROR(AP31/AP14,"")</f>
        <v/>
      </c>
      <c r="AQ46" s="4">
        <f>IFERROR(AQ31/AQ14,"")</f>
        <v/>
      </c>
      <c r="AR46" s="4">
        <f>IFERROR(AR31/AR14,"")</f>
        <v/>
      </c>
      <c r="AS46" s="4">
        <f>IFERROR(AS31/AS14,"")</f>
        <v/>
      </c>
      <c r="AT46" s="4">
        <f>IFERROR(AT31/AT14,"")</f>
        <v/>
      </c>
      <c r="AU46" s="4">
        <f>IFERROR(AU31/AU14,"")</f>
        <v/>
      </c>
      <c r="AV46" s="4">
        <f>IFERROR(AV31/AV14,"")</f>
        <v/>
      </c>
      <c r="AW46" s="4">
        <f>IFERROR(AW31/AW14,"")</f>
        <v/>
      </c>
      <c r="AX46" s="4">
        <f>IFERROR(AX31/AX14,"")</f>
        <v/>
      </c>
      <c r="AY46" s="4">
        <f>IFERROR(AY31/AY14,"")</f>
        <v/>
      </c>
      <c r="AZ46" s="4">
        <f>IFERROR(AZ31/AZ14,"")</f>
        <v/>
      </c>
      <c r="BA46" s="4">
        <f>IFERROR(BA31/BA14,"")</f>
        <v/>
      </c>
      <c r="BB46" s="4">
        <f>IFERROR(BB31/BB14,"")</f>
        <v/>
      </c>
      <c r="BC46" s="4">
        <f>IFERROR(BC31/BC14,"")</f>
        <v/>
      </c>
      <c r="BD46" s="4">
        <f>IFERROR(BD31/BD14,"")</f>
        <v/>
      </c>
      <c r="BE46" s="4">
        <f>IFERROR(BE31/BE14,"")</f>
        <v/>
      </c>
      <c r="BF46" s="4">
        <f>IFERROR(BF31/BF14,"")</f>
        <v/>
      </c>
      <c r="BG46" s="4">
        <f>IFERROR(BG31/BG14,"")</f>
        <v/>
      </c>
      <c r="BH46" s="4">
        <f>IFERROR(BH31/BH14,"")</f>
        <v/>
      </c>
      <c r="BI46" s="4">
        <f>IFERROR(BI31/BI14,"")</f>
        <v/>
      </c>
      <c r="BJ46" s="4">
        <f>IFERROR(BJ31/BJ14,"")</f>
        <v/>
      </c>
      <c r="BK46" s="4">
        <f>IFERROR(BK31/BK14,"")</f>
        <v/>
      </c>
      <c r="BL46" s="4">
        <f>IFERROR(BL31/BL14,"")</f>
        <v/>
      </c>
      <c r="BM46" s="4">
        <f>IFERROR(BM31/BM14,"")</f>
        <v/>
      </c>
      <c r="BN46" s="4">
        <f>IFERROR(BN31/BN14,"")</f>
        <v/>
      </c>
      <c r="BO46" s="4">
        <f>IFERROR(BO31/BO14,"")</f>
        <v/>
      </c>
      <c r="BP46" s="4">
        <f>IFERROR(BP31/BP14,"")</f>
        <v/>
      </c>
      <c r="BQ46" s="4">
        <f>IFERROR(BQ31/BQ14,"")</f>
        <v/>
      </c>
      <c r="BR46" s="4">
        <f>IFERROR(BR31/BR14,"")</f>
        <v/>
      </c>
      <c r="BS46" s="4">
        <f>IFERROR(BS31/BS14,"")</f>
        <v/>
      </c>
      <c r="BT46" s="4">
        <f>IFERROR(BT31/BT14,"")</f>
        <v/>
      </c>
      <c r="BU46" s="4">
        <f>IFERROR(BU31/BU14,"")</f>
        <v/>
      </c>
      <c r="BV46" s="4">
        <f>IFERROR(BV31/BV14,"")</f>
        <v/>
      </c>
      <c r="BW46" s="4">
        <f>IFERROR(BW31/BW14,"")</f>
        <v/>
      </c>
      <c r="BX46" s="4">
        <f>IFERROR(BX31/BX14,"")</f>
        <v/>
      </c>
      <c r="BY46" s="4">
        <f>IFERROR(BY31/BY14,"")</f>
        <v/>
      </c>
      <c r="BZ46" s="4">
        <f>IFERROR(BZ31/BZ14,"")</f>
        <v/>
      </c>
      <c r="CA46" s="4">
        <f>IFERROR(CA31/CA14,"")</f>
        <v/>
      </c>
      <c r="CB46" s="4">
        <f>IFERROR(CB31/CB14,"")</f>
        <v/>
      </c>
      <c r="CC46" s="4">
        <f>IFERROR(CC31/CC14,"")</f>
        <v/>
      </c>
      <c r="CD46" s="4">
        <f>IFERROR(CD31/CD14,"")</f>
        <v/>
      </c>
      <c r="CE46" s="4">
        <f>IFERROR(CE31/CE14,"")</f>
        <v/>
      </c>
      <c r="CF46" s="4">
        <f>IFERROR(CF31/CF14,"")</f>
        <v/>
      </c>
      <c r="CG46" s="4">
        <f>IFERROR(CG31/CG14,"")</f>
        <v/>
      </c>
      <c r="CH46" s="4" t="n"/>
    </row>
    <row r="47">
      <c r="A47" s="170" t="inlineStr">
        <is>
          <t>市場總計</t>
        </is>
      </c>
      <c r="B47" s="33">
        <f>IFERROR(B32/B15,"")</f>
        <v/>
      </c>
      <c r="C47" s="33">
        <f>IFERROR(C32/C15,"")</f>
        <v/>
      </c>
      <c r="D47" s="33">
        <f>IFERROR(D32/D15,"")</f>
        <v/>
      </c>
      <c r="E47" s="33">
        <f>IFERROR(E32/E15,"")</f>
        <v/>
      </c>
      <c r="F47" s="33">
        <f>IFERROR(F32/F15,"")</f>
        <v/>
      </c>
      <c r="G47" s="33">
        <f>IFERROR(G32/G15,"")</f>
        <v/>
      </c>
      <c r="H47" s="33">
        <f>IFERROR(H32/H15,"")</f>
        <v/>
      </c>
      <c r="I47" s="33">
        <f>IFERROR(I32/I15,"")</f>
        <v/>
      </c>
      <c r="J47" s="33">
        <f>IFERROR(J32/J15,"")</f>
        <v/>
      </c>
      <c r="K47" s="33">
        <f>IFERROR(K32/K15,"")</f>
        <v/>
      </c>
      <c r="L47" s="33">
        <f>IFERROR(L32/L15,"")</f>
        <v/>
      </c>
      <c r="M47" s="33">
        <f>IFERROR(M32/M15,"")</f>
        <v/>
      </c>
      <c r="N47" s="33">
        <f>IFERROR(N32/N15,"")</f>
        <v/>
      </c>
      <c r="O47" s="33">
        <f>IFERROR(O32/O15,"")</f>
        <v/>
      </c>
      <c r="P47" s="33">
        <f>IFERROR(P32/P15,"")</f>
        <v/>
      </c>
      <c r="Q47" s="33">
        <f>IFERROR(Q32/Q15,"")</f>
        <v/>
      </c>
      <c r="R47" s="33">
        <f>IFERROR(R32/R15,"")</f>
        <v/>
      </c>
      <c r="S47" s="33">
        <f>IFERROR(S32/S15,"")</f>
        <v/>
      </c>
      <c r="T47" s="33">
        <f>IFERROR(T32/T15,"")</f>
        <v/>
      </c>
      <c r="U47" s="33">
        <f>IFERROR(U32/U15,"")</f>
        <v/>
      </c>
      <c r="V47" s="33">
        <f>IFERROR(V32/V15,"")</f>
        <v/>
      </c>
      <c r="W47" s="33">
        <f>IFERROR(W32/W15,"")</f>
        <v/>
      </c>
      <c r="X47" s="33">
        <f>IFERROR(X32/X15,"")</f>
        <v/>
      </c>
      <c r="Y47" s="33">
        <f>IFERROR(Y32/Y15,"")</f>
        <v/>
      </c>
      <c r="Z47" s="33">
        <f>IFERROR(Z32/Z15,"")</f>
        <v/>
      </c>
      <c r="AA47" s="33">
        <f>IFERROR(AA32/AA15,"")</f>
        <v/>
      </c>
      <c r="AB47" s="33">
        <f>IFERROR(AB32/AB15,"")</f>
        <v/>
      </c>
      <c r="AC47" s="33">
        <f>IFERROR(AC32/AC15,"")</f>
        <v/>
      </c>
      <c r="AD47" s="33">
        <f>IFERROR(AD32/AD15,"")</f>
        <v/>
      </c>
      <c r="AE47" s="33">
        <f>IFERROR(AE32/AE15,"")</f>
        <v/>
      </c>
      <c r="AF47" s="33">
        <f>IFERROR(AF32/AF15,"")</f>
        <v/>
      </c>
      <c r="AG47" s="33">
        <f>IFERROR(AG32/AG15,"")</f>
        <v/>
      </c>
      <c r="AH47" s="33">
        <f>IFERROR(AH32/AH15,"")</f>
        <v/>
      </c>
      <c r="AI47" s="33">
        <f>IFERROR(AI32/AI15,"")</f>
        <v/>
      </c>
      <c r="AJ47" s="33">
        <f>IFERROR(AJ32/AJ15,"")</f>
        <v/>
      </c>
      <c r="AK47" s="33">
        <f>IFERROR(AK32/AK15,"")</f>
        <v/>
      </c>
      <c r="AL47" s="33">
        <f>IFERROR(AL32/AL15,"")</f>
        <v/>
      </c>
      <c r="AM47" s="33">
        <f>IFERROR(AM32/AM15,"")</f>
        <v/>
      </c>
      <c r="AN47" s="33">
        <f>IFERROR(AN32/AN15,"")</f>
        <v/>
      </c>
      <c r="AO47" s="33">
        <f>IFERROR(AO32/AO15,"")</f>
        <v/>
      </c>
      <c r="AP47" s="33">
        <f>IFERROR(AP32/AP15,"")</f>
        <v/>
      </c>
      <c r="AQ47" s="33">
        <f>IFERROR(AQ32/AQ15,"")</f>
        <v/>
      </c>
      <c r="AR47" s="33">
        <f>IFERROR(AR32/AR15,"")</f>
        <v/>
      </c>
      <c r="AS47" s="33">
        <f>IFERROR(AS32/AS15,"")</f>
        <v/>
      </c>
      <c r="AT47" s="33">
        <f>IFERROR(AT32/AT15,"")</f>
        <v/>
      </c>
      <c r="AU47" s="33">
        <f>IFERROR(AU32/AU15,"")</f>
        <v/>
      </c>
      <c r="AV47" s="33">
        <f>IFERROR(AV32/AV15,"")</f>
        <v/>
      </c>
      <c r="AW47" s="33">
        <f>IFERROR(AW32/AW15,"")</f>
        <v/>
      </c>
      <c r="AX47" s="33">
        <f>IFERROR(AX32/AX15,"")</f>
        <v/>
      </c>
      <c r="AY47" s="33">
        <f>IFERROR(AY32/AY15,"")</f>
        <v/>
      </c>
      <c r="AZ47" s="33">
        <f>IFERROR(AZ32/AZ15,"")</f>
        <v/>
      </c>
      <c r="BA47" s="33">
        <f>IFERROR(BA32/BA15,"")</f>
        <v/>
      </c>
      <c r="BB47" s="33">
        <f>IFERROR(BB32/BB15,"")</f>
        <v/>
      </c>
      <c r="BC47" s="33">
        <f>IFERROR(BC32/BC15,"")</f>
        <v/>
      </c>
      <c r="BD47" s="33">
        <f>IFERROR(BD32/BD15,"")</f>
        <v/>
      </c>
      <c r="BE47" s="33">
        <f>IFERROR(BE32/BE15,"")</f>
        <v/>
      </c>
      <c r="BF47" s="33">
        <f>IFERROR(BF32/BF15,"")</f>
        <v/>
      </c>
      <c r="BG47" s="33">
        <f>IFERROR(BG32/BG15,"")</f>
        <v/>
      </c>
      <c r="BH47" s="33">
        <f>IFERROR(BH32/BH15,"")</f>
        <v/>
      </c>
      <c r="BI47" s="33">
        <f>IFERROR(BI32/BI15,"")</f>
        <v/>
      </c>
      <c r="BJ47" s="33">
        <f>IFERROR(BJ32/BJ15,"")</f>
        <v/>
      </c>
      <c r="BK47" s="33">
        <f>IFERROR(BK32/BK15,"")</f>
        <v/>
      </c>
      <c r="BL47" s="33">
        <f>IFERROR(BL32/BL15,"")</f>
        <v/>
      </c>
      <c r="BM47" s="33">
        <f>IFERROR(BM32/BM15,"")</f>
        <v/>
      </c>
      <c r="BN47" s="33">
        <f>IFERROR(BN32/BN15,"")</f>
        <v/>
      </c>
      <c r="BO47" s="33">
        <f>IFERROR(BO32/BO15,"")</f>
        <v/>
      </c>
      <c r="BP47" s="33">
        <f>IFERROR(BP32/BP15,"")</f>
        <v/>
      </c>
      <c r="BQ47" s="33">
        <f>IFERROR(BQ32/BQ15,"")</f>
        <v/>
      </c>
      <c r="BR47" s="33">
        <f>IFERROR(BR32/BR15,"")</f>
        <v/>
      </c>
      <c r="BS47" s="33">
        <f>IFERROR(BS32/BS15,"")</f>
        <v/>
      </c>
      <c r="BT47" s="33">
        <f>IFERROR(BT32/BT15,"")</f>
        <v/>
      </c>
      <c r="BU47" s="33">
        <f>IFERROR(BU32/BU15,"")</f>
        <v/>
      </c>
      <c r="BV47" s="33">
        <f>IFERROR(BV32/BV15,"")</f>
        <v/>
      </c>
      <c r="BW47" s="33">
        <f>IFERROR(BW32/BW15,"")</f>
        <v/>
      </c>
      <c r="BX47" s="33">
        <f>IFERROR(BX32/BX15,"")</f>
        <v/>
      </c>
      <c r="BY47" s="33">
        <f>IFERROR(BY32/BY15,"")</f>
        <v/>
      </c>
      <c r="BZ47" s="33">
        <f>IFERROR(BZ32/BZ15,"")</f>
        <v/>
      </c>
      <c r="CA47" s="33">
        <f>IFERROR(CA32/CA15,"")</f>
        <v/>
      </c>
      <c r="CB47" s="33">
        <f>IFERROR(CB32/CB15,"")</f>
        <v/>
      </c>
      <c r="CC47" s="33">
        <f>IFERROR(CC32/CC15,"")</f>
        <v/>
      </c>
      <c r="CD47" s="33">
        <f>IFERROR(CD32/CD15,"")</f>
        <v/>
      </c>
      <c r="CE47" s="33">
        <f>IFERROR(CE32/CE15,"")</f>
        <v/>
      </c>
      <c r="CF47" s="33">
        <f>IFERROR(CF32/CF15,"")</f>
        <v/>
      </c>
      <c r="CG47" s="33">
        <f>IFERROR(CG32/CG15,"")</f>
        <v/>
      </c>
      <c r="CH47" s="4" t="n"/>
    </row>
    <row r="48">
      <c r="A48" s="172" t="n"/>
      <c r="B48" s="172" t="n"/>
      <c r="C48" s="172" t="n"/>
      <c r="D48" s="4" t="n"/>
      <c r="E48" s="34" t="n"/>
    </row>
    <row r="49">
      <c r="A49" s="141" t="inlineStr">
        <is>
          <t>淨發卡(張)</t>
        </is>
      </c>
      <c r="B49" s="141">
        <f>B$1</f>
        <v/>
      </c>
      <c r="C49" s="141">
        <f>C$1</f>
        <v/>
      </c>
      <c r="D49" s="141">
        <f>D$1</f>
        <v/>
      </c>
      <c r="E49" s="141">
        <f>E$1</f>
        <v/>
      </c>
      <c r="F49" s="141">
        <f>F$1</f>
        <v/>
      </c>
      <c r="G49" s="141">
        <f>G$1</f>
        <v/>
      </c>
      <c r="H49" s="141">
        <f>H$1</f>
        <v/>
      </c>
      <c r="I49" s="141">
        <f>I$1</f>
        <v/>
      </c>
      <c r="J49" s="141">
        <f>J$1</f>
        <v/>
      </c>
      <c r="K49" s="141">
        <f>K$1</f>
        <v/>
      </c>
      <c r="L49" s="141">
        <f>L$1</f>
        <v/>
      </c>
      <c r="M49" s="141">
        <f>M$1</f>
        <v/>
      </c>
      <c r="N49" s="141">
        <f>N$1</f>
        <v/>
      </c>
      <c r="O49" s="141">
        <f>O$1</f>
        <v/>
      </c>
      <c r="P49" s="141">
        <f>P$1</f>
        <v/>
      </c>
      <c r="Q49" s="141">
        <f>Q$1</f>
        <v/>
      </c>
      <c r="R49" s="141">
        <f>R$1</f>
        <v/>
      </c>
      <c r="S49" s="141">
        <f>S$1</f>
        <v/>
      </c>
      <c r="T49" s="141">
        <f>T$1</f>
        <v/>
      </c>
      <c r="U49" s="141">
        <f>U$1</f>
        <v/>
      </c>
      <c r="V49" s="141">
        <f>V$1</f>
        <v/>
      </c>
      <c r="W49" s="141">
        <f>W$1</f>
        <v/>
      </c>
      <c r="X49" s="141">
        <f>X$1</f>
        <v/>
      </c>
      <c r="Y49" s="141">
        <f>Y$1</f>
        <v/>
      </c>
      <c r="Z49" s="141">
        <f>Z$1</f>
        <v/>
      </c>
      <c r="AA49" s="141">
        <f>AA$1</f>
        <v/>
      </c>
      <c r="AB49" s="141">
        <f>AB$1</f>
        <v/>
      </c>
      <c r="AC49" s="141">
        <f>AC$1</f>
        <v/>
      </c>
      <c r="AD49" s="141">
        <f>AD$1</f>
        <v/>
      </c>
      <c r="AE49" s="141">
        <f>AE$1</f>
        <v/>
      </c>
      <c r="AF49" s="141">
        <f>AF$1</f>
        <v/>
      </c>
      <c r="AG49" s="141">
        <f>AG$1</f>
        <v/>
      </c>
      <c r="AH49" s="141">
        <f>AH$1</f>
        <v/>
      </c>
      <c r="AI49" s="141">
        <f>AI$1</f>
        <v/>
      </c>
      <c r="AJ49" s="141">
        <f>AJ$1</f>
        <v/>
      </c>
      <c r="AK49" s="141">
        <f>AK$1</f>
        <v/>
      </c>
      <c r="AL49" s="141">
        <f>AL$1</f>
        <v/>
      </c>
      <c r="AM49" s="141">
        <f>AM$1</f>
        <v/>
      </c>
      <c r="AN49" s="141">
        <f>AN$1</f>
        <v/>
      </c>
      <c r="AO49" s="141">
        <f>AO$1</f>
        <v/>
      </c>
      <c r="AP49" s="141">
        <f>AP$1</f>
        <v/>
      </c>
      <c r="AQ49" s="141">
        <f>AQ$1</f>
        <v/>
      </c>
      <c r="AR49" s="141">
        <f>AR$1</f>
        <v/>
      </c>
      <c r="AS49" s="141">
        <f>AS$1</f>
        <v/>
      </c>
      <c r="AT49" s="141">
        <f>AT$1</f>
        <v/>
      </c>
      <c r="AU49" s="141">
        <f>AU$1</f>
        <v/>
      </c>
      <c r="AV49" s="141">
        <f>AV$1</f>
        <v/>
      </c>
      <c r="AW49" s="141">
        <f>AW$1</f>
        <v/>
      </c>
      <c r="AX49" s="141">
        <f>AX$1</f>
        <v/>
      </c>
      <c r="AY49" s="141">
        <f>AY$1</f>
        <v/>
      </c>
      <c r="AZ49" s="141">
        <f>AZ$1</f>
        <v/>
      </c>
      <c r="BA49" s="141">
        <f>BA$1</f>
        <v/>
      </c>
      <c r="BB49" s="141">
        <f>BB$1</f>
        <v/>
      </c>
      <c r="BC49" s="141">
        <f>BC$1</f>
        <v/>
      </c>
      <c r="BD49" s="141">
        <f>BD$1</f>
        <v/>
      </c>
      <c r="BE49" s="141">
        <f>BE$1</f>
        <v/>
      </c>
      <c r="BF49" s="141">
        <f>BF$1</f>
        <v/>
      </c>
      <c r="BG49" s="141">
        <f>BG$1</f>
        <v/>
      </c>
      <c r="BH49" s="141">
        <f>BH$1</f>
        <v/>
      </c>
      <c r="BI49" s="141">
        <f>BI$1</f>
        <v/>
      </c>
      <c r="BJ49" s="141">
        <f>BJ$1</f>
        <v/>
      </c>
      <c r="BK49" s="141">
        <f>BK$1</f>
        <v/>
      </c>
      <c r="BL49" s="141">
        <f>BL$1</f>
        <v/>
      </c>
      <c r="BM49" s="141">
        <f>BM$1</f>
        <v/>
      </c>
      <c r="BN49" s="141">
        <f>BN$1</f>
        <v/>
      </c>
      <c r="BO49" s="141">
        <f>BO$1</f>
        <v/>
      </c>
      <c r="BP49" s="141">
        <f>BP$1</f>
        <v/>
      </c>
      <c r="BQ49" s="141">
        <f>BQ$1</f>
        <v/>
      </c>
      <c r="BR49" s="141">
        <f>BR$1</f>
        <v/>
      </c>
      <c r="BS49" s="141">
        <f>BS$1</f>
        <v/>
      </c>
      <c r="BT49" s="141">
        <f>BT$1</f>
        <v/>
      </c>
      <c r="BU49" s="141">
        <f>BU$1</f>
        <v/>
      </c>
      <c r="BV49" s="141">
        <f>BV$1</f>
        <v/>
      </c>
      <c r="BW49" s="141">
        <f>BW$1</f>
        <v/>
      </c>
      <c r="BX49" s="141">
        <f>BX$1</f>
        <v/>
      </c>
      <c r="BY49" s="141">
        <f>BY$1</f>
        <v/>
      </c>
      <c r="BZ49" s="141">
        <f>BZ$1</f>
        <v/>
      </c>
      <c r="CA49" s="141">
        <f>CA$1</f>
        <v/>
      </c>
      <c r="CB49" s="141">
        <f>CB$1</f>
        <v/>
      </c>
      <c r="CC49" s="141">
        <f>CC$1</f>
        <v/>
      </c>
      <c r="CD49" s="141">
        <f>CD$1</f>
        <v/>
      </c>
      <c r="CE49" s="141">
        <f>CE$1</f>
        <v/>
      </c>
      <c r="CF49" s="141">
        <f>CF$1</f>
        <v/>
      </c>
      <c r="CG49" s="141">
        <f>CG$1</f>
        <v/>
      </c>
      <c r="CH49" s="30" t="n"/>
    </row>
    <row r="50">
      <c r="A50" s="174" t="inlineStr">
        <is>
          <t>中信</t>
        </is>
      </c>
      <c r="B50" s="182">
        <f>IFERROR(B63-B78,"")</f>
        <v/>
      </c>
      <c r="C50" s="182">
        <f>IFERROR(C63-C78,"")</f>
        <v/>
      </c>
      <c r="D50" s="182">
        <f>IFERROR(D63-D78,"")</f>
        <v/>
      </c>
      <c r="E50" s="182">
        <f>IFERROR(E63-E78,"")</f>
        <v/>
      </c>
      <c r="F50" s="182">
        <f>IFERROR(F63-F78,"")</f>
        <v/>
      </c>
      <c r="G50" s="182">
        <f>IFERROR(G63-G78,"")</f>
        <v/>
      </c>
      <c r="H50" s="182">
        <f>IFERROR(H63-H78,"")</f>
        <v/>
      </c>
      <c r="I50" s="182">
        <f>IFERROR(I63-I78,"")</f>
        <v/>
      </c>
      <c r="J50" s="182">
        <f>IFERROR(J63-J78,"")</f>
        <v/>
      </c>
      <c r="K50" s="182">
        <f>IFERROR(K63-K78,"")</f>
        <v/>
      </c>
      <c r="L50" s="182">
        <f>IFERROR(L63-L78,"")</f>
        <v/>
      </c>
      <c r="M50" s="182">
        <f>IFERROR(M63-M78,"")</f>
        <v/>
      </c>
      <c r="N50" s="182">
        <f>IFERROR(N63-N78,"")</f>
        <v/>
      </c>
      <c r="O50" s="182">
        <f>IFERROR(O63-O78,"")</f>
        <v/>
      </c>
      <c r="P50" s="182">
        <f>IFERROR(P63-P78,"")</f>
        <v/>
      </c>
      <c r="Q50" s="182">
        <f>IFERROR(Q63-Q78,"")</f>
        <v/>
      </c>
      <c r="R50" s="182">
        <f>IFERROR(R63-R78,"")</f>
        <v/>
      </c>
      <c r="S50" s="182">
        <f>IFERROR(S63-S78,"")</f>
        <v/>
      </c>
      <c r="T50" s="182">
        <f>IFERROR(T63-T78,"")</f>
        <v/>
      </c>
      <c r="U50" s="182">
        <f>IFERROR(U63-U78,"")</f>
        <v/>
      </c>
      <c r="V50" s="182">
        <f>IFERROR(V63-V78,"")</f>
        <v/>
      </c>
      <c r="W50" s="182">
        <f>IFERROR(W63-W78,"")</f>
        <v/>
      </c>
      <c r="X50" s="182">
        <f>IFERROR(X63-X78,"")</f>
        <v/>
      </c>
      <c r="Y50" s="182">
        <f>IFERROR(Y63-Y78,"")</f>
        <v/>
      </c>
      <c r="Z50" s="182">
        <f>IFERROR(Z63-Z78,"")</f>
        <v/>
      </c>
      <c r="AA50" s="182">
        <f>IFERROR(AA63-AA78,"")</f>
        <v/>
      </c>
      <c r="AB50" s="182">
        <f>IFERROR(AB63-AB78,"")</f>
        <v/>
      </c>
      <c r="AC50" s="182">
        <f>IFERROR(AC63-AC78,"")</f>
        <v/>
      </c>
      <c r="AD50" s="182">
        <f>IFERROR(AD63-AD78,"")</f>
        <v/>
      </c>
      <c r="AE50" s="182">
        <f>IFERROR(AE63-AE78,"")</f>
        <v/>
      </c>
      <c r="AF50" s="182">
        <f>IFERROR(AF63-AF78,"")</f>
        <v/>
      </c>
      <c r="AG50" s="182">
        <f>IFERROR(AG63-AG78,"")</f>
        <v/>
      </c>
      <c r="AH50" s="182">
        <f>IFERROR(AH63-AH78,"")</f>
        <v/>
      </c>
      <c r="AI50" s="182">
        <f>IFERROR(AI63-AI78,"")</f>
        <v/>
      </c>
      <c r="AJ50" s="182">
        <f>IFERROR(AJ63-AJ78,"")</f>
        <v/>
      </c>
      <c r="AK50" s="182">
        <f>IFERROR(AK63-AK78,"")</f>
        <v/>
      </c>
      <c r="AL50" s="182">
        <f>IFERROR(AL63-AL78,"")</f>
        <v/>
      </c>
      <c r="AM50" s="182">
        <f>IFERROR(AM63-AM78,"")</f>
        <v/>
      </c>
      <c r="AN50" s="182">
        <f>IFERROR(AN63-AN78,"")</f>
        <v/>
      </c>
      <c r="AO50" s="182">
        <f>IFERROR(AO63-AO78,"")</f>
        <v/>
      </c>
      <c r="AP50" s="182">
        <f>IFERROR(AP63-AP78,"")</f>
        <v/>
      </c>
      <c r="AQ50" s="182">
        <f>IFERROR(AQ63-AQ78,"")</f>
        <v/>
      </c>
      <c r="AR50" s="182">
        <f>IFERROR(AR63-AR78,"")</f>
        <v/>
      </c>
      <c r="AS50" s="182">
        <f>IFERROR(AS63-AS78,"")</f>
        <v/>
      </c>
      <c r="AT50" s="182">
        <f>IFERROR(AT63-AT78,"")</f>
        <v/>
      </c>
      <c r="AU50" s="182">
        <f>IFERROR(AU63-AU78,"")</f>
        <v/>
      </c>
      <c r="AV50" s="182">
        <f>IFERROR(AV63-AV78,"")</f>
        <v/>
      </c>
      <c r="AW50" s="182">
        <f>IFERROR(AW63-AW78,"")</f>
        <v/>
      </c>
      <c r="AX50" s="182">
        <f>IFERROR(AX63-AX78,"")</f>
        <v/>
      </c>
      <c r="AY50" s="182">
        <f>IFERROR(AY63-AY78,"")</f>
        <v/>
      </c>
      <c r="AZ50" s="182">
        <f>IFERROR(AZ63-AZ78,"")</f>
        <v/>
      </c>
      <c r="BA50" s="182">
        <f>IFERROR(BA63-BA78,"")</f>
        <v/>
      </c>
      <c r="BB50" s="182">
        <f>IFERROR(BB63-BB78,"")</f>
        <v/>
      </c>
      <c r="BC50" s="182">
        <f>IFERROR(BC63-BC78,"")</f>
        <v/>
      </c>
      <c r="BD50" s="182">
        <f>IFERROR(BD63-BD78,"")</f>
        <v/>
      </c>
      <c r="BE50" s="182">
        <f>IFERROR(BE63-BE78,"")</f>
        <v/>
      </c>
      <c r="BF50" s="182">
        <f>IFERROR(BF63-BF78,"")</f>
        <v/>
      </c>
      <c r="BG50" s="182">
        <f>IFERROR(BG63-BG78,"")</f>
        <v/>
      </c>
      <c r="BH50" s="182">
        <f>IFERROR(BH63-BH78,"")</f>
        <v/>
      </c>
      <c r="BI50" s="182">
        <f>IFERROR(BI63-BI78,"")</f>
        <v/>
      </c>
      <c r="BJ50" s="182">
        <f>IFERROR(BJ63-BJ78,"")</f>
        <v/>
      </c>
      <c r="BK50" s="182">
        <f>IFERROR(BK63-BK78,"")</f>
        <v/>
      </c>
      <c r="BL50" s="182">
        <f>IFERROR(BL63-BL78,"")</f>
        <v/>
      </c>
      <c r="BM50" s="182">
        <f>IFERROR(BM63-BM78,"")</f>
        <v/>
      </c>
      <c r="BN50" s="182">
        <f>IFERROR(BN63-BN78,"")</f>
        <v/>
      </c>
      <c r="BO50" s="182">
        <f>IFERROR(BO63-BO78,"")</f>
        <v/>
      </c>
      <c r="BP50" s="182">
        <f>IFERROR(BP63-BP78,"")</f>
        <v/>
      </c>
      <c r="BQ50" s="182">
        <f>IFERROR(BQ63-BQ78,"")</f>
        <v/>
      </c>
      <c r="BR50" s="182">
        <f>IFERROR(BR63-BR78,"")</f>
        <v/>
      </c>
      <c r="BS50" s="182">
        <f>IFERROR(BS63-BS78,"")</f>
        <v/>
      </c>
      <c r="BT50" s="182">
        <f>IFERROR(BT63-BT78,"")</f>
        <v/>
      </c>
      <c r="BU50" s="182">
        <f>IFERROR(BU63-BU78,"")</f>
        <v/>
      </c>
      <c r="BV50" s="182">
        <f>IFERROR(BV63-BV78,"")</f>
        <v/>
      </c>
      <c r="BW50" s="182">
        <f>IFERROR(BW63-BW78,"")</f>
        <v/>
      </c>
      <c r="BX50" s="182">
        <f>IFERROR(BX63-BX78,"")</f>
        <v/>
      </c>
      <c r="BY50" s="182">
        <f>IFERROR(BY63-BY78,"")</f>
        <v/>
      </c>
      <c r="BZ50" s="182">
        <f>IFERROR(BZ63-BZ78,"")</f>
        <v/>
      </c>
      <c r="CA50" s="182">
        <f>IFERROR(CA63-CA78,"")</f>
        <v/>
      </c>
      <c r="CB50" s="182">
        <f>IFERROR(CB63-CB78,"")</f>
        <v/>
      </c>
      <c r="CC50" s="182">
        <f>IFERROR(CC63-CC78,"")</f>
        <v/>
      </c>
      <c r="CD50" s="182">
        <f>IFERROR(CD63-CD78,"")</f>
        <v/>
      </c>
      <c r="CE50" s="182">
        <f>IFERROR(CE63-CE78,"")</f>
        <v/>
      </c>
      <c r="CF50" s="182">
        <f>IFERROR(CF63-CF78,"")</f>
        <v/>
      </c>
      <c r="CG50" s="182">
        <f>IFERROR(CG63-CG78,"")</f>
        <v/>
      </c>
      <c r="CH50" s="182" t="n"/>
    </row>
    <row r="51">
      <c r="A51" s="174" t="inlineStr">
        <is>
          <t>富邦</t>
        </is>
      </c>
      <c r="B51" s="182">
        <f>IFERROR(B64-B79,"")</f>
        <v/>
      </c>
      <c r="C51" s="182">
        <f>IFERROR(C64-C79,"")</f>
        <v/>
      </c>
      <c r="D51" s="182">
        <f>IFERROR(D64-D79,"")</f>
        <v/>
      </c>
      <c r="E51" s="182">
        <f>IFERROR(E64-E79,"")</f>
        <v/>
      </c>
      <c r="F51" s="182">
        <f>IFERROR(F64-F79,"")</f>
        <v/>
      </c>
      <c r="G51" s="182">
        <f>IFERROR(G64-G79,"")</f>
        <v/>
      </c>
      <c r="H51" s="182">
        <f>IFERROR(H64-H79,"")</f>
        <v/>
      </c>
      <c r="I51" s="182">
        <f>IFERROR(I64-I79,"")</f>
        <v/>
      </c>
      <c r="J51" s="182">
        <f>IFERROR(J64-J79,"")</f>
        <v/>
      </c>
      <c r="K51" s="182">
        <f>IFERROR(K64-K79,"")</f>
        <v/>
      </c>
      <c r="L51" s="182">
        <f>IFERROR(L64-L79,"")</f>
        <v/>
      </c>
      <c r="M51" s="182">
        <f>IFERROR(M64-M79,"")</f>
        <v/>
      </c>
      <c r="N51" s="182">
        <f>IFERROR(N64-N79,"")</f>
        <v/>
      </c>
      <c r="O51" s="182">
        <f>IFERROR(O64-O79,"")</f>
        <v/>
      </c>
      <c r="P51" s="182">
        <f>IFERROR(P64-P79,"")</f>
        <v/>
      </c>
      <c r="Q51" s="182">
        <f>IFERROR(Q64-Q79,"")</f>
        <v/>
      </c>
      <c r="R51" s="182">
        <f>IFERROR(R64-R79,"")</f>
        <v/>
      </c>
      <c r="S51" s="182">
        <f>IFERROR(S64-S79,"")</f>
        <v/>
      </c>
      <c r="T51" s="182">
        <f>IFERROR(T64-T79,"")</f>
        <v/>
      </c>
      <c r="U51" s="182">
        <f>IFERROR(U64-U79,"")</f>
        <v/>
      </c>
      <c r="V51" s="182">
        <f>IFERROR(V64-V79,"")</f>
        <v/>
      </c>
      <c r="W51" s="182">
        <f>IFERROR(W64-W79,"")</f>
        <v/>
      </c>
      <c r="X51" s="182">
        <f>IFERROR(X64-X79,"")</f>
        <v/>
      </c>
      <c r="Y51" s="182">
        <f>IFERROR(Y64-Y79,"")</f>
        <v/>
      </c>
      <c r="Z51" s="182">
        <f>IFERROR(Z64-Z79,"")</f>
        <v/>
      </c>
      <c r="AA51" s="182">
        <f>IFERROR(AA64-AA79,"")</f>
        <v/>
      </c>
      <c r="AB51" s="182">
        <f>IFERROR(AB64-AB79,"")</f>
        <v/>
      </c>
      <c r="AC51" s="182">
        <f>IFERROR(AC64-AC79,"")</f>
        <v/>
      </c>
      <c r="AD51" s="182">
        <f>IFERROR(AD64-AD79,"")</f>
        <v/>
      </c>
      <c r="AE51" s="182">
        <f>IFERROR(AE64-AE79,"")</f>
        <v/>
      </c>
      <c r="AF51" s="182">
        <f>IFERROR(AF64-AF79,"")</f>
        <v/>
      </c>
      <c r="AG51" s="182">
        <f>IFERROR(AG64-AG79,"")</f>
        <v/>
      </c>
      <c r="AH51" s="182">
        <f>IFERROR(AH64-AH79,"")</f>
        <v/>
      </c>
      <c r="AI51" s="182">
        <f>IFERROR(AI64-AI79,"")</f>
        <v/>
      </c>
      <c r="AJ51" s="182">
        <f>IFERROR(AJ64-AJ79,"")</f>
        <v/>
      </c>
      <c r="AK51" s="182">
        <f>IFERROR(AK64-AK79,"")</f>
        <v/>
      </c>
      <c r="AL51" s="182">
        <f>IFERROR(AL64-AL79,"")</f>
        <v/>
      </c>
      <c r="AM51" s="182">
        <f>IFERROR(AM64-AM79,"")</f>
        <v/>
      </c>
      <c r="AN51" s="182">
        <f>IFERROR(AN64-AN79,"")</f>
        <v/>
      </c>
      <c r="AO51" s="182">
        <f>IFERROR(AO64-AO79,"")</f>
        <v/>
      </c>
      <c r="AP51" s="182">
        <f>IFERROR(AP64-AP79,"")</f>
        <v/>
      </c>
      <c r="AQ51" s="182">
        <f>IFERROR(AQ64-AQ79,"")</f>
        <v/>
      </c>
      <c r="AR51" s="182">
        <f>IFERROR(AR64-AR79,"")</f>
        <v/>
      </c>
      <c r="AS51" s="182">
        <f>IFERROR(AS64-AS79,"")</f>
        <v/>
      </c>
      <c r="AT51" s="182">
        <f>IFERROR(AT64-AT79,"")</f>
        <v/>
      </c>
      <c r="AU51" s="182">
        <f>IFERROR(AU64-AU79,"")</f>
        <v/>
      </c>
      <c r="AV51" s="182">
        <f>IFERROR(AV64-AV79,"")</f>
        <v/>
      </c>
      <c r="AW51" s="182">
        <f>IFERROR(AW64-AW79,"")</f>
        <v/>
      </c>
      <c r="AX51" s="182">
        <f>IFERROR(AX64-AX79,"")</f>
        <v/>
      </c>
      <c r="AY51" s="182">
        <f>IFERROR(AY64-AY79,"")</f>
        <v/>
      </c>
      <c r="AZ51" s="182">
        <f>IFERROR(AZ64-AZ79,"")</f>
        <v/>
      </c>
      <c r="BA51" s="182">
        <f>IFERROR(BA64-BA79,"")</f>
        <v/>
      </c>
      <c r="BB51" s="182">
        <f>IFERROR(BB64-BB79,"")</f>
        <v/>
      </c>
      <c r="BC51" s="182">
        <f>IFERROR(BC64-BC79,"")</f>
        <v/>
      </c>
      <c r="BD51" s="182">
        <f>IFERROR(BD64-BD79,"")</f>
        <v/>
      </c>
      <c r="BE51" s="182">
        <f>IFERROR(BE64-BE79,"")</f>
        <v/>
      </c>
      <c r="BF51" s="182">
        <f>IFERROR(BF64-BF79,"")</f>
        <v/>
      </c>
      <c r="BG51" s="182">
        <f>IFERROR(BG64-BG79,"")</f>
        <v/>
      </c>
      <c r="BH51" s="182">
        <f>IFERROR(BH64-BH79,"")</f>
        <v/>
      </c>
      <c r="BI51" s="182">
        <f>IFERROR(BI64-BI79,"")</f>
        <v/>
      </c>
      <c r="BJ51" s="182">
        <f>IFERROR(BJ64-BJ79,"")</f>
        <v/>
      </c>
      <c r="BK51" s="182">
        <f>IFERROR(BK64-BK79,"")</f>
        <v/>
      </c>
      <c r="BL51" s="182">
        <f>IFERROR(BL64-BL79,"")</f>
        <v/>
      </c>
      <c r="BM51" s="182">
        <f>IFERROR(BM64-BM79,"")</f>
        <v/>
      </c>
      <c r="BN51" s="182">
        <f>IFERROR(BN64-BN79,"")</f>
        <v/>
      </c>
      <c r="BO51" s="182">
        <f>IFERROR(BO64-BO79,"")</f>
        <v/>
      </c>
      <c r="BP51" s="182">
        <f>IFERROR(BP64-BP79,"")</f>
        <v/>
      </c>
      <c r="BQ51" s="182">
        <f>IFERROR(BQ64-BQ79,"")</f>
        <v/>
      </c>
      <c r="BR51" s="182">
        <f>IFERROR(BR64-BR79,"")</f>
        <v/>
      </c>
      <c r="BS51" s="182">
        <f>IFERROR(BS64-BS79,"")</f>
        <v/>
      </c>
      <c r="BT51" s="182">
        <f>IFERROR(BT64-BT79,"")</f>
        <v/>
      </c>
      <c r="BU51" s="182">
        <f>IFERROR(BU64-BU79,"")</f>
        <v/>
      </c>
      <c r="BV51" s="182">
        <f>IFERROR(BV64-BV79,"")</f>
        <v/>
      </c>
      <c r="BW51" s="182">
        <f>IFERROR(BW64-BW79,"")</f>
        <v/>
      </c>
      <c r="BX51" s="182">
        <f>IFERROR(BX64-BX79,"")</f>
        <v/>
      </c>
      <c r="BY51" s="182">
        <f>IFERROR(BY64-BY79,"")</f>
        <v/>
      </c>
      <c r="BZ51" s="182">
        <f>IFERROR(BZ64-BZ79,"")</f>
        <v/>
      </c>
      <c r="CA51" s="182">
        <f>IFERROR(CA64-CA79,"")</f>
        <v/>
      </c>
      <c r="CB51" s="182">
        <f>IFERROR(CB64-CB79,"")</f>
        <v/>
      </c>
      <c r="CC51" s="182">
        <f>IFERROR(CC64-CC79,"")</f>
        <v/>
      </c>
      <c r="CD51" s="182">
        <f>IFERROR(CD64-CD79,"")</f>
        <v/>
      </c>
      <c r="CE51" s="182">
        <f>IFERROR(CE64-CE79,"")</f>
        <v/>
      </c>
      <c r="CF51" s="182">
        <f>IFERROR(CF64-CF79,"")</f>
        <v/>
      </c>
      <c r="CG51" s="182">
        <f>IFERROR(CG64-CG79,"")</f>
        <v/>
      </c>
      <c r="CH51" s="182" t="n"/>
    </row>
    <row r="52">
      <c r="A52" s="174" t="inlineStr">
        <is>
          <t>國泰</t>
        </is>
      </c>
      <c r="B52" s="182">
        <f>IFERROR(B65-B80,"")</f>
        <v/>
      </c>
      <c r="C52" s="182">
        <f>IFERROR(C65-C80,"")</f>
        <v/>
      </c>
      <c r="D52" s="182">
        <f>IFERROR(D65-D80,"")</f>
        <v/>
      </c>
      <c r="E52" s="182">
        <f>IFERROR(E65-E80,"")</f>
        <v/>
      </c>
      <c r="F52" s="182">
        <f>IFERROR(F65-F80,"")</f>
        <v/>
      </c>
      <c r="G52" s="182">
        <f>IFERROR(G65-G80,"")</f>
        <v/>
      </c>
      <c r="H52" s="182">
        <f>IFERROR(H65-H80,"")</f>
        <v/>
      </c>
      <c r="I52" s="182">
        <f>IFERROR(I65-I80,"")</f>
        <v/>
      </c>
      <c r="J52" s="182">
        <f>IFERROR(J65-J80,"")</f>
        <v/>
      </c>
      <c r="K52" s="182">
        <f>IFERROR(K65-K80,"")</f>
        <v/>
      </c>
      <c r="L52" s="182">
        <f>IFERROR(L65-L80,"")</f>
        <v/>
      </c>
      <c r="M52" s="182">
        <f>IFERROR(M65-M80,"")</f>
        <v/>
      </c>
      <c r="N52" s="182">
        <f>IFERROR(N65-N80,"")</f>
        <v/>
      </c>
      <c r="O52" s="182">
        <f>IFERROR(O65-O80,"")</f>
        <v/>
      </c>
      <c r="P52" s="182">
        <f>IFERROR(P65-P80,"")</f>
        <v/>
      </c>
      <c r="Q52" s="182">
        <f>IFERROR(Q65-Q80,"")</f>
        <v/>
      </c>
      <c r="R52" s="182">
        <f>IFERROR(R65-R80,"")</f>
        <v/>
      </c>
      <c r="S52" s="182">
        <f>IFERROR(S65-S80,"")</f>
        <v/>
      </c>
      <c r="T52" s="182">
        <f>IFERROR(T65-T80,"")</f>
        <v/>
      </c>
      <c r="U52" s="182">
        <f>IFERROR(U65-U80,"")</f>
        <v/>
      </c>
      <c r="V52" s="182">
        <f>IFERROR(V65-V80,"")</f>
        <v/>
      </c>
      <c r="W52" s="182">
        <f>IFERROR(W65-W80,"")</f>
        <v/>
      </c>
      <c r="X52" s="182">
        <f>IFERROR(X65-X80,"")</f>
        <v/>
      </c>
      <c r="Y52" s="182">
        <f>IFERROR(Y65-Y80,"")</f>
        <v/>
      </c>
      <c r="Z52" s="182">
        <f>IFERROR(Z65-Z80,"")</f>
        <v/>
      </c>
      <c r="AA52" s="182">
        <f>IFERROR(AA65-AA80,"")</f>
        <v/>
      </c>
      <c r="AB52" s="182">
        <f>IFERROR(AB65-AB80,"")</f>
        <v/>
      </c>
      <c r="AC52" s="182">
        <f>IFERROR(AC65-AC80,"")</f>
        <v/>
      </c>
      <c r="AD52" s="182">
        <f>IFERROR(AD65-AD80,"")</f>
        <v/>
      </c>
      <c r="AE52" s="182">
        <f>IFERROR(AE65-AE80,"")</f>
        <v/>
      </c>
      <c r="AF52" s="182">
        <f>IFERROR(AF65-AF80,"")</f>
        <v/>
      </c>
      <c r="AG52" s="182">
        <f>IFERROR(AG65-AG80,"")</f>
        <v/>
      </c>
      <c r="AH52" s="182">
        <f>IFERROR(AH65-AH80,"")</f>
        <v/>
      </c>
      <c r="AI52" s="182">
        <f>IFERROR(AI65-AI80,"")</f>
        <v/>
      </c>
      <c r="AJ52" s="182">
        <f>IFERROR(AJ65-AJ80,"")</f>
        <v/>
      </c>
      <c r="AK52" s="182">
        <f>IFERROR(AK65-AK80,"")</f>
        <v/>
      </c>
      <c r="AL52" s="182">
        <f>IFERROR(AL65-AL80,"")</f>
        <v/>
      </c>
      <c r="AM52" s="182">
        <f>IFERROR(AM65-AM80,"")</f>
        <v/>
      </c>
      <c r="AN52" s="182">
        <f>IFERROR(AN65-AN80,"")</f>
        <v/>
      </c>
      <c r="AO52" s="182">
        <f>IFERROR(AO65-AO80,"")</f>
        <v/>
      </c>
      <c r="AP52" s="182">
        <f>IFERROR(AP65-AP80,"")</f>
        <v/>
      </c>
      <c r="AQ52" s="182">
        <f>IFERROR(AQ65-AQ80,"")</f>
        <v/>
      </c>
      <c r="AR52" s="182">
        <f>IFERROR(AR65-AR80,"")</f>
        <v/>
      </c>
      <c r="AS52" s="182">
        <f>IFERROR(AS65-AS80,"")</f>
        <v/>
      </c>
      <c r="AT52" s="182">
        <f>IFERROR(AT65-AT80,"")</f>
        <v/>
      </c>
      <c r="AU52" s="182">
        <f>IFERROR(AU65-AU80,"")</f>
        <v/>
      </c>
      <c r="AV52" s="182">
        <f>IFERROR(AV65-AV80,"")</f>
        <v/>
      </c>
      <c r="AW52" s="182">
        <f>IFERROR(AW65-AW80,"")</f>
        <v/>
      </c>
      <c r="AX52" s="182">
        <f>IFERROR(AX65-AX80,"")</f>
        <v/>
      </c>
      <c r="AY52" s="182">
        <f>IFERROR(AY65-AY80,"")</f>
        <v/>
      </c>
      <c r="AZ52" s="182">
        <f>IFERROR(AZ65-AZ80,"")</f>
        <v/>
      </c>
      <c r="BA52" s="182">
        <f>IFERROR(BA65-BA80,"")</f>
        <v/>
      </c>
      <c r="BB52" s="182">
        <f>IFERROR(BB65-BB80,"")</f>
        <v/>
      </c>
      <c r="BC52" s="182">
        <f>IFERROR(BC65-BC80,"")</f>
        <v/>
      </c>
      <c r="BD52" s="182">
        <f>IFERROR(BD65-BD80,"")</f>
        <v/>
      </c>
      <c r="BE52" s="182">
        <f>IFERROR(BE65-BE80,"")</f>
        <v/>
      </c>
      <c r="BF52" s="182">
        <f>IFERROR(BF65-BF80,"")</f>
        <v/>
      </c>
      <c r="BG52" s="182">
        <f>IFERROR(BG65-BG80,"")</f>
        <v/>
      </c>
      <c r="BH52" s="182">
        <f>IFERROR(BH65-BH80,"")</f>
        <v/>
      </c>
      <c r="BI52" s="182">
        <f>IFERROR(BI65-BI80,"")</f>
        <v/>
      </c>
      <c r="BJ52" s="182">
        <f>IFERROR(BJ65-BJ80,"")</f>
        <v/>
      </c>
      <c r="BK52" s="182">
        <f>IFERROR(BK65-BK80,"")</f>
        <v/>
      </c>
      <c r="BL52" s="182">
        <f>IFERROR(BL65-BL80,"")</f>
        <v/>
      </c>
      <c r="BM52" s="182">
        <f>IFERROR(BM65-BM80,"")</f>
        <v/>
      </c>
      <c r="BN52" s="182">
        <f>IFERROR(BN65-BN80,"")</f>
        <v/>
      </c>
      <c r="BO52" s="182">
        <f>IFERROR(BO65-BO80,"")</f>
        <v/>
      </c>
      <c r="BP52" s="182">
        <f>IFERROR(BP65-BP80,"")</f>
        <v/>
      </c>
      <c r="BQ52" s="182">
        <f>IFERROR(BQ65-BQ80,"")</f>
        <v/>
      </c>
      <c r="BR52" s="182">
        <f>IFERROR(BR65-BR80,"")</f>
        <v/>
      </c>
      <c r="BS52" s="182">
        <f>IFERROR(BS65-BS80,"")</f>
        <v/>
      </c>
      <c r="BT52" s="182">
        <f>IFERROR(BT65-BT80,"")</f>
        <v/>
      </c>
      <c r="BU52" s="182">
        <f>IFERROR(BU65-BU80,"")</f>
        <v/>
      </c>
      <c r="BV52" s="182">
        <f>IFERROR(BV65-BV80,"")</f>
        <v/>
      </c>
      <c r="BW52" s="182">
        <f>IFERROR(BW65-BW80,"")</f>
        <v/>
      </c>
      <c r="BX52" s="182">
        <f>IFERROR(BX65-BX80,"")</f>
        <v/>
      </c>
      <c r="BY52" s="182">
        <f>IFERROR(BY65-BY80,"")</f>
        <v/>
      </c>
      <c r="BZ52" s="182">
        <f>IFERROR(BZ65-BZ80,"")</f>
        <v/>
      </c>
      <c r="CA52" s="182">
        <f>IFERROR(CA65-CA80,"")</f>
        <v/>
      </c>
      <c r="CB52" s="182">
        <f>IFERROR(CB65-CB80,"")</f>
        <v/>
      </c>
      <c r="CC52" s="182">
        <f>IFERROR(CC65-CC80,"")</f>
        <v/>
      </c>
      <c r="CD52" s="182">
        <f>IFERROR(CD65-CD80,"")</f>
        <v/>
      </c>
      <c r="CE52" s="182">
        <f>IFERROR(CE65-CE80,"")</f>
        <v/>
      </c>
      <c r="CF52" s="182">
        <f>IFERROR(CF65-CF80,"")</f>
        <v/>
      </c>
      <c r="CG52" s="182">
        <f>IFERROR(CG65-CG80,"")</f>
        <v/>
      </c>
      <c r="CH52" s="182" t="n"/>
    </row>
    <row r="53">
      <c r="A53" s="174" t="inlineStr">
        <is>
          <t>玉山</t>
        </is>
      </c>
      <c r="B53" s="182">
        <f>IFERROR(B66-B81,"")</f>
        <v/>
      </c>
      <c r="C53" s="182">
        <f>IFERROR(C66-C81,"")</f>
        <v/>
      </c>
      <c r="D53" s="182">
        <f>IFERROR(D66-D81,"")</f>
        <v/>
      </c>
      <c r="E53" s="182">
        <f>IFERROR(E66-E81,"")</f>
        <v/>
      </c>
      <c r="F53" s="182">
        <f>IFERROR(F66-F81,"")</f>
        <v/>
      </c>
      <c r="G53" s="182">
        <f>IFERROR(G66-G81,"")</f>
        <v/>
      </c>
      <c r="H53" s="182">
        <f>IFERROR(H66-H81,"")</f>
        <v/>
      </c>
      <c r="I53" s="182">
        <f>IFERROR(I66-I81,"")</f>
        <v/>
      </c>
      <c r="J53" s="182">
        <f>IFERROR(J66-J81,"")</f>
        <v/>
      </c>
      <c r="K53" s="182">
        <f>IFERROR(K66-K81,"")</f>
        <v/>
      </c>
      <c r="L53" s="182">
        <f>IFERROR(L66-L81,"")</f>
        <v/>
      </c>
      <c r="M53" s="182">
        <f>IFERROR(M66-M81,"")</f>
        <v/>
      </c>
      <c r="N53" s="182">
        <f>IFERROR(N66-N81,"")</f>
        <v/>
      </c>
      <c r="O53" s="182">
        <f>IFERROR(O66-O81,"")</f>
        <v/>
      </c>
      <c r="P53" s="182">
        <f>IFERROR(P66-P81,"")</f>
        <v/>
      </c>
      <c r="Q53" s="182">
        <f>IFERROR(Q66-Q81,"")</f>
        <v/>
      </c>
      <c r="R53" s="182">
        <f>IFERROR(R66-R81,"")</f>
        <v/>
      </c>
      <c r="S53" s="182">
        <f>IFERROR(S66-S81,"")</f>
        <v/>
      </c>
      <c r="T53" s="182">
        <f>IFERROR(T66-T81,"")</f>
        <v/>
      </c>
      <c r="U53" s="182">
        <f>IFERROR(U66-U81,"")</f>
        <v/>
      </c>
      <c r="V53" s="182">
        <f>IFERROR(V66-V81,"")</f>
        <v/>
      </c>
      <c r="W53" s="182">
        <f>IFERROR(W66-W81,"")</f>
        <v/>
      </c>
      <c r="X53" s="182">
        <f>IFERROR(X66-X81,"")</f>
        <v/>
      </c>
      <c r="Y53" s="182">
        <f>IFERROR(Y66-Y81,"")</f>
        <v/>
      </c>
      <c r="Z53" s="182">
        <f>IFERROR(Z66-Z81,"")</f>
        <v/>
      </c>
      <c r="AA53" s="182">
        <f>IFERROR(AA66-AA81,"")</f>
        <v/>
      </c>
      <c r="AB53" s="182">
        <f>IFERROR(AB66-AB81,"")</f>
        <v/>
      </c>
      <c r="AC53" s="182">
        <f>IFERROR(AC66-AC81,"")</f>
        <v/>
      </c>
      <c r="AD53" s="182">
        <f>IFERROR(AD66-AD81,"")</f>
        <v/>
      </c>
      <c r="AE53" s="182">
        <f>IFERROR(AE66-AE81,"")</f>
        <v/>
      </c>
      <c r="AF53" s="182">
        <f>IFERROR(AF66-AF81,"")</f>
        <v/>
      </c>
      <c r="AG53" s="182">
        <f>IFERROR(AG66-AG81,"")</f>
        <v/>
      </c>
      <c r="AH53" s="182">
        <f>IFERROR(AH66-AH81,"")</f>
        <v/>
      </c>
      <c r="AI53" s="182">
        <f>IFERROR(AI66-AI81,"")</f>
        <v/>
      </c>
      <c r="AJ53" s="182">
        <f>IFERROR(AJ66-AJ81,"")</f>
        <v/>
      </c>
      <c r="AK53" s="182">
        <f>IFERROR(AK66-AK81,"")</f>
        <v/>
      </c>
      <c r="AL53" s="182">
        <f>IFERROR(AL66-AL81,"")</f>
        <v/>
      </c>
      <c r="AM53" s="182">
        <f>IFERROR(AM66-AM81,"")</f>
        <v/>
      </c>
      <c r="AN53" s="182">
        <f>IFERROR(AN66-AN81,"")</f>
        <v/>
      </c>
      <c r="AO53" s="182">
        <f>IFERROR(AO66-AO81,"")</f>
        <v/>
      </c>
      <c r="AP53" s="182">
        <f>IFERROR(AP66-AP81,"")</f>
        <v/>
      </c>
      <c r="AQ53" s="182">
        <f>IFERROR(AQ66-AQ81,"")</f>
        <v/>
      </c>
      <c r="AR53" s="182">
        <f>IFERROR(AR66-AR81,"")</f>
        <v/>
      </c>
      <c r="AS53" s="182">
        <f>IFERROR(AS66-AS81,"")</f>
        <v/>
      </c>
      <c r="AT53" s="182">
        <f>IFERROR(AT66-AT81,"")</f>
        <v/>
      </c>
      <c r="AU53" s="182">
        <f>IFERROR(AU66-AU81,"")</f>
        <v/>
      </c>
      <c r="AV53" s="182">
        <f>IFERROR(AV66-AV81,"")</f>
        <v/>
      </c>
      <c r="AW53" s="182">
        <f>IFERROR(AW66-AW81,"")</f>
        <v/>
      </c>
      <c r="AX53" s="182">
        <f>IFERROR(AX66-AX81,"")</f>
        <v/>
      </c>
      <c r="AY53" s="182">
        <f>IFERROR(AY66-AY81,"")</f>
        <v/>
      </c>
      <c r="AZ53" s="182">
        <f>IFERROR(AZ66-AZ81,"")</f>
        <v/>
      </c>
      <c r="BA53" s="182">
        <f>IFERROR(BA66-BA81,"")</f>
        <v/>
      </c>
      <c r="BB53" s="182">
        <f>IFERROR(BB66-BB81,"")</f>
        <v/>
      </c>
      <c r="BC53" s="182">
        <f>IFERROR(BC66-BC81,"")</f>
        <v/>
      </c>
      <c r="BD53" s="182">
        <f>IFERROR(BD66-BD81,"")</f>
        <v/>
      </c>
      <c r="BE53" s="182">
        <f>IFERROR(BE66-BE81,"")</f>
        <v/>
      </c>
      <c r="BF53" s="182">
        <f>IFERROR(BF66-BF81,"")</f>
        <v/>
      </c>
      <c r="BG53" s="182">
        <f>IFERROR(BG66-BG81,"")</f>
        <v/>
      </c>
      <c r="BH53" s="182">
        <f>IFERROR(BH66-BH81,"")</f>
        <v/>
      </c>
      <c r="BI53" s="182">
        <f>IFERROR(BI66-BI81,"")</f>
        <v/>
      </c>
      <c r="BJ53" s="182">
        <f>IFERROR(BJ66-BJ81,"")</f>
        <v/>
      </c>
      <c r="BK53" s="182">
        <f>IFERROR(BK66-BK81,"")</f>
        <v/>
      </c>
      <c r="BL53" s="182">
        <f>IFERROR(BL66-BL81,"")</f>
        <v/>
      </c>
      <c r="BM53" s="182">
        <f>IFERROR(BM66-BM81,"")</f>
        <v/>
      </c>
      <c r="BN53" s="182">
        <f>IFERROR(BN66-BN81,"")</f>
        <v/>
      </c>
      <c r="BO53" s="182">
        <f>IFERROR(BO66-BO81,"")</f>
        <v/>
      </c>
      <c r="BP53" s="182">
        <f>IFERROR(BP66-BP81,"")</f>
        <v/>
      </c>
      <c r="BQ53" s="182">
        <f>IFERROR(BQ66-BQ81,"")</f>
        <v/>
      </c>
      <c r="BR53" s="182">
        <f>IFERROR(BR66-BR81,"")</f>
        <v/>
      </c>
      <c r="BS53" s="182">
        <f>IFERROR(BS66-BS81,"")</f>
        <v/>
      </c>
      <c r="BT53" s="182">
        <f>IFERROR(BT66-BT81,"")</f>
        <v/>
      </c>
      <c r="BU53" s="182">
        <f>IFERROR(BU66-BU81,"")</f>
        <v/>
      </c>
      <c r="BV53" s="182">
        <f>IFERROR(BV66-BV81,"")</f>
        <v/>
      </c>
      <c r="BW53" s="182">
        <f>IFERROR(BW66-BW81,"")</f>
        <v/>
      </c>
      <c r="BX53" s="182">
        <f>IFERROR(BX66-BX81,"")</f>
        <v/>
      </c>
      <c r="BY53" s="182">
        <f>IFERROR(BY66-BY81,"")</f>
        <v/>
      </c>
      <c r="BZ53" s="182">
        <f>IFERROR(BZ66-BZ81,"")</f>
        <v/>
      </c>
      <c r="CA53" s="182">
        <f>IFERROR(CA66-CA81,"")</f>
        <v/>
      </c>
      <c r="CB53" s="182">
        <f>IFERROR(CB66-CB81,"")</f>
        <v/>
      </c>
      <c r="CC53" s="182">
        <f>IFERROR(CC66-CC81,"")</f>
        <v/>
      </c>
      <c r="CD53" s="182">
        <f>IFERROR(CD66-CD81,"")</f>
        <v/>
      </c>
      <c r="CE53" s="182">
        <f>IFERROR(CE66-CE81,"")</f>
        <v/>
      </c>
      <c r="CF53" s="182">
        <f>IFERROR(CF66-CF81,"")</f>
        <v/>
      </c>
      <c r="CG53" s="182">
        <f>IFERROR(CG66-CG81,"")</f>
        <v/>
      </c>
      <c r="CH53" s="182" t="n"/>
    </row>
    <row r="54">
      <c r="A54" s="174" t="inlineStr">
        <is>
          <t>台新</t>
        </is>
      </c>
      <c r="B54" s="182">
        <f>IFERROR(B67-B82,"")</f>
        <v/>
      </c>
      <c r="C54" s="182">
        <f>IFERROR(C67-C82,"")</f>
        <v/>
      </c>
      <c r="D54" s="182">
        <f>IFERROR(D67-D82,"")</f>
        <v/>
      </c>
      <c r="E54" s="182">
        <f>IFERROR(E67-E82,"")</f>
        <v/>
      </c>
      <c r="F54" s="182">
        <f>IFERROR(F67-F82,"")</f>
        <v/>
      </c>
      <c r="G54" s="182">
        <f>IFERROR(G67-G82,"")</f>
        <v/>
      </c>
      <c r="H54" s="182">
        <f>IFERROR(H67-H82,"")</f>
        <v/>
      </c>
      <c r="I54" s="182">
        <f>IFERROR(I67-I82,"")</f>
        <v/>
      </c>
      <c r="J54" s="182">
        <f>IFERROR(J67-J82,"")</f>
        <v/>
      </c>
      <c r="K54" s="182">
        <f>IFERROR(K67-K82,"")</f>
        <v/>
      </c>
      <c r="L54" s="182">
        <f>IFERROR(L67-L82,"")</f>
        <v/>
      </c>
      <c r="M54" s="182">
        <f>IFERROR(M67-M82,"")</f>
        <v/>
      </c>
      <c r="N54" s="182">
        <f>IFERROR(N67-N82,"")</f>
        <v/>
      </c>
      <c r="O54" s="182">
        <f>IFERROR(O67-O82,"")</f>
        <v/>
      </c>
      <c r="P54" s="182">
        <f>IFERROR(P67-P82,"")</f>
        <v/>
      </c>
      <c r="Q54" s="182">
        <f>IFERROR(Q67-Q82,"")</f>
        <v/>
      </c>
      <c r="R54" s="182">
        <f>IFERROR(R67-R82,"")</f>
        <v/>
      </c>
      <c r="S54" s="182">
        <f>IFERROR(S67-S82,"")</f>
        <v/>
      </c>
      <c r="T54" s="182">
        <f>IFERROR(T67-T82,"")</f>
        <v/>
      </c>
      <c r="U54" s="182">
        <f>IFERROR(U67-U82,"")</f>
        <v/>
      </c>
      <c r="V54" s="182">
        <f>IFERROR(V67-V82,"")</f>
        <v/>
      </c>
      <c r="W54" s="182">
        <f>IFERROR(W67-W82,"")</f>
        <v/>
      </c>
      <c r="X54" s="182">
        <f>IFERROR(X67-X82,"")</f>
        <v/>
      </c>
      <c r="Y54" s="182">
        <f>IFERROR(Y67-Y82,"")</f>
        <v/>
      </c>
      <c r="Z54" s="182">
        <f>IFERROR(Z67-Z82,"")</f>
        <v/>
      </c>
      <c r="AA54" s="182">
        <f>IFERROR(AA67-AA82,"")</f>
        <v/>
      </c>
      <c r="AB54" s="182">
        <f>IFERROR(AB67-AB82,"")</f>
        <v/>
      </c>
      <c r="AC54" s="182">
        <f>IFERROR(AC67-AC82,"")</f>
        <v/>
      </c>
      <c r="AD54" s="182">
        <f>IFERROR(AD67-AD82,"")</f>
        <v/>
      </c>
      <c r="AE54" s="182">
        <f>IFERROR(AE67-AE82,"")</f>
        <v/>
      </c>
      <c r="AF54" s="182">
        <f>IFERROR(AF67-AF82,"")</f>
        <v/>
      </c>
      <c r="AG54" s="182">
        <f>IFERROR(AG67-AG82,"")</f>
        <v/>
      </c>
      <c r="AH54" s="182">
        <f>IFERROR(AH67-AH82,"")</f>
        <v/>
      </c>
      <c r="AI54" s="182">
        <f>IFERROR(AI67-AI82,"")</f>
        <v/>
      </c>
      <c r="AJ54" s="182">
        <f>IFERROR(AJ67-AJ82,"")</f>
        <v/>
      </c>
      <c r="AK54" s="182">
        <f>IFERROR(AK67-AK82,"")</f>
        <v/>
      </c>
      <c r="AL54" s="182">
        <f>IFERROR(AL67-AL82,"")</f>
        <v/>
      </c>
      <c r="AM54" s="182">
        <f>IFERROR(AM67-AM82,"")</f>
        <v/>
      </c>
      <c r="AN54" s="182">
        <f>IFERROR(AN67-AN82,"")</f>
        <v/>
      </c>
      <c r="AO54" s="182">
        <f>IFERROR(AO67-AO82,"")</f>
        <v/>
      </c>
      <c r="AP54" s="182">
        <f>IFERROR(AP67-AP82,"")</f>
        <v/>
      </c>
      <c r="AQ54" s="182">
        <f>IFERROR(AQ67-AQ82,"")</f>
        <v/>
      </c>
      <c r="AR54" s="182">
        <f>IFERROR(AR67-AR82,"")</f>
        <v/>
      </c>
      <c r="AS54" s="182">
        <f>IFERROR(AS67-AS82,"")</f>
        <v/>
      </c>
      <c r="AT54" s="182">
        <f>IFERROR(AT67-AT82,"")</f>
        <v/>
      </c>
      <c r="AU54" s="182">
        <f>IFERROR(AU67-AU82,"")</f>
        <v/>
      </c>
      <c r="AV54" s="182">
        <f>IFERROR(AV67-AV82,"")</f>
        <v/>
      </c>
      <c r="AW54" s="182">
        <f>IFERROR(AW67-AW82,"")</f>
        <v/>
      </c>
      <c r="AX54" s="182">
        <f>IFERROR(AX67-AX82,"")</f>
        <v/>
      </c>
      <c r="AY54" s="182">
        <f>IFERROR(AY67-AY82,"")</f>
        <v/>
      </c>
      <c r="AZ54" s="182">
        <f>IFERROR(AZ67-AZ82,"")</f>
        <v/>
      </c>
      <c r="BA54" s="182">
        <f>IFERROR(BA67-BA82,"")</f>
        <v/>
      </c>
      <c r="BB54" s="182">
        <f>IFERROR(BB67-BB82,"")</f>
        <v/>
      </c>
      <c r="BC54" s="182">
        <f>IFERROR(BC67-BC82,"")</f>
        <v/>
      </c>
      <c r="BD54" s="182">
        <f>IFERROR(BD67-BD82,"")</f>
        <v/>
      </c>
      <c r="BE54" s="182">
        <f>IFERROR(BE67-BE82,"")</f>
        <v/>
      </c>
      <c r="BF54" s="182">
        <f>IFERROR(BF67-BF82,"")</f>
        <v/>
      </c>
      <c r="BG54" s="182">
        <f>IFERROR(BG67-BG82,"")</f>
        <v/>
      </c>
      <c r="BH54" s="182">
        <f>IFERROR(BH67-BH82,"")</f>
        <v/>
      </c>
      <c r="BI54" s="182">
        <f>IFERROR(BI67-BI82,"")</f>
        <v/>
      </c>
      <c r="BJ54" s="182">
        <f>IFERROR(BJ67-BJ82,"")</f>
        <v/>
      </c>
      <c r="BK54" s="182">
        <f>IFERROR(BK67-BK82,"")</f>
        <v/>
      </c>
      <c r="BL54" s="182">
        <f>IFERROR(BL67-BL82,"")</f>
        <v/>
      </c>
      <c r="BM54" s="182">
        <f>IFERROR(BM67-BM82,"")</f>
        <v/>
      </c>
      <c r="BN54" s="182">
        <f>IFERROR(BN67-BN82,"")</f>
        <v/>
      </c>
      <c r="BO54" s="182">
        <f>IFERROR(BO67-BO82,"")</f>
        <v/>
      </c>
      <c r="BP54" s="182">
        <f>IFERROR(BP67-BP82,"")</f>
        <v/>
      </c>
      <c r="BQ54" s="182">
        <f>IFERROR(BQ67-BQ82,"")</f>
        <v/>
      </c>
      <c r="BR54" s="182">
        <f>IFERROR(BR67-BR82,"")</f>
        <v/>
      </c>
      <c r="BS54" s="182">
        <f>IFERROR(BS67-BS82,"")</f>
        <v/>
      </c>
      <c r="BT54" s="182">
        <f>IFERROR(BT67-BT82,"")</f>
        <v/>
      </c>
      <c r="BU54" s="182">
        <f>IFERROR(BU67-BU82,"")</f>
        <v/>
      </c>
      <c r="BV54" s="182">
        <f>IFERROR(BV67-BV82,"")</f>
        <v/>
      </c>
      <c r="BW54" s="182">
        <f>IFERROR(BW67-BW82,"")</f>
        <v/>
      </c>
      <c r="BX54" s="182">
        <f>IFERROR(BX67-BX82,"")</f>
        <v/>
      </c>
      <c r="BY54" s="182">
        <f>IFERROR(BY67-BY82,"")</f>
        <v/>
      </c>
      <c r="BZ54" s="182">
        <f>IFERROR(BZ67-BZ82,"")</f>
        <v/>
      </c>
      <c r="CA54" s="182">
        <f>IFERROR(CA67-CA82,"")</f>
        <v/>
      </c>
      <c r="CB54" s="182">
        <f>IFERROR(CB67-CB82,"")</f>
        <v/>
      </c>
      <c r="CC54" s="182">
        <f>IFERROR(CC67-CC82,"")</f>
        <v/>
      </c>
      <c r="CD54" s="182">
        <f>IFERROR(CD67-CD82,"")</f>
        <v/>
      </c>
      <c r="CE54" s="182">
        <f>IFERROR(CE67-CE82,"")</f>
        <v/>
      </c>
      <c r="CF54" s="182">
        <f>IFERROR(CF67-CF82,"")</f>
        <v/>
      </c>
      <c r="CG54" s="182">
        <f>IFERROR(CG67-CG82,"")</f>
        <v/>
      </c>
      <c r="CH54" s="182" t="n"/>
    </row>
    <row r="55">
      <c r="A55" s="174" t="inlineStr">
        <is>
          <t>星展</t>
        </is>
      </c>
      <c r="B55" s="182">
        <f>IFERROR(B68-B83,"")</f>
        <v/>
      </c>
      <c r="C55" s="182">
        <f>IFERROR(C68-C83,"")</f>
        <v/>
      </c>
      <c r="D55" s="182">
        <f>IFERROR(D68-D83,"")</f>
        <v/>
      </c>
      <c r="E55" s="182">
        <f>IFERROR(E68-E83,"")</f>
        <v/>
      </c>
      <c r="F55" s="182">
        <f>IFERROR(F68-F83,"")</f>
        <v/>
      </c>
      <c r="G55" s="182">
        <f>IFERROR(G68-G83,"")</f>
        <v/>
      </c>
      <c r="H55" s="182">
        <f>IFERROR(H68-H83,"")</f>
        <v/>
      </c>
      <c r="I55" s="182">
        <f>IFERROR(I68-I83,"")</f>
        <v/>
      </c>
      <c r="J55" s="182">
        <f>IFERROR(J68-J83,"")</f>
        <v/>
      </c>
      <c r="K55" s="182">
        <f>IFERROR(K68-K83,"")</f>
        <v/>
      </c>
      <c r="L55" s="182">
        <f>IFERROR(L68-L83,"")</f>
        <v/>
      </c>
      <c r="M55" s="182">
        <f>IFERROR(M68-M83,"")</f>
        <v/>
      </c>
      <c r="N55" s="182">
        <f>IFERROR(N68-N83,"")</f>
        <v/>
      </c>
      <c r="O55" s="182">
        <f>IFERROR(O68-O83,"")</f>
        <v/>
      </c>
      <c r="P55" s="182">
        <f>IFERROR(P68-P83,"")</f>
        <v/>
      </c>
      <c r="Q55" s="182">
        <f>IFERROR(Q68-Q83,"")</f>
        <v/>
      </c>
      <c r="R55" s="182">
        <f>IFERROR(R68-R83,"")</f>
        <v/>
      </c>
      <c r="S55" s="182">
        <f>IFERROR(S68-S83,"")</f>
        <v/>
      </c>
      <c r="T55" s="182">
        <f>IFERROR(T68-T83,"")</f>
        <v/>
      </c>
      <c r="U55" s="182">
        <f>IFERROR(U68-U83,"")</f>
        <v/>
      </c>
      <c r="V55" s="182">
        <f>IFERROR(V68-V83,"")</f>
        <v/>
      </c>
      <c r="W55" s="182">
        <f>IFERROR(W68-W83,"")</f>
        <v/>
      </c>
      <c r="X55" s="182">
        <f>IFERROR(X68-X83,"")</f>
        <v/>
      </c>
      <c r="Y55" s="182">
        <f>IFERROR(Y68-Y83,"")</f>
        <v/>
      </c>
      <c r="Z55" s="182">
        <f>IFERROR(Z68-Z83,"")</f>
        <v/>
      </c>
      <c r="AA55" s="182">
        <f>IFERROR(AA68-AA83,"")</f>
        <v/>
      </c>
      <c r="AB55" s="182">
        <f>IFERROR(AB68-AB83,"")</f>
        <v/>
      </c>
      <c r="AC55" s="182">
        <f>IFERROR(AC68-AC83,"")</f>
        <v/>
      </c>
      <c r="AD55" s="182">
        <f>IFERROR(AD68-AD83,"")</f>
        <v/>
      </c>
      <c r="AE55" s="182">
        <f>IFERROR(AE68-AE83,"")</f>
        <v/>
      </c>
      <c r="AF55" s="182">
        <f>IFERROR(AF68-AF83,"")</f>
        <v/>
      </c>
      <c r="AG55" s="182">
        <f>IFERROR(AG68-AG83,"")</f>
        <v/>
      </c>
      <c r="AH55" s="182">
        <f>IFERROR(AH68-AH83,"")</f>
        <v/>
      </c>
      <c r="AI55" s="182">
        <f>IFERROR(AI68-AI83,"")</f>
        <v/>
      </c>
      <c r="AJ55" s="182">
        <f>IFERROR(AJ68-AJ83,"")</f>
        <v/>
      </c>
      <c r="AK55" s="182">
        <f>IFERROR(AK68-AK83,"")</f>
        <v/>
      </c>
      <c r="AL55" s="182">
        <f>IFERROR(AL68-AL83,"")</f>
        <v/>
      </c>
      <c r="AM55" s="182">
        <f>IFERROR(AM68-AM83,"")</f>
        <v/>
      </c>
      <c r="AN55" s="182">
        <f>IFERROR(AN68-AN83,"")</f>
        <v/>
      </c>
      <c r="AO55" s="182">
        <f>IFERROR(AO68-AO83,"")</f>
        <v/>
      </c>
      <c r="AP55" s="182">
        <f>IFERROR(AP68-AP83,"")</f>
        <v/>
      </c>
      <c r="AQ55" s="182">
        <f>IFERROR(AQ68-AQ83,"")</f>
        <v/>
      </c>
      <c r="AR55" s="182">
        <f>IFERROR(AR68-AR83,"")</f>
        <v/>
      </c>
      <c r="AS55" s="182">
        <f>IFERROR(AS68-AS83,"")</f>
        <v/>
      </c>
      <c r="AT55" s="182">
        <f>IFERROR(AT68-AT83,"")</f>
        <v/>
      </c>
      <c r="AU55" s="182">
        <f>IFERROR(AU68-AU83,"")</f>
        <v/>
      </c>
      <c r="AV55" s="182">
        <f>IFERROR(AV68-AV83,"")</f>
        <v/>
      </c>
      <c r="AW55" s="182">
        <f>IFERROR(AW68-AW83,"")</f>
        <v/>
      </c>
      <c r="AX55" s="182">
        <f>IFERROR(AX68-AX83,"")</f>
        <v/>
      </c>
      <c r="AY55" s="182">
        <f>IFERROR(AY68-AY83,"")</f>
        <v/>
      </c>
      <c r="AZ55" s="182">
        <f>IFERROR(AZ68-AZ83,"")</f>
        <v/>
      </c>
      <c r="BA55" s="182">
        <f>IFERROR(BA68-BA83,"")</f>
        <v/>
      </c>
      <c r="BB55" s="182">
        <f>IFERROR(BB68-BB83,"")</f>
        <v/>
      </c>
      <c r="BC55" s="182">
        <f>IFERROR(BC68-BC83,"")</f>
        <v/>
      </c>
      <c r="BD55" s="182">
        <f>IFERROR(BD68-BD83,"")</f>
        <v/>
      </c>
      <c r="BE55" s="182">
        <f>IFERROR(BE68-BE83,"")</f>
        <v/>
      </c>
      <c r="BF55" s="182">
        <f>IFERROR(BF68-BF83,"")</f>
        <v/>
      </c>
      <c r="BG55" s="182">
        <f>IFERROR(BG68-BG83,"")</f>
        <v/>
      </c>
      <c r="BH55" s="182">
        <f>IFERROR(BH68-BH83,"")</f>
        <v/>
      </c>
      <c r="BI55" s="182">
        <f>IFERROR(BI68-BI83,"")</f>
        <v/>
      </c>
      <c r="BJ55" s="182">
        <f>IFERROR(BJ68-BJ83,"")</f>
        <v/>
      </c>
      <c r="BK55" s="182">
        <f>IFERROR(BK68-BK83,"")</f>
        <v/>
      </c>
      <c r="BL55" s="182">
        <f>IFERROR(BL68-BL83,"")</f>
        <v/>
      </c>
      <c r="BM55" s="182">
        <f>IFERROR(BM68-BM83,"")</f>
        <v/>
      </c>
      <c r="BN55" s="182">
        <f>IFERROR(BN68-BN83,"")</f>
        <v/>
      </c>
      <c r="BO55" s="182">
        <f>IFERROR(BO68-BO83,"")</f>
        <v/>
      </c>
      <c r="BP55" s="182">
        <f>IFERROR(BP68-BP83,"")</f>
        <v/>
      </c>
      <c r="BQ55" s="182">
        <f>IFERROR(BQ68-BQ83,"")</f>
        <v/>
      </c>
      <c r="BR55" s="182">
        <f>IFERROR(BR68-BR83,"")</f>
        <v/>
      </c>
      <c r="BS55" s="182">
        <f>IFERROR(BS68-BS83,"")</f>
        <v/>
      </c>
      <c r="BT55" s="182">
        <f>IFERROR(BT68-BT83,"")</f>
        <v/>
      </c>
      <c r="BU55" s="182">
        <f>IFERROR(BU68-BU83,"")</f>
        <v/>
      </c>
      <c r="BV55" s="182">
        <f>IFERROR(BV68-BV83,"")</f>
        <v/>
      </c>
      <c r="BW55" s="182">
        <f>IFERROR(BW68-BW83,"")</f>
        <v/>
      </c>
      <c r="BX55" s="182">
        <f>IFERROR(BX68-BX83,"")</f>
        <v/>
      </c>
      <c r="BY55" s="182">
        <f>IFERROR(BY68-BY83,"")</f>
        <v/>
      </c>
      <c r="BZ55" s="182">
        <f>IFERROR(BZ68-BZ83,"")</f>
        <v/>
      </c>
      <c r="CA55" s="182">
        <f>IFERROR(CA68-CA83,"")</f>
        <v/>
      </c>
      <c r="CB55" s="182">
        <f>IFERROR(CB68-CB83,"")</f>
        <v/>
      </c>
      <c r="CC55" s="182">
        <f>IFERROR(CC68-CC83,"")</f>
        <v/>
      </c>
      <c r="CD55" s="182">
        <f>IFERROR(CD68-CD83,"")</f>
        <v/>
      </c>
      <c r="CE55" s="182">
        <f>IFERROR(CE68-CE83,"")</f>
        <v/>
      </c>
      <c r="CF55" s="182">
        <f>IFERROR(CF68-CF83,"")</f>
        <v/>
      </c>
      <c r="CG55" s="182">
        <f>IFERROR(CG68-CG83,"")</f>
        <v/>
      </c>
      <c r="CH55" s="182" t="n"/>
    </row>
    <row r="56">
      <c r="A56" s="174" t="inlineStr">
        <is>
          <t>聯邦</t>
        </is>
      </c>
      <c r="B56" s="182">
        <f>IFERROR(B69-B84,"")</f>
        <v/>
      </c>
      <c r="C56" s="182">
        <f>IFERROR(C69-C84,"")</f>
        <v/>
      </c>
      <c r="D56" s="182">
        <f>IFERROR(D69-D84,"")</f>
        <v/>
      </c>
      <c r="E56" s="182">
        <f>IFERROR(E69-E84,"")</f>
        <v/>
      </c>
      <c r="F56" s="182">
        <f>IFERROR(F69-F84,"")</f>
        <v/>
      </c>
      <c r="G56" s="182">
        <f>IFERROR(G69-G84,"")</f>
        <v/>
      </c>
      <c r="H56" s="182">
        <f>IFERROR(H69-H84,"")</f>
        <v/>
      </c>
      <c r="I56" s="182">
        <f>IFERROR(I69-I84,"")</f>
        <v/>
      </c>
      <c r="J56" s="182">
        <f>IFERROR(J69-J84,"")</f>
        <v/>
      </c>
      <c r="K56" s="182">
        <f>IFERROR(K69-K84,"")</f>
        <v/>
      </c>
      <c r="L56" s="182">
        <f>IFERROR(L69-L84,"")</f>
        <v/>
      </c>
      <c r="M56" s="182">
        <f>IFERROR(M69-M84,"")</f>
        <v/>
      </c>
      <c r="N56" s="182">
        <f>IFERROR(N69-N84,"")</f>
        <v/>
      </c>
      <c r="O56" s="182">
        <f>IFERROR(O69-O84,"")</f>
        <v/>
      </c>
      <c r="P56" s="182">
        <f>IFERROR(P69-P84,"")</f>
        <v/>
      </c>
      <c r="Q56" s="182">
        <f>IFERROR(Q69-Q84,"")</f>
        <v/>
      </c>
      <c r="R56" s="182">
        <f>IFERROR(R69-R84,"")</f>
        <v/>
      </c>
      <c r="S56" s="182">
        <f>IFERROR(S69-S84,"")</f>
        <v/>
      </c>
      <c r="T56" s="182">
        <f>IFERROR(T69-T84,"")</f>
        <v/>
      </c>
      <c r="U56" s="182">
        <f>IFERROR(U69-U84,"")</f>
        <v/>
      </c>
      <c r="V56" s="182">
        <f>IFERROR(V69-V84,"")</f>
        <v/>
      </c>
      <c r="W56" s="182">
        <f>IFERROR(W69-W84,"")</f>
        <v/>
      </c>
      <c r="X56" s="182">
        <f>IFERROR(X69-X84,"")</f>
        <v/>
      </c>
      <c r="Y56" s="182">
        <f>IFERROR(Y69-Y84,"")</f>
        <v/>
      </c>
      <c r="Z56" s="182">
        <f>IFERROR(Z69-Z84,"")</f>
        <v/>
      </c>
      <c r="AA56" s="182">
        <f>IFERROR(AA69-AA84,"")</f>
        <v/>
      </c>
      <c r="AB56" s="182">
        <f>IFERROR(AB69-AB84,"")</f>
        <v/>
      </c>
      <c r="AC56" s="182">
        <f>IFERROR(AC69-AC84,"")</f>
        <v/>
      </c>
      <c r="AD56" s="182">
        <f>IFERROR(AD69-AD84,"")</f>
        <v/>
      </c>
      <c r="AE56" s="182">
        <f>IFERROR(AE69-AE84,"")</f>
        <v/>
      </c>
      <c r="AF56" s="182">
        <f>IFERROR(AF69-AF84,"")</f>
        <v/>
      </c>
      <c r="AG56" s="182">
        <f>IFERROR(AG69-AG84,"")</f>
        <v/>
      </c>
      <c r="AH56" s="182">
        <f>IFERROR(AH69-AH84,"")</f>
        <v/>
      </c>
      <c r="AI56" s="182">
        <f>IFERROR(AI69-AI84,"")</f>
        <v/>
      </c>
      <c r="AJ56" s="182">
        <f>IFERROR(AJ69-AJ84,"")</f>
        <v/>
      </c>
      <c r="AK56" s="182">
        <f>IFERROR(AK69-AK84,"")</f>
        <v/>
      </c>
      <c r="AL56" s="182">
        <f>IFERROR(AL69-AL84,"")</f>
        <v/>
      </c>
      <c r="AM56" s="182">
        <f>IFERROR(AM69-AM84,"")</f>
        <v/>
      </c>
      <c r="AN56" s="182">
        <f>IFERROR(AN69-AN84,"")</f>
        <v/>
      </c>
      <c r="AO56" s="182">
        <f>IFERROR(AO69-AO84,"")</f>
        <v/>
      </c>
      <c r="AP56" s="182">
        <f>IFERROR(AP69-AP84,"")</f>
        <v/>
      </c>
      <c r="AQ56" s="182">
        <f>IFERROR(AQ69-AQ84,"")</f>
        <v/>
      </c>
      <c r="AR56" s="182">
        <f>IFERROR(AR69-AR84,"")</f>
        <v/>
      </c>
      <c r="AS56" s="182">
        <f>IFERROR(AS69-AS84,"")</f>
        <v/>
      </c>
      <c r="AT56" s="182">
        <f>IFERROR(AT69-AT84,"")</f>
        <v/>
      </c>
      <c r="AU56" s="182">
        <f>IFERROR(AU69-AU84,"")</f>
        <v/>
      </c>
      <c r="AV56" s="182">
        <f>IFERROR(AV69-AV84,"")</f>
        <v/>
      </c>
      <c r="AW56" s="182">
        <f>IFERROR(AW69-AW84,"")</f>
        <v/>
      </c>
      <c r="AX56" s="182">
        <f>IFERROR(AX69-AX84,"")</f>
        <v/>
      </c>
      <c r="AY56" s="182">
        <f>IFERROR(AY69-AY84,"")</f>
        <v/>
      </c>
      <c r="AZ56" s="182">
        <f>IFERROR(AZ69-AZ84,"")</f>
        <v/>
      </c>
      <c r="BA56" s="182">
        <f>IFERROR(BA69-BA84,"")</f>
        <v/>
      </c>
      <c r="BB56" s="182">
        <f>IFERROR(BB69-BB84,"")</f>
        <v/>
      </c>
      <c r="BC56" s="182">
        <f>IFERROR(BC69-BC84,"")</f>
        <v/>
      </c>
      <c r="BD56" s="182">
        <f>IFERROR(BD69-BD84,"")</f>
        <v/>
      </c>
      <c r="BE56" s="182">
        <f>IFERROR(BE69-BE84,"")</f>
        <v/>
      </c>
      <c r="BF56" s="182">
        <f>IFERROR(BF69-BF84,"")</f>
        <v/>
      </c>
      <c r="BG56" s="182">
        <f>IFERROR(BG69-BG84,"")</f>
        <v/>
      </c>
      <c r="BH56" s="182">
        <f>IFERROR(BH69-BH84,"")</f>
        <v/>
      </c>
      <c r="BI56" s="182">
        <f>IFERROR(BI69-BI84,"")</f>
        <v/>
      </c>
      <c r="BJ56" s="182">
        <f>IFERROR(BJ69-BJ84,"")</f>
        <v/>
      </c>
      <c r="BK56" s="182">
        <f>IFERROR(BK69-BK84,"")</f>
        <v/>
      </c>
      <c r="BL56" s="182">
        <f>IFERROR(BL69-BL84,"")</f>
        <v/>
      </c>
      <c r="BM56" s="182">
        <f>IFERROR(BM69-BM84,"")</f>
        <v/>
      </c>
      <c r="BN56" s="182">
        <f>IFERROR(BN69-BN84,"")</f>
        <v/>
      </c>
      <c r="BO56" s="182">
        <f>IFERROR(BO69-BO84,"")</f>
        <v/>
      </c>
      <c r="BP56" s="182">
        <f>IFERROR(BP69-BP84,"")</f>
        <v/>
      </c>
      <c r="BQ56" s="182">
        <f>IFERROR(BQ69-BQ84,"")</f>
        <v/>
      </c>
      <c r="BR56" s="182">
        <f>IFERROR(BR69-BR84,"")</f>
        <v/>
      </c>
      <c r="BS56" s="182">
        <f>IFERROR(BS69-BS84,"")</f>
        <v/>
      </c>
      <c r="BT56" s="182">
        <f>IFERROR(BT69-BT84,"")</f>
        <v/>
      </c>
      <c r="BU56" s="182">
        <f>IFERROR(BU69-BU84,"")</f>
        <v/>
      </c>
      <c r="BV56" s="182">
        <f>IFERROR(BV69-BV84,"")</f>
        <v/>
      </c>
      <c r="BW56" s="182">
        <f>IFERROR(BW69-BW84,"")</f>
        <v/>
      </c>
      <c r="BX56" s="182">
        <f>IFERROR(BX69-BX84,"")</f>
        <v/>
      </c>
      <c r="BY56" s="182">
        <f>IFERROR(BY69-BY84,"")</f>
        <v/>
      </c>
      <c r="BZ56" s="182">
        <f>IFERROR(BZ69-BZ84,"")</f>
        <v/>
      </c>
      <c r="CA56" s="182">
        <f>IFERROR(CA69-CA84,"")</f>
        <v/>
      </c>
      <c r="CB56" s="182">
        <f>IFERROR(CB69-CB84,"")</f>
        <v/>
      </c>
      <c r="CC56" s="182">
        <f>IFERROR(CC69-CC84,"")</f>
        <v/>
      </c>
      <c r="CD56" s="182">
        <f>IFERROR(CD69-CD84,"")</f>
        <v/>
      </c>
      <c r="CE56" s="182">
        <f>IFERROR(CE69-CE84,"")</f>
        <v/>
      </c>
      <c r="CF56" s="182">
        <f>IFERROR(CF69-CF84,"")</f>
        <v/>
      </c>
      <c r="CG56" s="182">
        <f>IFERROR(CG69-CG84,"")</f>
        <v/>
      </c>
      <c r="CH56" s="182" t="n"/>
    </row>
    <row r="57">
      <c r="A57" s="174" t="inlineStr">
        <is>
          <t>永豐</t>
        </is>
      </c>
      <c r="B57" s="182">
        <f>IFERROR(B70-B85,"")</f>
        <v/>
      </c>
      <c r="C57" s="182">
        <f>IFERROR(C70-C85,"")</f>
        <v/>
      </c>
      <c r="D57" s="182">
        <f>IFERROR(D70-D85,"")</f>
        <v/>
      </c>
      <c r="E57" s="182">
        <f>IFERROR(E70-E85,"")</f>
        <v/>
      </c>
      <c r="F57" s="182">
        <f>IFERROR(F70-F85,"")</f>
        <v/>
      </c>
      <c r="G57" s="182">
        <f>IFERROR(G70-G85,"")</f>
        <v/>
      </c>
      <c r="H57" s="182">
        <f>IFERROR(H70-H85,"")</f>
        <v/>
      </c>
      <c r="I57" s="182">
        <f>IFERROR(I70-I85,"")</f>
        <v/>
      </c>
      <c r="J57" s="182">
        <f>IFERROR(J70-J85,"")</f>
        <v/>
      </c>
      <c r="K57" s="182">
        <f>IFERROR(K70-K85,"")</f>
        <v/>
      </c>
      <c r="L57" s="182">
        <f>IFERROR(L70-L85,"")</f>
        <v/>
      </c>
      <c r="M57" s="182">
        <f>IFERROR(M70-M85,"")</f>
        <v/>
      </c>
      <c r="N57" s="182">
        <f>IFERROR(N70-N85,"")</f>
        <v/>
      </c>
      <c r="O57" s="182">
        <f>IFERROR(O70-O85,"")</f>
        <v/>
      </c>
      <c r="P57" s="182">
        <f>IFERROR(P70-P85,"")</f>
        <v/>
      </c>
      <c r="Q57" s="182">
        <f>IFERROR(Q70-Q85,"")</f>
        <v/>
      </c>
      <c r="R57" s="182">
        <f>IFERROR(R70-R85,"")</f>
        <v/>
      </c>
      <c r="S57" s="182">
        <f>IFERROR(S70-S85,"")</f>
        <v/>
      </c>
      <c r="T57" s="182">
        <f>IFERROR(T70-T85,"")</f>
        <v/>
      </c>
      <c r="U57" s="182">
        <f>IFERROR(U70-U85,"")</f>
        <v/>
      </c>
      <c r="V57" s="182">
        <f>IFERROR(V70-V85,"")</f>
        <v/>
      </c>
      <c r="W57" s="182">
        <f>IFERROR(W70-W85,"")</f>
        <v/>
      </c>
      <c r="X57" s="182">
        <f>IFERROR(X70-X85,"")</f>
        <v/>
      </c>
      <c r="Y57" s="182">
        <f>IFERROR(Y70-Y85,"")</f>
        <v/>
      </c>
      <c r="Z57" s="182">
        <f>IFERROR(Z70-Z85,"")</f>
        <v/>
      </c>
      <c r="AA57" s="182">
        <f>IFERROR(AA70-AA85,"")</f>
        <v/>
      </c>
      <c r="AB57" s="182">
        <f>IFERROR(AB70-AB85,"")</f>
        <v/>
      </c>
      <c r="AC57" s="182">
        <f>IFERROR(AC70-AC85,"")</f>
        <v/>
      </c>
      <c r="AD57" s="182">
        <f>IFERROR(AD70-AD85,"")</f>
        <v/>
      </c>
      <c r="AE57" s="182">
        <f>IFERROR(AE70-AE85,"")</f>
        <v/>
      </c>
      <c r="AF57" s="182">
        <f>IFERROR(AF70-AF85,"")</f>
        <v/>
      </c>
      <c r="AG57" s="182">
        <f>IFERROR(AG70-AG85,"")</f>
        <v/>
      </c>
      <c r="AH57" s="182">
        <f>IFERROR(AH70-AH85,"")</f>
        <v/>
      </c>
      <c r="AI57" s="182">
        <f>IFERROR(AI70-AI85,"")</f>
        <v/>
      </c>
      <c r="AJ57" s="182">
        <f>IFERROR(AJ70-AJ85,"")</f>
        <v/>
      </c>
      <c r="AK57" s="182">
        <f>IFERROR(AK70-AK85,"")</f>
        <v/>
      </c>
      <c r="AL57" s="182">
        <f>IFERROR(AL70-AL85,"")</f>
        <v/>
      </c>
      <c r="AM57" s="182">
        <f>IFERROR(AM70-AM85,"")</f>
        <v/>
      </c>
      <c r="AN57" s="182">
        <f>IFERROR(AN70-AN85,"")</f>
        <v/>
      </c>
      <c r="AO57" s="182">
        <f>IFERROR(AO70-AO85,"")</f>
        <v/>
      </c>
      <c r="AP57" s="182">
        <f>IFERROR(AP70-AP85,"")</f>
        <v/>
      </c>
      <c r="AQ57" s="182">
        <f>IFERROR(AQ70-AQ85,"")</f>
        <v/>
      </c>
      <c r="AR57" s="182">
        <f>IFERROR(AR70-AR85,"")</f>
        <v/>
      </c>
      <c r="AS57" s="182">
        <f>IFERROR(AS70-AS85,"")</f>
        <v/>
      </c>
      <c r="AT57" s="182">
        <f>IFERROR(AT70-AT85,"")</f>
        <v/>
      </c>
      <c r="AU57" s="182">
        <f>IFERROR(AU70-AU85,"")</f>
        <v/>
      </c>
      <c r="AV57" s="182">
        <f>IFERROR(AV70-AV85,"")</f>
        <v/>
      </c>
      <c r="AW57" s="182">
        <f>IFERROR(AW70-AW85,"")</f>
        <v/>
      </c>
      <c r="AX57" s="182">
        <f>IFERROR(AX70-AX85,"")</f>
        <v/>
      </c>
      <c r="AY57" s="182">
        <f>IFERROR(AY70-AY85,"")</f>
        <v/>
      </c>
      <c r="AZ57" s="182">
        <f>IFERROR(AZ70-AZ85,"")</f>
        <v/>
      </c>
      <c r="BA57" s="182">
        <f>IFERROR(BA70-BA85,"")</f>
        <v/>
      </c>
      <c r="BB57" s="182">
        <f>IFERROR(BB70-BB85,"")</f>
        <v/>
      </c>
      <c r="BC57" s="182">
        <f>IFERROR(BC70-BC85,"")</f>
        <v/>
      </c>
      <c r="BD57" s="182">
        <f>IFERROR(BD70-BD85,"")</f>
        <v/>
      </c>
      <c r="BE57" s="182">
        <f>IFERROR(BE70-BE85,"")</f>
        <v/>
      </c>
      <c r="BF57" s="182">
        <f>IFERROR(BF70-BF85,"")</f>
        <v/>
      </c>
      <c r="BG57" s="182">
        <f>IFERROR(BG70-BG85,"")</f>
        <v/>
      </c>
      <c r="BH57" s="182">
        <f>IFERROR(BH70-BH85,"")</f>
        <v/>
      </c>
      <c r="BI57" s="182">
        <f>IFERROR(BI70-BI85,"")</f>
        <v/>
      </c>
      <c r="BJ57" s="182">
        <f>IFERROR(BJ70-BJ85,"")</f>
        <v/>
      </c>
      <c r="BK57" s="182">
        <f>IFERROR(BK70-BK85,"")</f>
        <v/>
      </c>
      <c r="BL57" s="182">
        <f>IFERROR(BL70-BL85,"")</f>
        <v/>
      </c>
      <c r="BM57" s="182">
        <f>IFERROR(BM70-BM85,"")</f>
        <v/>
      </c>
      <c r="BN57" s="182">
        <f>IFERROR(BN70-BN85,"")</f>
        <v/>
      </c>
      <c r="BO57" s="182">
        <f>IFERROR(BO70-BO85,"")</f>
        <v/>
      </c>
      <c r="BP57" s="182">
        <f>IFERROR(BP70-BP85,"")</f>
        <v/>
      </c>
      <c r="BQ57" s="182">
        <f>IFERROR(BQ70-BQ85,"")</f>
        <v/>
      </c>
      <c r="BR57" s="182">
        <f>IFERROR(BR70-BR85,"")</f>
        <v/>
      </c>
      <c r="BS57" s="182">
        <f>IFERROR(BS70-BS85,"")</f>
        <v/>
      </c>
      <c r="BT57" s="182">
        <f>IFERROR(BT70-BT85,"")</f>
        <v/>
      </c>
      <c r="BU57" s="182">
        <f>IFERROR(BU70-BU85,"")</f>
        <v/>
      </c>
      <c r="BV57" s="182">
        <f>IFERROR(BV70-BV85,"")</f>
        <v/>
      </c>
      <c r="BW57" s="182">
        <f>IFERROR(BW70-BW85,"")</f>
        <v/>
      </c>
      <c r="BX57" s="182">
        <f>IFERROR(BX70-BX85,"")</f>
        <v/>
      </c>
      <c r="BY57" s="182">
        <f>IFERROR(BY70-BY85,"")</f>
        <v/>
      </c>
      <c r="BZ57" s="182">
        <f>IFERROR(BZ70-BZ85,"")</f>
        <v/>
      </c>
      <c r="CA57" s="182">
        <f>IFERROR(CA70-CA85,"")</f>
        <v/>
      </c>
      <c r="CB57" s="182">
        <f>IFERROR(CB70-CB85,"")</f>
        <v/>
      </c>
      <c r="CC57" s="182">
        <f>IFERROR(CC70-CC85,"")</f>
        <v/>
      </c>
      <c r="CD57" s="182">
        <f>IFERROR(CD70-CD85,"")</f>
        <v/>
      </c>
      <c r="CE57" s="182">
        <f>IFERROR(CE70-CE85,"")</f>
        <v/>
      </c>
      <c r="CF57" s="182">
        <f>IFERROR(CF70-CF85,"")</f>
        <v/>
      </c>
      <c r="CG57" s="182">
        <f>IFERROR(CG70-CG85,"")</f>
        <v/>
      </c>
      <c r="CH57" s="182" t="n"/>
    </row>
    <row r="58">
      <c r="A58" s="174" t="inlineStr">
        <is>
          <t>第一</t>
        </is>
      </c>
      <c r="B58" s="182">
        <f>IFERROR(B71-B86,"")</f>
        <v/>
      </c>
      <c r="C58" s="182">
        <f>IFERROR(C71-C86,"")</f>
        <v/>
      </c>
      <c r="D58" s="182">
        <f>IFERROR(D71-D86,"")</f>
        <v/>
      </c>
      <c r="E58" s="182">
        <f>IFERROR(E71-E86,"")</f>
        <v/>
      </c>
      <c r="F58" s="182">
        <f>IFERROR(F71-F86,"")</f>
        <v/>
      </c>
      <c r="G58" s="182">
        <f>IFERROR(G71-G86,"")</f>
        <v/>
      </c>
      <c r="H58" s="182">
        <f>IFERROR(H71-H86,"")</f>
        <v/>
      </c>
      <c r="I58" s="182">
        <f>IFERROR(I71-I86,"")</f>
        <v/>
      </c>
      <c r="J58" s="182">
        <f>IFERROR(J71-J86,"")</f>
        <v/>
      </c>
      <c r="K58" s="182">
        <f>IFERROR(K71-K86,"")</f>
        <v/>
      </c>
      <c r="L58" s="182">
        <f>IFERROR(L71-L86,"")</f>
        <v/>
      </c>
      <c r="M58" s="182">
        <f>IFERROR(M71-M86,"")</f>
        <v/>
      </c>
      <c r="N58" s="182">
        <f>IFERROR(N71-N86,"")</f>
        <v/>
      </c>
      <c r="O58" s="182">
        <f>IFERROR(O71-O86,"")</f>
        <v/>
      </c>
      <c r="P58" s="182">
        <f>IFERROR(P71-P86,"")</f>
        <v/>
      </c>
      <c r="Q58" s="182">
        <f>IFERROR(Q71-Q86,"")</f>
        <v/>
      </c>
      <c r="R58" s="182">
        <f>IFERROR(R71-R86,"")</f>
        <v/>
      </c>
      <c r="S58" s="182">
        <f>IFERROR(S71-S86,"")</f>
        <v/>
      </c>
      <c r="T58" s="182">
        <f>IFERROR(T71-T86,"")</f>
        <v/>
      </c>
      <c r="U58" s="182">
        <f>IFERROR(U71-U86,"")</f>
        <v/>
      </c>
      <c r="V58" s="182">
        <f>IFERROR(V71-V86,"")</f>
        <v/>
      </c>
      <c r="W58" s="182">
        <f>IFERROR(W71-W86,"")</f>
        <v/>
      </c>
      <c r="X58" s="182">
        <f>IFERROR(X71-X86,"")</f>
        <v/>
      </c>
      <c r="Y58" s="182">
        <f>IFERROR(Y71-Y86,"")</f>
        <v/>
      </c>
      <c r="Z58" s="182">
        <f>IFERROR(Z71-Z86,"")</f>
        <v/>
      </c>
      <c r="AA58" s="182">
        <f>IFERROR(AA71-AA86,"")</f>
        <v/>
      </c>
      <c r="AB58" s="182">
        <f>IFERROR(AB71-AB86,"")</f>
        <v/>
      </c>
      <c r="AC58" s="182">
        <f>IFERROR(AC71-AC86,"")</f>
        <v/>
      </c>
      <c r="AD58" s="182">
        <f>IFERROR(AD71-AD86,"")</f>
        <v/>
      </c>
      <c r="AE58" s="182">
        <f>IFERROR(AE71-AE86,"")</f>
        <v/>
      </c>
      <c r="AF58" s="182">
        <f>IFERROR(AF71-AF86,"")</f>
        <v/>
      </c>
      <c r="AG58" s="182">
        <f>IFERROR(AG71-AG86,"")</f>
        <v/>
      </c>
      <c r="AH58" s="182">
        <f>IFERROR(AH71-AH86,"")</f>
        <v/>
      </c>
      <c r="AI58" s="182">
        <f>IFERROR(AI71-AI86,"")</f>
        <v/>
      </c>
      <c r="AJ58" s="182">
        <f>IFERROR(AJ71-AJ86,"")</f>
        <v/>
      </c>
      <c r="AK58" s="182">
        <f>IFERROR(AK71-AK86,"")</f>
        <v/>
      </c>
      <c r="AL58" s="182">
        <f>IFERROR(AL71-AL86,"")</f>
        <v/>
      </c>
      <c r="AM58" s="182">
        <f>IFERROR(AM71-AM86,"")</f>
        <v/>
      </c>
      <c r="AN58" s="182">
        <f>IFERROR(AN71-AN86,"")</f>
        <v/>
      </c>
      <c r="AO58" s="182">
        <f>IFERROR(AO71-AO86,"")</f>
        <v/>
      </c>
      <c r="AP58" s="182">
        <f>IFERROR(AP71-AP86,"")</f>
        <v/>
      </c>
      <c r="AQ58" s="182">
        <f>IFERROR(AQ71-AQ86,"")</f>
        <v/>
      </c>
      <c r="AR58" s="182">
        <f>IFERROR(AR71-AR86,"")</f>
        <v/>
      </c>
      <c r="AS58" s="182">
        <f>IFERROR(AS71-AS86,"")</f>
        <v/>
      </c>
      <c r="AT58" s="182">
        <f>IFERROR(AT71-AT86,"")</f>
        <v/>
      </c>
      <c r="AU58" s="182">
        <f>IFERROR(AU71-AU86,"")</f>
        <v/>
      </c>
      <c r="AV58" s="182">
        <f>IFERROR(AV71-AV86,"")</f>
        <v/>
      </c>
      <c r="AW58" s="182">
        <f>IFERROR(AW71-AW86,"")</f>
        <v/>
      </c>
      <c r="AX58" s="182">
        <f>IFERROR(AX71-AX86,"")</f>
        <v/>
      </c>
      <c r="AY58" s="182">
        <f>IFERROR(AY71-AY86,"")</f>
        <v/>
      </c>
      <c r="AZ58" s="182">
        <f>IFERROR(AZ71-AZ86,"")</f>
        <v/>
      </c>
      <c r="BA58" s="182">
        <f>IFERROR(BA71-BA86,"")</f>
        <v/>
      </c>
      <c r="BB58" s="182">
        <f>IFERROR(BB71-BB86,"")</f>
        <v/>
      </c>
      <c r="BC58" s="182">
        <f>IFERROR(BC71-BC86,"")</f>
        <v/>
      </c>
      <c r="BD58" s="182">
        <f>IFERROR(BD71-BD86,"")</f>
        <v/>
      </c>
      <c r="BE58" s="182">
        <f>IFERROR(BE71-BE86,"")</f>
        <v/>
      </c>
      <c r="BF58" s="182">
        <f>IFERROR(BF71-BF86,"")</f>
        <v/>
      </c>
      <c r="BG58" s="182">
        <f>IFERROR(BG71-BG86,"")</f>
        <v/>
      </c>
      <c r="BH58" s="182">
        <f>IFERROR(BH71-BH86,"")</f>
        <v/>
      </c>
      <c r="BI58" s="182">
        <f>IFERROR(BI71-BI86,"")</f>
        <v/>
      </c>
      <c r="BJ58" s="182">
        <f>IFERROR(BJ71-BJ86,"")</f>
        <v/>
      </c>
      <c r="BK58" s="182">
        <f>IFERROR(BK71-BK86,"")</f>
        <v/>
      </c>
      <c r="BL58" s="182">
        <f>IFERROR(BL71-BL86,"")</f>
        <v/>
      </c>
      <c r="BM58" s="182">
        <f>IFERROR(BM71-BM86,"")</f>
        <v/>
      </c>
      <c r="BN58" s="182">
        <f>IFERROR(BN71-BN86,"")</f>
        <v/>
      </c>
      <c r="BO58" s="182">
        <f>IFERROR(BO71-BO86,"")</f>
        <v/>
      </c>
      <c r="BP58" s="182">
        <f>IFERROR(BP71-BP86,"")</f>
        <v/>
      </c>
      <c r="BQ58" s="182">
        <f>IFERROR(BQ71-BQ86,"")</f>
        <v/>
      </c>
      <c r="BR58" s="182">
        <f>IFERROR(BR71-BR86,"")</f>
        <v/>
      </c>
      <c r="BS58" s="182">
        <f>IFERROR(BS71-BS86,"")</f>
        <v/>
      </c>
      <c r="BT58" s="182">
        <f>IFERROR(BT71-BT86,"")</f>
        <v/>
      </c>
      <c r="BU58" s="182">
        <f>IFERROR(BU71-BU86,"")</f>
        <v/>
      </c>
      <c r="BV58" s="182">
        <f>IFERROR(BV71-BV86,"")</f>
        <v/>
      </c>
      <c r="BW58" s="182">
        <f>IFERROR(BW71-BW86,"")</f>
        <v/>
      </c>
      <c r="BX58" s="182">
        <f>IFERROR(BX71-BX86,"")</f>
        <v/>
      </c>
      <c r="BY58" s="182">
        <f>IFERROR(BY71-BY86,"")</f>
        <v/>
      </c>
      <c r="BZ58" s="182">
        <f>IFERROR(BZ71-BZ86,"")</f>
        <v/>
      </c>
      <c r="CA58" s="182">
        <f>IFERROR(CA71-CA86,"")</f>
        <v/>
      </c>
      <c r="CB58" s="182">
        <f>IFERROR(CB71-CB86,"")</f>
        <v/>
      </c>
      <c r="CC58" s="182">
        <f>IFERROR(CC71-CC86,"")</f>
        <v/>
      </c>
      <c r="CD58" s="182">
        <f>IFERROR(CD71-CD86,"")</f>
        <v/>
      </c>
      <c r="CE58" s="182">
        <f>IFERROR(CE71-CE86,"")</f>
        <v/>
      </c>
      <c r="CF58" s="182">
        <f>IFERROR(CF71-CF86,"")</f>
        <v/>
      </c>
      <c r="CG58" s="182">
        <f>IFERROR(CG71-CG86,"")</f>
        <v/>
      </c>
      <c r="CH58" s="182" t="n"/>
    </row>
    <row r="59">
      <c r="A59" s="174" t="inlineStr">
        <is>
          <t>遠東</t>
        </is>
      </c>
      <c r="B59" s="182">
        <f>IFERROR(B72-B87,"")</f>
        <v/>
      </c>
      <c r="C59" s="182">
        <f>IFERROR(C72-C87,"")</f>
        <v/>
      </c>
      <c r="D59" s="182">
        <f>IFERROR(D72-D87,"")</f>
        <v/>
      </c>
      <c r="E59" s="182">
        <f>IFERROR(E72-E87,"")</f>
        <v/>
      </c>
      <c r="F59" s="182">
        <f>IFERROR(F72-F87,"")</f>
        <v/>
      </c>
      <c r="G59" s="182">
        <f>IFERROR(G72-G87,"")</f>
        <v/>
      </c>
      <c r="H59" s="182">
        <f>IFERROR(H72-H87,"")</f>
        <v/>
      </c>
      <c r="I59" s="182">
        <f>IFERROR(I72-I87,"")</f>
        <v/>
      </c>
      <c r="J59" s="182">
        <f>IFERROR(J72-J87,"")</f>
        <v/>
      </c>
      <c r="K59" s="182">
        <f>IFERROR(K72-K87,"")</f>
        <v/>
      </c>
      <c r="L59" s="182">
        <f>IFERROR(L72-L87,"")</f>
        <v/>
      </c>
      <c r="M59" s="182">
        <f>IFERROR(M72-M87,"")</f>
        <v/>
      </c>
      <c r="N59" s="182">
        <f>IFERROR(N72-N87,"")</f>
        <v/>
      </c>
      <c r="O59" s="182">
        <f>IFERROR(O72-O87,"")</f>
        <v/>
      </c>
      <c r="P59" s="182">
        <f>IFERROR(P72-P87,"")</f>
        <v/>
      </c>
      <c r="Q59" s="182">
        <f>IFERROR(Q72-Q87,"")</f>
        <v/>
      </c>
      <c r="R59" s="182">
        <f>IFERROR(R72-R87,"")</f>
        <v/>
      </c>
      <c r="S59" s="182">
        <f>IFERROR(S72-S87,"")</f>
        <v/>
      </c>
      <c r="T59" s="182">
        <f>IFERROR(T72-T87,"")</f>
        <v/>
      </c>
      <c r="U59" s="182">
        <f>IFERROR(U72-U87,"")</f>
        <v/>
      </c>
      <c r="V59" s="182">
        <f>IFERROR(V72-V87,"")</f>
        <v/>
      </c>
      <c r="W59" s="182">
        <f>IFERROR(W72-W87,"")</f>
        <v/>
      </c>
      <c r="X59" s="182">
        <f>IFERROR(X72-X87,"")</f>
        <v/>
      </c>
      <c r="Y59" s="182">
        <f>IFERROR(Y72-Y87,"")</f>
        <v/>
      </c>
      <c r="Z59" s="182">
        <f>IFERROR(Z72-Z87,"")</f>
        <v/>
      </c>
      <c r="AA59" s="182">
        <f>IFERROR(AA72-AA87,"")</f>
        <v/>
      </c>
      <c r="AB59" s="182">
        <f>IFERROR(AB72-AB87,"")</f>
        <v/>
      </c>
      <c r="AC59" s="182">
        <f>IFERROR(AC72-AC87,"")</f>
        <v/>
      </c>
      <c r="AD59" s="182">
        <f>IFERROR(AD72-AD87,"")</f>
        <v/>
      </c>
      <c r="AE59" s="182">
        <f>IFERROR(AE72-AE87,"")</f>
        <v/>
      </c>
      <c r="AF59" s="182">
        <f>IFERROR(AF72-AF87,"")</f>
        <v/>
      </c>
      <c r="AG59" s="182">
        <f>IFERROR(AG72-AG87,"")</f>
        <v/>
      </c>
      <c r="AH59" s="182">
        <f>IFERROR(AH72-AH87,"")</f>
        <v/>
      </c>
      <c r="AI59" s="182">
        <f>IFERROR(AI72-AI87,"")</f>
        <v/>
      </c>
      <c r="AJ59" s="182">
        <f>IFERROR(AJ72-AJ87,"")</f>
        <v/>
      </c>
      <c r="AK59" s="182">
        <f>IFERROR(AK72-AK87,"")</f>
        <v/>
      </c>
      <c r="AL59" s="182">
        <f>IFERROR(AL72-AL87,"")</f>
        <v/>
      </c>
      <c r="AM59" s="182">
        <f>IFERROR(AM72-AM87,"")</f>
        <v/>
      </c>
      <c r="AN59" s="182">
        <f>IFERROR(AN72-AN87,"")</f>
        <v/>
      </c>
      <c r="AO59" s="182">
        <f>IFERROR(AO72-AO87,"")</f>
        <v/>
      </c>
      <c r="AP59" s="182">
        <f>IFERROR(AP72-AP87,"")</f>
        <v/>
      </c>
      <c r="AQ59" s="182">
        <f>IFERROR(AQ72-AQ87,"")</f>
        <v/>
      </c>
      <c r="AR59" s="182">
        <f>IFERROR(AR72-AR87,"")</f>
        <v/>
      </c>
      <c r="AS59" s="182">
        <f>IFERROR(AS72-AS87,"")</f>
        <v/>
      </c>
      <c r="AT59" s="182">
        <f>IFERROR(AT72-AT87,"")</f>
        <v/>
      </c>
      <c r="AU59" s="182">
        <f>IFERROR(AU72-AU87,"")</f>
        <v/>
      </c>
      <c r="AV59" s="182">
        <f>IFERROR(AV72-AV87,"")</f>
        <v/>
      </c>
      <c r="AW59" s="182">
        <f>IFERROR(AW72-AW87,"")</f>
        <v/>
      </c>
      <c r="AX59" s="182">
        <f>IFERROR(AX72-AX87,"")</f>
        <v/>
      </c>
      <c r="AY59" s="182">
        <f>IFERROR(AY72-AY87,"")</f>
        <v/>
      </c>
      <c r="AZ59" s="182">
        <f>IFERROR(AZ72-AZ87,"")</f>
        <v/>
      </c>
      <c r="BA59" s="182">
        <f>IFERROR(BA72-BA87,"")</f>
        <v/>
      </c>
      <c r="BB59" s="182">
        <f>IFERROR(BB72-BB87,"")</f>
        <v/>
      </c>
      <c r="BC59" s="182">
        <f>IFERROR(BC72-BC87,"")</f>
        <v/>
      </c>
      <c r="BD59" s="182">
        <f>IFERROR(BD72-BD87,"")</f>
        <v/>
      </c>
      <c r="BE59" s="182">
        <f>IFERROR(BE72-BE87,"")</f>
        <v/>
      </c>
      <c r="BF59" s="182">
        <f>IFERROR(BF72-BF87,"")</f>
        <v/>
      </c>
      <c r="BG59" s="182">
        <f>IFERROR(BG72-BG87,"")</f>
        <v/>
      </c>
      <c r="BH59" s="182">
        <f>IFERROR(BH72-BH87,"")</f>
        <v/>
      </c>
      <c r="BI59" s="182">
        <f>IFERROR(BI72-BI87,"")</f>
        <v/>
      </c>
      <c r="BJ59" s="182">
        <f>IFERROR(BJ72-BJ87,"")</f>
        <v/>
      </c>
      <c r="BK59" s="182">
        <f>IFERROR(BK72-BK87,"")</f>
        <v/>
      </c>
      <c r="BL59" s="182">
        <f>IFERROR(BL72-BL87,"")</f>
        <v/>
      </c>
      <c r="BM59" s="182">
        <f>IFERROR(BM72-BM87,"")</f>
        <v/>
      </c>
      <c r="BN59" s="182">
        <f>IFERROR(BN72-BN87,"")</f>
        <v/>
      </c>
      <c r="BO59" s="182">
        <f>IFERROR(BO72-BO87,"")</f>
        <v/>
      </c>
      <c r="BP59" s="182">
        <f>IFERROR(BP72-BP87,"")</f>
        <v/>
      </c>
      <c r="BQ59" s="182">
        <f>IFERROR(BQ72-BQ87,"")</f>
        <v/>
      </c>
      <c r="BR59" s="182">
        <f>IFERROR(BR72-BR87,"")</f>
        <v/>
      </c>
      <c r="BS59" s="182">
        <f>IFERROR(BS72-BS87,"")</f>
        <v/>
      </c>
      <c r="BT59" s="182">
        <f>IFERROR(BT72-BT87,"")</f>
        <v/>
      </c>
      <c r="BU59" s="182">
        <f>IFERROR(BU72-BU87,"")</f>
        <v/>
      </c>
      <c r="BV59" s="182">
        <f>IFERROR(BV72-BV87,"")</f>
        <v/>
      </c>
      <c r="BW59" s="182">
        <f>IFERROR(BW72-BW87,"")</f>
        <v/>
      </c>
      <c r="BX59" s="182">
        <f>IFERROR(BX72-BX87,"")</f>
        <v/>
      </c>
      <c r="BY59" s="182">
        <f>IFERROR(BY72-BY87,"")</f>
        <v/>
      </c>
      <c r="BZ59" s="182">
        <f>IFERROR(BZ72-BZ87,"")</f>
        <v/>
      </c>
      <c r="CA59" s="182">
        <f>IFERROR(CA72-CA87,"")</f>
        <v/>
      </c>
      <c r="CB59" s="182">
        <f>IFERROR(CB72-CB87,"")</f>
        <v/>
      </c>
      <c r="CC59" s="182">
        <f>IFERROR(CC72-CC87,"")</f>
        <v/>
      </c>
      <c r="CD59" s="182">
        <f>IFERROR(CD72-CD87,"")</f>
        <v/>
      </c>
      <c r="CE59" s="182">
        <f>IFERROR(CE72-CE87,"")</f>
        <v/>
      </c>
      <c r="CF59" s="182">
        <f>IFERROR(CF72-CF87,"")</f>
        <v/>
      </c>
      <c r="CG59" s="182">
        <f>IFERROR(CG72-CG87,"")</f>
        <v/>
      </c>
      <c r="CH59" s="182" t="n"/>
    </row>
    <row r="60">
      <c r="A60" s="170" t="inlineStr">
        <is>
          <t>市場總計</t>
        </is>
      </c>
      <c r="B60" s="183">
        <f>IFERROR(B73-B88,"")</f>
        <v/>
      </c>
      <c r="C60" s="183">
        <f>IFERROR(C73-C88,"")</f>
        <v/>
      </c>
      <c r="D60" s="183">
        <f>IFERROR(D73-D88,"")</f>
        <v/>
      </c>
      <c r="E60" s="183">
        <f>IFERROR(E73-E88,"")</f>
        <v/>
      </c>
      <c r="F60" s="183">
        <f>IFERROR(F73-F88,"")</f>
        <v/>
      </c>
      <c r="G60" s="183">
        <f>IFERROR(G73-G88,"")</f>
        <v/>
      </c>
      <c r="H60" s="183">
        <f>IFERROR(H73-H88,"")</f>
        <v/>
      </c>
      <c r="I60" s="183">
        <f>IFERROR(I73-I88,"")</f>
        <v/>
      </c>
      <c r="J60" s="183">
        <f>IFERROR(J73-J88,"")</f>
        <v/>
      </c>
      <c r="K60" s="183">
        <f>IFERROR(K73-K88,"")</f>
        <v/>
      </c>
      <c r="L60" s="183">
        <f>IFERROR(L73-L88,"")</f>
        <v/>
      </c>
      <c r="M60" s="183">
        <f>IFERROR(M73-M88,"")</f>
        <v/>
      </c>
      <c r="N60" s="183">
        <f>IFERROR(N73-N88,"")</f>
        <v/>
      </c>
      <c r="O60" s="183">
        <f>IFERROR(O73-O88,"")</f>
        <v/>
      </c>
      <c r="P60" s="183">
        <f>IFERROR(P73-P88,"")</f>
        <v/>
      </c>
      <c r="Q60" s="183">
        <f>IFERROR(Q73-Q88,"")</f>
        <v/>
      </c>
      <c r="R60" s="183">
        <f>IFERROR(R73-R88,"")</f>
        <v/>
      </c>
      <c r="S60" s="183">
        <f>IFERROR(S73-S88,"")</f>
        <v/>
      </c>
      <c r="T60" s="183">
        <f>IFERROR(T73-T88,"")</f>
        <v/>
      </c>
      <c r="U60" s="183">
        <f>IFERROR(U73-U88,"")</f>
        <v/>
      </c>
      <c r="V60" s="183">
        <f>IFERROR(V73-V88,"")</f>
        <v/>
      </c>
      <c r="W60" s="183">
        <f>IFERROR(W73-W88,"")</f>
        <v/>
      </c>
      <c r="X60" s="183">
        <f>IFERROR(X73-X88,"")</f>
        <v/>
      </c>
      <c r="Y60" s="183">
        <f>IFERROR(Y73-Y88,"")</f>
        <v/>
      </c>
      <c r="Z60" s="184">
        <f>IFERROR(Z73-Z88,"")</f>
        <v/>
      </c>
      <c r="AA60" s="184">
        <f>IFERROR(AA73-AA88,"")</f>
        <v/>
      </c>
      <c r="AB60" s="184">
        <f>IFERROR(AB73-AB88,"")</f>
        <v/>
      </c>
      <c r="AC60" s="184">
        <f>IFERROR(AC73-AC88,"")</f>
        <v/>
      </c>
      <c r="AD60" s="184">
        <f>IFERROR(AD73-AD88,"")</f>
        <v/>
      </c>
      <c r="AE60" s="184">
        <f>IFERROR(AE73-AE88,"")</f>
        <v/>
      </c>
      <c r="AF60" s="184">
        <f>IFERROR(AF73-AF88,"")</f>
        <v/>
      </c>
      <c r="AG60" s="184">
        <f>IFERROR(AG73-AG88,"")</f>
        <v/>
      </c>
      <c r="AH60" s="184">
        <f>IFERROR(AH73-AH88,"")</f>
        <v/>
      </c>
      <c r="AI60" s="184">
        <f>IFERROR(AI73-AI88,"")</f>
        <v/>
      </c>
      <c r="AJ60" s="184">
        <f>IFERROR(AJ73-AJ88,"")</f>
        <v/>
      </c>
      <c r="AK60" s="184">
        <f>IFERROR(AK73-AK88,"")</f>
        <v/>
      </c>
      <c r="AL60" s="184">
        <f>IFERROR(AL73-AL88,"")</f>
        <v/>
      </c>
      <c r="AM60" s="184">
        <f>IFERROR(AM73-AM88,"")</f>
        <v/>
      </c>
      <c r="AN60" s="184">
        <f>IFERROR(AN73-AN88,"")</f>
        <v/>
      </c>
      <c r="AO60" s="184">
        <f>IFERROR(AO73-AO88,"")</f>
        <v/>
      </c>
      <c r="AP60" s="184">
        <f>IFERROR(AP73-AP88,"")</f>
        <v/>
      </c>
      <c r="AQ60" s="184">
        <f>IFERROR(AQ73-AQ88,"")</f>
        <v/>
      </c>
      <c r="AR60" s="184">
        <f>IFERROR(AR73-AR88,"")</f>
        <v/>
      </c>
      <c r="AS60" s="184">
        <f>IFERROR(AS73-AS88,"")</f>
        <v/>
      </c>
      <c r="AT60" s="184">
        <f>IFERROR(AT73-AT88,"")</f>
        <v/>
      </c>
      <c r="AU60" s="184">
        <f>IFERROR(AU73-AU88,"")</f>
        <v/>
      </c>
      <c r="AV60" s="184">
        <f>IFERROR(AV73-AV88,"")</f>
        <v/>
      </c>
      <c r="AW60" s="184">
        <f>IFERROR(AW73-AW88,"")</f>
        <v/>
      </c>
      <c r="AX60" s="184">
        <f>IFERROR(AX73-AX88,"")</f>
        <v/>
      </c>
      <c r="AY60" s="184">
        <f>IFERROR(AY73-AY88,"")</f>
        <v/>
      </c>
      <c r="AZ60" s="184">
        <f>IFERROR(AZ73-AZ88,"")</f>
        <v/>
      </c>
      <c r="BA60" s="184">
        <f>IFERROR(BA73-BA88,"")</f>
        <v/>
      </c>
      <c r="BB60" s="184">
        <f>IFERROR(BB73-BB88,"")</f>
        <v/>
      </c>
      <c r="BC60" s="184">
        <f>IFERROR(BC73-BC88,"")</f>
        <v/>
      </c>
      <c r="BD60" s="184">
        <f>IFERROR(BD73-BD88,"")</f>
        <v/>
      </c>
      <c r="BE60" s="184">
        <f>IFERROR(BE73-BE88,"")</f>
        <v/>
      </c>
      <c r="BF60" s="184">
        <f>IFERROR(BF73-BF88,"")</f>
        <v/>
      </c>
      <c r="BG60" s="184">
        <f>IFERROR(BG73-BG88,"")</f>
        <v/>
      </c>
      <c r="BH60" s="184">
        <f>IFERROR(BH73-BH88,"")</f>
        <v/>
      </c>
      <c r="BI60" s="184">
        <f>IFERROR(BI73-BI88,"")</f>
        <v/>
      </c>
      <c r="BJ60" s="184">
        <f>IFERROR(BJ73-BJ88,"")</f>
        <v/>
      </c>
      <c r="BK60" s="184">
        <f>IFERROR(BK73-BK88,"")</f>
        <v/>
      </c>
      <c r="BL60" s="184">
        <f>IFERROR(BL73-BL88,"")</f>
        <v/>
      </c>
      <c r="BM60" s="184">
        <f>IFERROR(BM73-BM88,"")</f>
        <v/>
      </c>
      <c r="BN60" s="184">
        <f>IFERROR(BN73-BN88,"")</f>
        <v/>
      </c>
      <c r="BO60" s="184">
        <f>IFERROR(BO73-BO88,"")</f>
        <v/>
      </c>
      <c r="BP60" s="184">
        <f>IFERROR(BP73-BP88,"")</f>
        <v/>
      </c>
      <c r="BQ60" s="184">
        <f>IFERROR(BQ73-BQ88,"")</f>
        <v/>
      </c>
      <c r="BR60" s="184">
        <f>IFERROR(BR73-BR88,"")</f>
        <v/>
      </c>
      <c r="BS60" s="184">
        <f>IFERROR(BS73-BS88,"")</f>
        <v/>
      </c>
      <c r="BT60" s="184">
        <f>IFERROR(BT73-BT88,"")</f>
        <v/>
      </c>
      <c r="BU60" s="184">
        <f>IFERROR(BU73-BU88,"")</f>
        <v/>
      </c>
      <c r="BV60" s="184">
        <f>IFERROR(BV73-BV88,"")</f>
        <v/>
      </c>
      <c r="BW60" s="184">
        <f>IFERROR(BW73-BW88,"")</f>
        <v/>
      </c>
      <c r="BX60" s="184">
        <f>IFERROR(BX73-BX88,"")</f>
        <v/>
      </c>
      <c r="BY60" s="184">
        <f>IFERROR(BY73-BY88,"")</f>
        <v/>
      </c>
      <c r="BZ60" s="184">
        <f>IFERROR(BZ73-BZ88,"")</f>
        <v/>
      </c>
      <c r="CA60" s="184">
        <f>IFERROR(CA73-CA88,"")</f>
        <v/>
      </c>
      <c r="CB60" s="184">
        <f>IFERROR(CB73-CB88,"")</f>
        <v/>
      </c>
      <c r="CC60" s="184">
        <f>IFERROR(CC73-CC88,"")</f>
        <v/>
      </c>
      <c r="CD60" s="184">
        <f>IFERROR(CD73-CD88,"")</f>
        <v/>
      </c>
      <c r="CE60" s="184">
        <f>IFERROR(CE73-CE88,"")</f>
        <v/>
      </c>
      <c r="CF60" s="184">
        <f>IFERROR(CF73-CF88,"")</f>
        <v/>
      </c>
      <c r="CG60" s="184">
        <f>IFERROR(CG73-CG88,"")</f>
        <v/>
      </c>
      <c r="CH60" s="182" t="n"/>
    </row>
    <row r="61">
      <c r="A61" s="172" t="n"/>
      <c r="B61" s="172" t="n"/>
      <c r="C61" s="172" t="n"/>
      <c r="D61" s="34" t="n"/>
      <c r="E61" s="34" t="n"/>
    </row>
    <row r="62">
      <c r="A62" s="141" t="inlineStr">
        <is>
          <t>發卡(張)</t>
        </is>
      </c>
      <c r="B62" s="141">
        <f>B$1</f>
        <v/>
      </c>
      <c r="C62" s="141">
        <f>C$1</f>
        <v/>
      </c>
      <c r="D62" s="141">
        <f>D$1</f>
        <v/>
      </c>
      <c r="E62" s="141">
        <f>E$1</f>
        <v/>
      </c>
      <c r="F62" s="141">
        <f>F$1</f>
        <v/>
      </c>
      <c r="G62" s="141">
        <f>G$1</f>
        <v/>
      </c>
      <c r="H62" s="141">
        <f>H$1</f>
        <v/>
      </c>
      <c r="I62" s="141">
        <f>I$1</f>
        <v/>
      </c>
      <c r="J62" s="141">
        <f>J$1</f>
        <v/>
      </c>
      <c r="K62" s="141">
        <f>K$1</f>
        <v/>
      </c>
      <c r="L62" s="141">
        <f>L$1</f>
        <v/>
      </c>
      <c r="M62" s="141">
        <f>M$1</f>
        <v/>
      </c>
      <c r="N62" s="141">
        <f>N$1</f>
        <v/>
      </c>
      <c r="O62" s="141">
        <f>O$1</f>
        <v/>
      </c>
      <c r="P62" s="141">
        <f>P$1</f>
        <v/>
      </c>
      <c r="Q62" s="141">
        <f>Q$1</f>
        <v/>
      </c>
      <c r="R62" s="141">
        <f>R$1</f>
        <v/>
      </c>
      <c r="S62" s="141">
        <f>S$1</f>
        <v/>
      </c>
      <c r="T62" s="141">
        <f>T$1</f>
        <v/>
      </c>
      <c r="U62" s="141">
        <f>U$1</f>
        <v/>
      </c>
      <c r="V62" s="141">
        <f>V$1</f>
        <v/>
      </c>
      <c r="W62" s="141">
        <f>W$1</f>
        <v/>
      </c>
      <c r="X62" s="141">
        <f>X$1</f>
        <v/>
      </c>
      <c r="Y62" s="141">
        <f>Y$1</f>
        <v/>
      </c>
      <c r="Z62" s="141">
        <f>Z$1</f>
        <v/>
      </c>
      <c r="AA62" s="141">
        <f>AA$1</f>
        <v/>
      </c>
      <c r="AB62" s="141">
        <f>AB$1</f>
        <v/>
      </c>
      <c r="AC62" s="141">
        <f>AC$1</f>
        <v/>
      </c>
      <c r="AD62" s="141">
        <f>AD$1</f>
        <v/>
      </c>
      <c r="AE62" s="141">
        <f>AE$1</f>
        <v/>
      </c>
      <c r="AF62" s="141">
        <f>AF$1</f>
        <v/>
      </c>
      <c r="AG62" s="141">
        <f>AG$1</f>
        <v/>
      </c>
      <c r="AH62" s="141">
        <f>AH$1</f>
        <v/>
      </c>
      <c r="AI62" s="141">
        <f>AI$1</f>
        <v/>
      </c>
      <c r="AJ62" s="141">
        <f>AJ$1</f>
        <v/>
      </c>
      <c r="AK62" s="141">
        <f>AK$1</f>
        <v/>
      </c>
      <c r="AL62" s="141">
        <f>AL$1</f>
        <v/>
      </c>
      <c r="AM62" s="141">
        <f>AM$1</f>
        <v/>
      </c>
      <c r="AN62" s="141">
        <f>AN$1</f>
        <v/>
      </c>
      <c r="AO62" s="141">
        <f>AO$1</f>
        <v/>
      </c>
      <c r="AP62" s="141">
        <f>AP$1</f>
        <v/>
      </c>
      <c r="AQ62" s="141">
        <f>AQ$1</f>
        <v/>
      </c>
      <c r="AR62" s="141">
        <f>AR$1</f>
        <v/>
      </c>
      <c r="AS62" s="141">
        <f>AS$1</f>
        <v/>
      </c>
      <c r="AT62" s="141">
        <f>AT$1</f>
        <v/>
      </c>
      <c r="AU62" s="141">
        <f>AU$1</f>
        <v/>
      </c>
      <c r="AV62" s="141">
        <f>AV$1</f>
        <v/>
      </c>
      <c r="AW62" s="141">
        <f>AW$1</f>
        <v/>
      </c>
      <c r="AX62" s="141">
        <f>AX$1</f>
        <v/>
      </c>
      <c r="AY62" s="141">
        <f>AY$1</f>
        <v/>
      </c>
      <c r="AZ62" s="141">
        <f>AZ$1</f>
        <v/>
      </c>
      <c r="BA62" s="141">
        <f>BA$1</f>
        <v/>
      </c>
      <c r="BB62" s="141">
        <f>BB$1</f>
        <v/>
      </c>
      <c r="BC62" s="141">
        <f>BC$1</f>
        <v/>
      </c>
      <c r="BD62" s="141">
        <f>BD$1</f>
        <v/>
      </c>
      <c r="BE62" s="141">
        <f>BE$1</f>
        <v/>
      </c>
      <c r="BF62" s="141">
        <f>BF$1</f>
        <v/>
      </c>
      <c r="BG62" s="141">
        <f>BG$1</f>
        <v/>
      </c>
      <c r="BH62" s="141">
        <f>BH$1</f>
        <v/>
      </c>
      <c r="BI62" s="141">
        <f>BI$1</f>
        <v/>
      </c>
      <c r="BJ62" s="141">
        <f>BJ$1</f>
        <v/>
      </c>
      <c r="BK62" s="141">
        <f>BK$1</f>
        <v/>
      </c>
      <c r="BL62" s="141">
        <f>BL$1</f>
        <v/>
      </c>
      <c r="BM62" s="141">
        <f>BM$1</f>
        <v/>
      </c>
      <c r="BN62" s="141">
        <f>BN$1</f>
        <v/>
      </c>
      <c r="BO62" s="141">
        <f>BO$1</f>
        <v/>
      </c>
      <c r="BP62" s="141">
        <f>BP$1</f>
        <v/>
      </c>
      <c r="BQ62" s="141">
        <f>BQ$1</f>
        <v/>
      </c>
      <c r="BR62" s="141">
        <f>BR$1</f>
        <v/>
      </c>
      <c r="BS62" s="141">
        <f>BS$1</f>
        <v/>
      </c>
      <c r="BT62" s="141">
        <f>BT$1</f>
        <v/>
      </c>
      <c r="BU62" s="141">
        <f>BU$1</f>
        <v/>
      </c>
      <c r="BV62" s="141">
        <f>BV$1</f>
        <v/>
      </c>
      <c r="BW62" s="141">
        <f>BW$1</f>
        <v/>
      </c>
      <c r="BX62" s="141">
        <f>BX$1</f>
        <v/>
      </c>
      <c r="BY62" s="141">
        <f>BY$1</f>
        <v/>
      </c>
      <c r="BZ62" s="141">
        <f>BZ$1</f>
        <v/>
      </c>
      <c r="CA62" s="141">
        <f>CA$1</f>
        <v/>
      </c>
      <c r="CB62" s="141">
        <f>CB$1</f>
        <v/>
      </c>
      <c r="CC62" s="141">
        <f>CC$1</f>
        <v/>
      </c>
      <c r="CD62" s="141">
        <f>CD$1</f>
        <v/>
      </c>
      <c r="CE62" s="141">
        <f>CE$1</f>
        <v/>
      </c>
      <c r="CF62" s="141">
        <f>CF$1</f>
        <v/>
      </c>
      <c r="CG62" s="141">
        <f>CG$1</f>
        <v/>
      </c>
      <c r="CH62" s="30" t="n"/>
    </row>
    <row r="63">
      <c r="A63" s="174" t="inlineStr">
        <is>
          <t>中信</t>
        </is>
      </c>
      <c r="B63" s="172" t="n">
        <v>69461</v>
      </c>
      <c r="C63" s="172" t="n">
        <v>65013</v>
      </c>
      <c r="D63" s="172" t="n">
        <v>64825</v>
      </c>
      <c r="E63" s="172" t="n">
        <v>58666</v>
      </c>
      <c r="F63" s="172" t="n">
        <v>60942</v>
      </c>
      <c r="G63" s="172" t="n">
        <v>63180</v>
      </c>
      <c r="H63" s="172" t="n">
        <v>85145</v>
      </c>
      <c r="I63" s="172" t="n">
        <v>77530</v>
      </c>
      <c r="J63" s="172" t="n">
        <v>71205</v>
      </c>
      <c r="K63" s="172" t="n">
        <v>59995</v>
      </c>
      <c r="L63" s="172" t="n">
        <v>67957</v>
      </c>
      <c r="M63" s="172" t="n">
        <v>88772</v>
      </c>
      <c r="N63" s="172" t="n">
        <v>91967</v>
      </c>
      <c r="O63" s="172" t="n">
        <v>79562</v>
      </c>
      <c r="P63" s="172" t="n">
        <v>96517</v>
      </c>
      <c r="Q63" s="172" t="n">
        <v>83013</v>
      </c>
      <c r="R63" s="172" t="n">
        <v>71291</v>
      </c>
      <c r="S63" s="172" t="n">
        <v>45825</v>
      </c>
      <c r="T63" s="172" t="n">
        <v>63302</v>
      </c>
      <c r="U63" s="172" t="n">
        <v>83992</v>
      </c>
      <c r="V63" s="172" t="n">
        <v>80461</v>
      </c>
      <c r="W63" s="172" t="n">
        <v>84040</v>
      </c>
      <c r="X63" s="172" t="n">
        <v>90194</v>
      </c>
      <c r="Y63" s="172" t="n">
        <v>91876</v>
      </c>
      <c r="Z63" s="173" t="n">
        <v>93720</v>
      </c>
      <c r="AA63" s="173" t="n">
        <v>72212</v>
      </c>
      <c r="AB63" s="173" t="n">
        <v>108913</v>
      </c>
      <c r="AC63" s="172" t="n">
        <v>91753</v>
      </c>
      <c r="AD63" s="182" t="n">
        <v>94611</v>
      </c>
      <c r="AE63" s="182" t="n">
        <v>100879</v>
      </c>
      <c r="AF63" s="172" t="n">
        <v>114897</v>
      </c>
      <c r="AG63" s="182" t="n">
        <v>117219</v>
      </c>
      <c r="AH63" s="172" t="n">
        <v>102096</v>
      </c>
      <c r="AI63" s="172" t="n">
        <v>101580</v>
      </c>
      <c r="AJ63" s="172" t="n">
        <v>106842</v>
      </c>
      <c r="AK63" s="172" t="n">
        <v>222441</v>
      </c>
      <c r="AL63" s="172" t="n">
        <v>92625</v>
      </c>
      <c r="AM63" s="172" t="n">
        <v>106035</v>
      </c>
      <c r="AN63" s="172" t="n">
        <v>126806</v>
      </c>
      <c r="AO63" s="172" t="n">
        <v>97345</v>
      </c>
      <c r="AP63" s="172" t="n">
        <v>121263</v>
      </c>
      <c r="AQ63" s="172" t="n">
        <v>110919</v>
      </c>
      <c r="AR63" s="172" t="n">
        <v>112489</v>
      </c>
      <c r="AS63" s="172" t="n">
        <v>111593</v>
      </c>
      <c r="AT63" s="172" t="n">
        <v>98168</v>
      </c>
      <c r="AU63" s="172" t="n">
        <v>97186</v>
      </c>
      <c r="AV63" s="172" t="n">
        <v>90561</v>
      </c>
      <c r="AW63" s="172" t="n">
        <v>97753</v>
      </c>
      <c r="AX63" s="182" t="n">
        <v>97753</v>
      </c>
      <c r="AY63" s="182" t="n">
        <v>72034</v>
      </c>
      <c r="AZ63" s="182" t="n">
        <v>82732</v>
      </c>
      <c r="BA63" s="182" t="n">
        <v>87935</v>
      </c>
      <c r="BB63" s="182" t="n">
        <v>86774</v>
      </c>
      <c r="BC63" s="182" t="n">
        <v>68717</v>
      </c>
      <c r="BD63" s="185" t="n">
        <v>72801</v>
      </c>
      <c r="BE63" s="182" t="n">
        <v>75385</v>
      </c>
      <c r="BF63" s="185" t="n">
        <v>73605</v>
      </c>
      <c r="BG63" s="182" t="n">
        <v>90072</v>
      </c>
      <c r="BH63" s="182" t="n">
        <v>74459</v>
      </c>
      <c r="BI63" s="182" t="n">
        <v>69206</v>
      </c>
      <c r="BJ63" s="185" t="n">
        <v>63424</v>
      </c>
      <c r="BK63" s="185" t="n">
        <v>74221</v>
      </c>
      <c r="BL63" s="185" t="n">
        <v>98917</v>
      </c>
      <c r="BM63" s="182" t="n">
        <v>89584</v>
      </c>
      <c r="BN63" s="182" t="n">
        <v>78812</v>
      </c>
      <c r="BO63" s="182" t="n">
        <v>83021</v>
      </c>
      <c r="BP63" s="182" t="n">
        <v>82553</v>
      </c>
      <c r="BQ63" s="182" t="n">
        <v>225162</v>
      </c>
      <c r="BR63" s="182" t="n">
        <v>330062</v>
      </c>
      <c r="BS63" s="182" t="n">
        <v>168834</v>
      </c>
      <c r="BT63" s="182" t="n">
        <v>132555</v>
      </c>
      <c r="BU63" s="182" t="n">
        <v>148745</v>
      </c>
      <c r="BV63" s="182">
        <f t="array" ref="BV63">_xlfn.XLOOKUP(1,(creditcard[YYYYMM]=BV$4)*(creditcard[Bank]=$A63),creditcard[當月發卡數])</f>
        <v/>
      </c>
      <c r="BW63" s="185">
        <f t="array" ref="BW63">_xlfn.XLOOKUP(1,(creditcard[YYYYMM]=BW$4)*(creditcard[Bank]=$A63),creditcard[當月發卡數])</f>
        <v/>
      </c>
      <c r="BX63" s="182">
        <f t="array" ref="BX63">_xlfn.XLOOKUP(1,(creditcard[YYYYMM]=BX$4)*(creditcard[Bank]=$A63),creditcard[當月發卡數])</f>
        <v/>
      </c>
      <c r="BY63" s="182">
        <f t="array" ref="BY63">_xlfn.XLOOKUP(1,(creditcard[YYYYMM]=BY$4)*(creditcard[Bank]=$A63),creditcard[當月發卡數],"")</f>
        <v/>
      </c>
      <c r="BZ63" s="182">
        <f t="array" ref="BZ63">_xlfn.XLOOKUP(1,(creditcard[YYYYMM]=BZ$4)*(creditcard[Bank]=$A63),creditcard[當月發卡數],"")</f>
        <v/>
      </c>
      <c r="CA63" s="182">
        <f t="array" ref="CA63">_xlfn.XLOOKUP(1,(creditcard[YYYYMM]=CA$4)*(creditcard[Bank]=$A63),creditcard[當月發卡數],"")</f>
        <v/>
      </c>
      <c r="CB63" s="182">
        <f t="array" ref="CB63">_xlfn.XLOOKUP(1,(creditcard[YYYYMM]=CB$4)*(creditcard[Bank]=$A63),creditcard[當月發卡數],"")</f>
        <v/>
      </c>
      <c r="CC63" s="182">
        <f t="array" ref="CC63">_xlfn.XLOOKUP(1,(creditcard[YYYYMM]=CC$4)*(creditcard[Bank]=$A63),creditcard[當月發卡數],"")</f>
        <v/>
      </c>
      <c r="CD63" s="182">
        <f t="array" ref="CD63">_xlfn.XLOOKUP(1,(creditcard[YYYYMM]=CD$4)*(creditcard[Bank]=$A63),creditcard[當月發卡數],"")</f>
        <v/>
      </c>
      <c r="CE63" s="182">
        <f t="array" ref="CE63">_xlfn.XLOOKUP(1,(creditcard[YYYYMM]=CE$4)*(creditcard[Bank]=$A63),creditcard[當月發卡數],"")</f>
        <v/>
      </c>
      <c r="CF63" s="182">
        <f t="array" ref="CF63">_xlfn.XLOOKUP(1,(creditcard[YYYYMM]=CF$4)*(creditcard[Bank]=$A63),creditcard[當月發卡數],"")</f>
        <v/>
      </c>
      <c r="CG63" s="182">
        <f t="array" ref="CG63">_xlfn.XLOOKUP(1,(creditcard[YYYYMM]=CG$4)*(creditcard[Bank]=$A63),creditcard[當月發卡數],"")</f>
        <v/>
      </c>
      <c r="CH63" s="182" t="n"/>
    </row>
    <row r="64">
      <c r="A64" s="174" t="inlineStr">
        <is>
          <t>富邦</t>
        </is>
      </c>
      <c r="B64" s="172" t="n">
        <v>129372</v>
      </c>
      <c r="C64" s="172" t="n">
        <v>76924</v>
      </c>
      <c r="D64" s="172" t="n">
        <v>61494</v>
      </c>
      <c r="E64" s="172" t="n">
        <v>52804</v>
      </c>
      <c r="F64" s="172" t="n">
        <v>48177</v>
      </c>
      <c r="G64" s="172" t="n">
        <v>55164</v>
      </c>
      <c r="H64" s="172" t="n">
        <v>97568</v>
      </c>
      <c r="I64" s="172" t="n">
        <v>62752</v>
      </c>
      <c r="J64" s="172" t="n">
        <v>60546</v>
      </c>
      <c r="K64" s="172" t="n">
        <v>46744</v>
      </c>
      <c r="L64" s="172" t="n">
        <v>74849</v>
      </c>
      <c r="M64" s="172" t="n">
        <v>49792</v>
      </c>
      <c r="N64" s="172" t="n">
        <v>51881</v>
      </c>
      <c r="O64" s="172" t="n">
        <v>38236</v>
      </c>
      <c r="P64" s="172" t="n">
        <v>56091</v>
      </c>
      <c r="Q64" s="172" t="n">
        <v>52760</v>
      </c>
      <c r="R64" s="172" t="n">
        <v>65279</v>
      </c>
      <c r="S64" s="172" t="n">
        <v>42514</v>
      </c>
      <c r="T64" s="172" t="n">
        <v>43368</v>
      </c>
      <c r="U64" s="172" t="n">
        <v>37324</v>
      </c>
      <c r="V64" s="172" t="n">
        <v>36429</v>
      </c>
      <c r="W64" s="172" t="n">
        <v>54266</v>
      </c>
      <c r="X64" s="172" t="n">
        <v>63999</v>
      </c>
      <c r="Y64" s="172" t="n">
        <v>90057</v>
      </c>
      <c r="Z64" s="173" t="n">
        <v>78954</v>
      </c>
      <c r="AA64" s="173" t="n">
        <v>64693</v>
      </c>
      <c r="AB64" s="173" t="n">
        <v>66733</v>
      </c>
      <c r="AC64" s="172" t="n">
        <v>55956</v>
      </c>
      <c r="AD64" s="182" t="n">
        <v>57811</v>
      </c>
      <c r="AE64" s="182" t="n">
        <v>47425</v>
      </c>
      <c r="AF64" s="172" t="n">
        <v>56172</v>
      </c>
      <c r="AG64" s="182" t="n">
        <v>61257</v>
      </c>
      <c r="AH64" s="172" t="n">
        <v>47549</v>
      </c>
      <c r="AI64" s="172" t="n">
        <v>54807</v>
      </c>
      <c r="AJ64" s="172" t="n">
        <v>74339</v>
      </c>
      <c r="AK64" s="172" t="n">
        <v>79666</v>
      </c>
      <c r="AL64" s="172" t="n">
        <v>46377</v>
      </c>
      <c r="AM64" s="172" t="n">
        <v>380374</v>
      </c>
      <c r="AN64" s="172" t="n">
        <v>381268</v>
      </c>
      <c r="AO64" s="172" t="n">
        <v>260215</v>
      </c>
      <c r="AP64" s="172" t="n">
        <v>400172</v>
      </c>
      <c r="AQ64" s="172" t="n">
        <v>276509</v>
      </c>
      <c r="AR64" s="172" t="n">
        <v>360977</v>
      </c>
      <c r="AS64" s="172" t="n">
        <v>275787</v>
      </c>
      <c r="AT64" s="172" t="n">
        <v>135569</v>
      </c>
      <c r="AU64" s="172" t="n">
        <v>117529</v>
      </c>
      <c r="AV64" s="172" t="n">
        <v>115618</v>
      </c>
      <c r="AW64" s="186" t="n">
        <v>67767</v>
      </c>
      <c r="AX64" s="182" t="n">
        <v>83366</v>
      </c>
      <c r="AY64" s="182" t="n">
        <v>57859</v>
      </c>
      <c r="AZ64" s="182" t="n">
        <v>58321</v>
      </c>
      <c r="BA64" s="182" t="n">
        <v>80656</v>
      </c>
      <c r="BB64" s="182" t="n">
        <v>61565</v>
      </c>
      <c r="BC64" s="182" t="n">
        <v>57789</v>
      </c>
      <c r="BD64" s="185" t="n">
        <v>62072</v>
      </c>
      <c r="BE64" s="182" t="n">
        <v>52283</v>
      </c>
      <c r="BF64" s="185" t="n">
        <v>52934</v>
      </c>
      <c r="BG64" s="182" t="n">
        <v>47508</v>
      </c>
      <c r="BH64" s="182" t="n">
        <v>46825</v>
      </c>
      <c r="BI64" s="182" t="n">
        <v>45668</v>
      </c>
      <c r="BJ64" s="185" t="n">
        <v>39879</v>
      </c>
      <c r="BK64" s="185" t="n">
        <v>46045</v>
      </c>
      <c r="BL64" s="185" t="n">
        <v>101393</v>
      </c>
      <c r="BM64" s="182" t="n">
        <v>42784</v>
      </c>
      <c r="BN64" s="182" t="n">
        <v>58606</v>
      </c>
      <c r="BO64" s="182" t="n">
        <v>40026</v>
      </c>
      <c r="BP64" s="182" t="n">
        <v>41160</v>
      </c>
      <c r="BQ64" s="182" t="n">
        <v>38579</v>
      </c>
      <c r="BR64" s="182" t="n">
        <v>38593</v>
      </c>
      <c r="BS64" s="182" t="n">
        <v>37104</v>
      </c>
      <c r="BT64" s="182" t="n">
        <v>36148</v>
      </c>
      <c r="BU64" s="182" t="n">
        <v>36440</v>
      </c>
      <c r="BV64" s="182">
        <f t="array" ref="BV64">_xlfn.XLOOKUP(1,(creditcard[YYYYMM]=BV$4)*(creditcard[Bank]=$A64),creditcard[當月發卡數])</f>
        <v/>
      </c>
      <c r="BW64" s="185">
        <f t="array" ref="BW64">_xlfn.XLOOKUP(1,(creditcard[YYYYMM]=BW$4)*(creditcard[Bank]=$A64),creditcard[當月發卡數])</f>
        <v/>
      </c>
      <c r="BX64" s="182">
        <f t="array" ref="BX64">_xlfn.XLOOKUP(1,(creditcard[YYYYMM]=BX$4)*(creditcard[Bank]=$A64),creditcard[當月發卡數])</f>
        <v/>
      </c>
      <c r="BY64" s="182">
        <f t="array" ref="BY64">_xlfn.XLOOKUP(1,(creditcard[YYYYMM]=BY$4)*(creditcard[Bank]=$A64),creditcard[當月發卡數],"")</f>
        <v/>
      </c>
      <c r="BZ64" s="182">
        <f t="array" ref="BZ64">_xlfn.XLOOKUP(1,(creditcard[YYYYMM]=BZ$4)*(creditcard[Bank]=$A64),creditcard[當月發卡數],"")</f>
        <v/>
      </c>
      <c r="CA64" s="182">
        <f t="array" ref="CA64">_xlfn.XLOOKUP(1,(creditcard[YYYYMM]=CA$4)*(creditcard[Bank]=$A64),creditcard[當月發卡數],"")</f>
        <v/>
      </c>
      <c r="CB64" s="182">
        <f t="array" ref="CB64">_xlfn.XLOOKUP(1,(creditcard[YYYYMM]=CB$4)*(creditcard[Bank]=$A64),creditcard[當月發卡數],"")</f>
        <v/>
      </c>
      <c r="CC64" s="182">
        <f t="array" ref="CC64">_xlfn.XLOOKUP(1,(creditcard[YYYYMM]=CC$4)*(creditcard[Bank]=$A64),creditcard[當月發卡數],"")</f>
        <v/>
      </c>
      <c r="CD64" s="182">
        <f t="array" ref="CD64">_xlfn.XLOOKUP(1,(creditcard[YYYYMM]=CD$4)*(creditcard[Bank]=$A64),creditcard[當月發卡數],"")</f>
        <v/>
      </c>
      <c r="CE64" s="182">
        <f t="array" ref="CE64">_xlfn.XLOOKUP(1,(creditcard[YYYYMM]=CE$4)*(creditcard[Bank]=$A64),creditcard[當月發卡數],"")</f>
        <v/>
      </c>
      <c r="CF64" s="182">
        <f t="array" ref="CF64">_xlfn.XLOOKUP(1,(creditcard[YYYYMM]=CF$4)*(creditcard[Bank]=$A64),creditcard[當月發卡數],"")</f>
        <v/>
      </c>
      <c r="CG64" s="182">
        <f t="array" ref="CG64">_xlfn.XLOOKUP(1,(creditcard[YYYYMM]=CG$4)*(creditcard[Bank]=$A64),creditcard[當月發卡數],"")</f>
        <v/>
      </c>
      <c r="CH64" s="182" t="n"/>
    </row>
    <row r="65">
      <c r="A65" s="174" t="inlineStr">
        <is>
          <t>國泰</t>
        </is>
      </c>
      <c r="B65" s="172" t="n">
        <v>52753</v>
      </c>
      <c r="C65" s="172" t="n">
        <v>64565</v>
      </c>
      <c r="D65" s="172" t="n">
        <v>69601</v>
      </c>
      <c r="E65" s="172" t="n">
        <v>60963</v>
      </c>
      <c r="F65" s="172" t="n">
        <v>58330</v>
      </c>
      <c r="G65" s="172" t="n">
        <v>58507</v>
      </c>
      <c r="H65" s="172" t="n">
        <v>72686</v>
      </c>
      <c r="I65" s="172" t="n">
        <v>63137</v>
      </c>
      <c r="J65" s="172" t="n">
        <v>68668</v>
      </c>
      <c r="K65" s="172" t="n">
        <v>61640</v>
      </c>
      <c r="L65" s="172" t="n">
        <v>66060</v>
      </c>
      <c r="M65" s="172" t="n">
        <v>65735</v>
      </c>
      <c r="N65" s="172" t="n">
        <v>60911</v>
      </c>
      <c r="O65" s="172" t="n">
        <v>51296</v>
      </c>
      <c r="P65" s="172" t="n">
        <v>62274</v>
      </c>
      <c r="Q65" s="172" t="n">
        <v>60384</v>
      </c>
      <c r="R65" s="172" t="n">
        <v>45409</v>
      </c>
      <c r="S65" s="172" t="n">
        <v>24258</v>
      </c>
      <c r="T65" s="172" t="n">
        <v>37021</v>
      </c>
      <c r="U65" s="172" t="n">
        <v>164347</v>
      </c>
      <c r="V65" s="172" t="n">
        <v>183383</v>
      </c>
      <c r="W65" s="172" t="n">
        <v>103914</v>
      </c>
      <c r="X65" s="172" t="n">
        <v>75855</v>
      </c>
      <c r="Y65" s="172" t="n">
        <v>70194</v>
      </c>
      <c r="Z65" s="173" t="n">
        <v>62701</v>
      </c>
      <c r="AA65" s="173" t="n">
        <v>49233</v>
      </c>
      <c r="AB65" s="173" t="n">
        <v>71826</v>
      </c>
      <c r="AC65" s="172" t="n">
        <v>62517</v>
      </c>
      <c r="AD65" s="182" t="n">
        <v>58691</v>
      </c>
      <c r="AE65" s="182" t="n">
        <v>56491</v>
      </c>
      <c r="AF65" s="172" t="n">
        <v>61300</v>
      </c>
      <c r="AG65" s="182" t="n">
        <v>74059</v>
      </c>
      <c r="AH65" s="172" t="n">
        <v>68893</v>
      </c>
      <c r="AI65" s="172" t="n">
        <v>79973</v>
      </c>
      <c r="AJ65" s="172" t="n">
        <v>98701</v>
      </c>
      <c r="AK65" s="172" t="n">
        <v>867523</v>
      </c>
      <c r="AL65" s="172" t="n">
        <v>502672</v>
      </c>
      <c r="AM65" s="172" t="n">
        <v>710953</v>
      </c>
      <c r="AN65" s="172" t="n">
        <v>610363</v>
      </c>
      <c r="AO65" s="172" t="n">
        <v>62183</v>
      </c>
      <c r="AP65" s="172" t="n">
        <v>74774</v>
      </c>
      <c r="AQ65" s="172" t="n">
        <v>61818</v>
      </c>
      <c r="AR65" s="172" t="n">
        <v>209595</v>
      </c>
      <c r="AS65" s="172" t="n">
        <v>129302</v>
      </c>
      <c r="AT65" s="172" t="n">
        <v>58547</v>
      </c>
      <c r="AU65" s="172" t="n">
        <v>53914</v>
      </c>
      <c r="AV65" s="172" t="n">
        <v>52053</v>
      </c>
      <c r="AW65" s="172" t="n">
        <v>44159</v>
      </c>
      <c r="AX65" s="182" t="n">
        <v>49827</v>
      </c>
      <c r="AY65" s="182" t="n">
        <v>39698</v>
      </c>
      <c r="AZ65" s="182" t="n">
        <v>62266</v>
      </c>
      <c r="BA65" s="182" t="n">
        <v>56940</v>
      </c>
      <c r="BB65" s="182" t="n">
        <v>66093</v>
      </c>
      <c r="BC65" s="182" t="n">
        <v>59478</v>
      </c>
      <c r="BD65" s="185" t="n">
        <v>53532</v>
      </c>
      <c r="BE65" s="182" t="n">
        <v>46709</v>
      </c>
      <c r="BF65" s="185" t="n">
        <v>51222</v>
      </c>
      <c r="BG65" s="182" t="n">
        <v>51628</v>
      </c>
      <c r="BH65" s="182" t="n">
        <v>50994</v>
      </c>
      <c r="BI65" s="182" t="n">
        <v>57807</v>
      </c>
      <c r="BJ65" s="185" t="n">
        <v>38114</v>
      </c>
      <c r="BK65" s="185" t="n">
        <v>46909</v>
      </c>
      <c r="BL65" s="185" t="n">
        <v>51941</v>
      </c>
      <c r="BM65" s="182" t="n">
        <v>44580</v>
      </c>
      <c r="BN65" s="182" t="n">
        <v>46817</v>
      </c>
      <c r="BO65" s="182" t="n">
        <v>47029</v>
      </c>
      <c r="BP65" s="182" t="n">
        <v>46299</v>
      </c>
      <c r="BQ65" s="182" t="n">
        <v>43658</v>
      </c>
      <c r="BR65" s="182" t="n">
        <v>49438</v>
      </c>
      <c r="BS65" s="182" t="n">
        <v>42223</v>
      </c>
      <c r="BT65" s="182" t="n">
        <v>59075</v>
      </c>
      <c r="BU65" s="182" t="n">
        <v>46441</v>
      </c>
      <c r="BV65" s="182">
        <f t="array" ref="BV65">_xlfn.XLOOKUP(1,(creditcard[YYYYMM]=BV$4)*(creditcard[Bank]=$A65),creditcard[當月發卡數])</f>
        <v/>
      </c>
      <c r="BW65" s="185">
        <f t="array" ref="BW65">_xlfn.XLOOKUP(1,(creditcard[YYYYMM]=BW$4)*(creditcard[Bank]=$A65),creditcard[當月發卡數])</f>
        <v/>
      </c>
      <c r="BX65" s="182">
        <f t="array" ref="BX65">_xlfn.XLOOKUP(1,(creditcard[YYYYMM]=BX$4)*(creditcard[Bank]=$A65),creditcard[當月發卡數])</f>
        <v/>
      </c>
      <c r="BY65" s="182">
        <f t="array" ref="BY65">_xlfn.XLOOKUP(1,(creditcard[YYYYMM]=BY$4)*(creditcard[Bank]=$A65),creditcard[當月發卡數],"")</f>
        <v/>
      </c>
      <c r="BZ65" s="182">
        <f t="array" ref="BZ65">_xlfn.XLOOKUP(1,(creditcard[YYYYMM]=BZ$4)*(creditcard[Bank]=$A65),creditcard[當月發卡數],"")</f>
        <v/>
      </c>
      <c r="CA65" s="182">
        <f t="array" ref="CA65">_xlfn.XLOOKUP(1,(creditcard[YYYYMM]=CA$4)*(creditcard[Bank]=$A65),creditcard[當月發卡數],"")</f>
        <v/>
      </c>
      <c r="CB65" s="182">
        <f t="array" ref="CB65">_xlfn.XLOOKUP(1,(creditcard[YYYYMM]=CB$4)*(creditcard[Bank]=$A65),creditcard[當月發卡數],"")</f>
        <v/>
      </c>
      <c r="CC65" s="182">
        <f t="array" ref="CC65">_xlfn.XLOOKUP(1,(creditcard[YYYYMM]=CC$4)*(creditcard[Bank]=$A65),creditcard[當月發卡數],"")</f>
        <v/>
      </c>
      <c r="CD65" s="182">
        <f t="array" ref="CD65">_xlfn.XLOOKUP(1,(creditcard[YYYYMM]=CD$4)*(creditcard[Bank]=$A65),creditcard[當月發卡數],"")</f>
        <v/>
      </c>
      <c r="CE65" s="182">
        <f t="array" ref="CE65">_xlfn.XLOOKUP(1,(creditcard[YYYYMM]=CE$4)*(creditcard[Bank]=$A65),creditcard[當月發卡數],"")</f>
        <v/>
      </c>
      <c r="CF65" s="182">
        <f t="array" ref="CF65">_xlfn.XLOOKUP(1,(creditcard[YYYYMM]=CF$4)*(creditcard[Bank]=$A65),creditcard[當月發卡數],"")</f>
        <v/>
      </c>
      <c r="CG65" s="182">
        <f t="array" ref="CG65">_xlfn.XLOOKUP(1,(creditcard[YYYYMM]=CG$4)*(creditcard[Bank]=$A65),creditcard[當月發卡數],"")</f>
        <v/>
      </c>
      <c r="CH65" s="182" t="n"/>
    </row>
    <row r="66">
      <c r="A66" s="174" t="inlineStr">
        <is>
          <t>玉山</t>
        </is>
      </c>
      <c r="B66" s="172" t="n">
        <v>90310</v>
      </c>
      <c r="C66" s="172" t="n">
        <v>86840</v>
      </c>
      <c r="D66" s="172" t="n">
        <v>83596</v>
      </c>
      <c r="E66" s="172" t="n">
        <v>71319</v>
      </c>
      <c r="F66" s="172" t="n">
        <v>68499</v>
      </c>
      <c r="G66" s="172" t="n">
        <v>63256</v>
      </c>
      <c r="H66" s="172" t="n">
        <v>88120</v>
      </c>
      <c r="I66" s="172" t="n">
        <v>64471</v>
      </c>
      <c r="J66" s="172" t="n">
        <v>54958</v>
      </c>
      <c r="K66" s="172" t="n">
        <v>50179</v>
      </c>
      <c r="L66" s="172" t="n">
        <v>52246</v>
      </c>
      <c r="M66" s="172" t="n">
        <v>48950</v>
      </c>
      <c r="N66" s="172" t="n">
        <v>48214</v>
      </c>
      <c r="O66" s="172" t="n">
        <v>35866</v>
      </c>
      <c r="P66" s="172" t="n">
        <v>53639</v>
      </c>
      <c r="Q66" s="172" t="n">
        <v>52489</v>
      </c>
      <c r="R66" s="172" t="n">
        <v>39298</v>
      </c>
      <c r="S66" s="172" t="n">
        <v>32731</v>
      </c>
      <c r="T66" s="172" t="n">
        <v>45213</v>
      </c>
      <c r="U66" s="172" t="n">
        <v>45847</v>
      </c>
      <c r="V66" s="172" t="n">
        <v>48022</v>
      </c>
      <c r="W66" s="172" t="n">
        <v>49247</v>
      </c>
      <c r="X66" s="172" t="n">
        <v>40300</v>
      </c>
      <c r="Y66" s="172" t="n">
        <v>38166</v>
      </c>
      <c r="Z66" s="173" t="n">
        <v>39663</v>
      </c>
      <c r="AA66" s="173" t="n">
        <v>27888</v>
      </c>
      <c r="AB66" s="173" t="n">
        <v>39491</v>
      </c>
      <c r="AC66" s="172" t="n">
        <v>32952</v>
      </c>
      <c r="AD66" s="182" t="n">
        <v>44190</v>
      </c>
      <c r="AE66" s="182" t="n">
        <v>79688</v>
      </c>
      <c r="AF66" s="172" t="n">
        <v>57980</v>
      </c>
      <c r="AG66" s="182" t="n">
        <v>48010</v>
      </c>
      <c r="AH66" s="172" t="n">
        <v>50998</v>
      </c>
      <c r="AI66" s="172" t="n">
        <v>44887</v>
      </c>
      <c r="AJ66" s="172" t="n">
        <v>51572</v>
      </c>
      <c r="AK66" s="172" t="n">
        <v>50332</v>
      </c>
      <c r="AL66" s="172" t="n">
        <v>44613</v>
      </c>
      <c r="AM66" s="172" t="n">
        <v>49110</v>
      </c>
      <c r="AN66" s="172" t="n">
        <v>117205</v>
      </c>
      <c r="AO66" s="172" t="n">
        <v>58771</v>
      </c>
      <c r="AP66" s="172" t="n">
        <v>62491</v>
      </c>
      <c r="AQ66" s="172" t="n">
        <v>58112</v>
      </c>
      <c r="AR66" s="172" t="n">
        <v>77963</v>
      </c>
      <c r="AS66" s="172" t="n">
        <v>97453</v>
      </c>
      <c r="AT66" s="172" t="n">
        <v>88999</v>
      </c>
      <c r="AU66" s="172" t="n">
        <v>117351</v>
      </c>
      <c r="AV66" s="172" t="n">
        <v>88857</v>
      </c>
      <c r="AW66" s="172" t="n">
        <v>94543</v>
      </c>
      <c r="AX66" s="182" t="n">
        <v>55987</v>
      </c>
      <c r="AY66" s="182" t="n">
        <v>61083</v>
      </c>
      <c r="AZ66" s="182" t="n">
        <v>73614</v>
      </c>
      <c r="BA66" s="182" t="n">
        <v>68771</v>
      </c>
      <c r="BB66" s="182" t="n">
        <v>82386</v>
      </c>
      <c r="BC66" s="182" t="n">
        <v>59641</v>
      </c>
      <c r="BD66" s="185" t="n">
        <v>112876</v>
      </c>
      <c r="BE66" s="185" t="n">
        <v>119908</v>
      </c>
      <c r="BF66" s="185" t="n">
        <v>107944</v>
      </c>
      <c r="BG66" s="182" t="n">
        <v>118028</v>
      </c>
      <c r="BH66" s="182" t="n">
        <v>101734</v>
      </c>
      <c r="BI66" s="182" t="n">
        <v>57027</v>
      </c>
      <c r="BJ66" s="185" t="n">
        <v>54309</v>
      </c>
      <c r="BK66" s="185" t="n">
        <v>56782</v>
      </c>
      <c r="BL66" s="185" t="n">
        <v>274931</v>
      </c>
      <c r="BM66" s="182" t="n">
        <v>552679</v>
      </c>
      <c r="BN66" s="182" t="n">
        <v>409399</v>
      </c>
      <c r="BO66" s="182" t="n">
        <v>187426</v>
      </c>
      <c r="BP66" s="182" t="n">
        <v>110939</v>
      </c>
      <c r="BQ66" s="182" t="n">
        <v>133762</v>
      </c>
      <c r="BR66" s="182" t="n">
        <v>64162</v>
      </c>
      <c r="BS66" s="182" t="n">
        <v>62591</v>
      </c>
      <c r="BT66" s="182" t="n">
        <v>52421</v>
      </c>
      <c r="BU66" s="182" t="n">
        <v>128776</v>
      </c>
      <c r="BV66" s="182">
        <f t="array" ref="BV66">_xlfn.XLOOKUP(1,(creditcard[YYYYMM]=BV$4)*(creditcard[Bank]=$A66),creditcard[當月發卡數])</f>
        <v/>
      </c>
      <c r="BW66" s="185">
        <f t="array" ref="BW66">_xlfn.XLOOKUP(1,(creditcard[YYYYMM]=BW$4)*(creditcard[Bank]=$A66),creditcard[當月發卡數])</f>
        <v/>
      </c>
      <c r="BX66" s="182">
        <f t="array" ref="BX66">_xlfn.XLOOKUP(1,(creditcard[YYYYMM]=BX$4)*(creditcard[Bank]=$A66),creditcard[當月發卡數])</f>
        <v/>
      </c>
      <c r="BY66" s="182">
        <f t="array" ref="BY66">_xlfn.XLOOKUP(1,(creditcard[YYYYMM]=BY$4)*(creditcard[Bank]=$A66),creditcard[當月發卡數],"")</f>
        <v/>
      </c>
      <c r="BZ66" s="182">
        <f t="array" ref="BZ66">_xlfn.XLOOKUP(1,(creditcard[YYYYMM]=BZ$4)*(creditcard[Bank]=$A66),creditcard[當月發卡數],"")</f>
        <v/>
      </c>
      <c r="CA66" s="182">
        <f t="array" ref="CA66">_xlfn.XLOOKUP(1,(creditcard[YYYYMM]=CA$4)*(creditcard[Bank]=$A66),creditcard[當月發卡數],"")</f>
        <v/>
      </c>
      <c r="CB66" s="182">
        <f t="array" ref="CB66">_xlfn.XLOOKUP(1,(creditcard[YYYYMM]=CB$4)*(creditcard[Bank]=$A66),creditcard[當月發卡數],"")</f>
        <v/>
      </c>
      <c r="CC66" s="182">
        <f t="array" ref="CC66">_xlfn.XLOOKUP(1,(creditcard[YYYYMM]=CC$4)*(creditcard[Bank]=$A66),creditcard[當月發卡數],"")</f>
        <v/>
      </c>
      <c r="CD66" s="182">
        <f t="array" ref="CD66">_xlfn.XLOOKUP(1,(creditcard[YYYYMM]=CD$4)*(creditcard[Bank]=$A66),creditcard[當月發卡數],"")</f>
        <v/>
      </c>
      <c r="CE66" s="182">
        <f t="array" ref="CE66">_xlfn.XLOOKUP(1,(creditcard[YYYYMM]=CE$4)*(creditcard[Bank]=$A66),creditcard[當月發卡數],"")</f>
        <v/>
      </c>
      <c r="CF66" s="182">
        <f t="array" ref="CF66">_xlfn.XLOOKUP(1,(creditcard[YYYYMM]=CF$4)*(creditcard[Bank]=$A66),creditcard[當月發卡數],"")</f>
        <v/>
      </c>
      <c r="CG66" s="182">
        <f t="array" ref="CG66">_xlfn.XLOOKUP(1,(creditcard[YYYYMM]=CG$4)*(creditcard[Bank]=$A66),creditcard[當月發卡數],"")</f>
        <v/>
      </c>
      <c r="CH66" s="182" t="n"/>
    </row>
    <row r="67">
      <c r="A67" s="174" t="inlineStr">
        <is>
          <t>台新</t>
        </is>
      </c>
      <c r="B67" s="172" t="n">
        <v>59400</v>
      </c>
      <c r="C67" s="172" t="n">
        <v>60230</v>
      </c>
      <c r="D67" s="172" t="n">
        <v>55382</v>
      </c>
      <c r="E67" s="172" t="n">
        <v>40801</v>
      </c>
      <c r="F67" s="172" t="n">
        <v>50310</v>
      </c>
      <c r="G67" s="172" t="n">
        <v>51832</v>
      </c>
      <c r="H67" s="172" t="n">
        <v>68525</v>
      </c>
      <c r="I67" s="172" t="n">
        <v>53383</v>
      </c>
      <c r="J67" s="172" t="n">
        <v>56721</v>
      </c>
      <c r="K67" s="172" t="n">
        <v>72582</v>
      </c>
      <c r="L67" s="172" t="n">
        <v>66616</v>
      </c>
      <c r="M67" s="172" t="n">
        <v>63771</v>
      </c>
      <c r="N67" s="172" t="n">
        <v>63419</v>
      </c>
      <c r="O67" s="172" t="n">
        <v>48945</v>
      </c>
      <c r="P67" s="172" t="n">
        <v>60006</v>
      </c>
      <c r="Q67" s="172" t="n">
        <v>52424</v>
      </c>
      <c r="R67" s="172" t="n">
        <v>47851</v>
      </c>
      <c r="S67" s="172" t="n">
        <v>40384</v>
      </c>
      <c r="T67" s="172" t="n">
        <v>56248</v>
      </c>
      <c r="U67" s="172" t="n">
        <v>53476</v>
      </c>
      <c r="V67" s="172" t="n">
        <v>54463</v>
      </c>
      <c r="W67" s="172" t="n">
        <v>59288</v>
      </c>
      <c r="X67" s="172" t="n">
        <v>68599</v>
      </c>
      <c r="Y67" s="172" t="n">
        <v>49742</v>
      </c>
      <c r="Z67" s="173" t="n">
        <v>57429</v>
      </c>
      <c r="AA67" s="173" t="n">
        <v>43068</v>
      </c>
      <c r="AB67" s="173" t="n">
        <v>55408</v>
      </c>
      <c r="AC67" s="172" t="n">
        <v>48784</v>
      </c>
      <c r="AD67" s="182" t="n">
        <v>51824</v>
      </c>
      <c r="AE67" s="182" t="n">
        <v>50970</v>
      </c>
      <c r="AF67" s="172" t="n">
        <v>58028</v>
      </c>
      <c r="AG67" s="182" t="n">
        <v>62792</v>
      </c>
      <c r="AH67" s="172" t="n">
        <v>54345</v>
      </c>
      <c r="AI67" s="172" t="n">
        <v>58406</v>
      </c>
      <c r="AJ67" s="172" t="n">
        <v>61038</v>
      </c>
      <c r="AK67" s="172" t="n">
        <v>54606</v>
      </c>
      <c r="AL67" s="172" t="n">
        <v>40573</v>
      </c>
      <c r="AM67" s="172" t="n">
        <v>48940</v>
      </c>
      <c r="AN67" s="172" t="n">
        <v>73221</v>
      </c>
      <c r="AO67" s="172" t="n">
        <v>51140</v>
      </c>
      <c r="AP67" s="172" t="n">
        <v>63686</v>
      </c>
      <c r="AQ67" s="172" t="n">
        <v>51693</v>
      </c>
      <c r="AR67" s="172" t="n">
        <v>62726</v>
      </c>
      <c r="AS67" s="172" t="n">
        <v>67457</v>
      </c>
      <c r="AT67" s="172" t="n">
        <v>60994</v>
      </c>
      <c r="AU67" s="172" t="n">
        <v>59703</v>
      </c>
      <c r="AV67" s="172" t="n">
        <v>58890</v>
      </c>
      <c r="AW67" s="172" t="n">
        <v>49320</v>
      </c>
      <c r="AX67" s="182" t="n">
        <v>60384</v>
      </c>
      <c r="AY67" s="182" t="n">
        <v>47873</v>
      </c>
      <c r="AZ67" s="182" t="n">
        <v>59480</v>
      </c>
      <c r="BA67" s="182" t="n">
        <v>60711</v>
      </c>
      <c r="BB67" s="182" t="n">
        <v>57333</v>
      </c>
      <c r="BC67" s="182" t="n">
        <v>48163</v>
      </c>
      <c r="BD67" s="185" t="n">
        <v>135593</v>
      </c>
      <c r="BE67" s="182" t="n">
        <v>88451</v>
      </c>
      <c r="BF67" s="185" t="n">
        <v>68752</v>
      </c>
      <c r="BG67" s="182" t="n">
        <v>77287</v>
      </c>
      <c r="BH67" s="182" t="n">
        <v>56274</v>
      </c>
      <c r="BI67" s="182" t="n">
        <v>39421</v>
      </c>
      <c r="BJ67" s="185" t="n">
        <v>33988</v>
      </c>
      <c r="BK67" s="185" t="n">
        <v>38757</v>
      </c>
      <c r="BL67" s="185" t="n">
        <v>40354</v>
      </c>
      <c r="BM67" s="182" t="n">
        <v>43028</v>
      </c>
      <c r="BN67" s="182" t="n">
        <v>47946</v>
      </c>
      <c r="BO67" s="182" t="n">
        <v>42672</v>
      </c>
      <c r="BP67" s="182" t="n">
        <v>50054</v>
      </c>
      <c r="BQ67" s="182" t="n">
        <v>38737</v>
      </c>
      <c r="BR67" s="182" t="n">
        <v>65893</v>
      </c>
      <c r="BS67" s="182" t="n">
        <v>51185</v>
      </c>
      <c r="BT67" s="182" t="n">
        <v>43518</v>
      </c>
      <c r="BU67" s="182" t="n">
        <v>44324</v>
      </c>
      <c r="BV67" s="182">
        <f t="array" ref="BV67">_xlfn.XLOOKUP(1,(creditcard[YYYYMM]=BV$4)*(creditcard[Bank]=$A67),creditcard[當月發卡數])</f>
        <v/>
      </c>
      <c r="BW67" s="185">
        <f t="array" ref="BW67">_xlfn.XLOOKUP(1,(creditcard[YYYYMM]=BW$4)*(creditcard[Bank]=$A67),creditcard[當月發卡數])</f>
        <v/>
      </c>
      <c r="BX67" s="182">
        <f t="array" ref="BX67">_xlfn.XLOOKUP(1,(creditcard[YYYYMM]=BX$4)*(creditcard[Bank]=$A67),creditcard[當月發卡數])</f>
        <v/>
      </c>
      <c r="BY67" s="182">
        <f t="array" ref="BY67">_xlfn.XLOOKUP(1,(creditcard[YYYYMM]=BY$4)*(creditcard[Bank]=$A67),creditcard[當月發卡數],"")</f>
        <v/>
      </c>
      <c r="BZ67" s="182">
        <f t="array" ref="BZ67">_xlfn.XLOOKUP(1,(creditcard[YYYYMM]=BZ$4)*(creditcard[Bank]=$A67),creditcard[當月發卡數],"")</f>
        <v/>
      </c>
      <c r="CA67" s="182">
        <f t="array" ref="CA67">_xlfn.XLOOKUP(1,(creditcard[YYYYMM]=CA$4)*(creditcard[Bank]=$A67),creditcard[當月發卡數],"")</f>
        <v/>
      </c>
      <c r="CB67" s="182">
        <f t="array" ref="CB67">_xlfn.XLOOKUP(1,(creditcard[YYYYMM]=CB$4)*(creditcard[Bank]=$A67),creditcard[當月發卡數],"")</f>
        <v/>
      </c>
      <c r="CC67" s="182">
        <f t="array" ref="CC67">_xlfn.XLOOKUP(1,(creditcard[YYYYMM]=CC$4)*(creditcard[Bank]=$A67),creditcard[當月發卡數],"")</f>
        <v/>
      </c>
      <c r="CD67" s="182">
        <f t="array" ref="CD67">_xlfn.XLOOKUP(1,(creditcard[YYYYMM]=CD$4)*(creditcard[Bank]=$A67),creditcard[當月發卡數],"")</f>
        <v/>
      </c>
      <c r="CE67" s="182">
        <f t="array" ref="CE67">_xlfn.XLOOKUP(1,(creditcard[YYYYMM]=CE$4)*(creditcard[Bank]=$A67),creditcard[當月發卡數],"")</f>
        <v/>
      </c>
      <c r="CF67" s="182">
        <f t="array" ref="CF67">_xlfn.XLOOKUP(1,(creditcard[YYYYMM]=CF$4)*(creditcard[Bank]=$A67),creditcard[當月發卡數],"")</f>
        <v/>
      </c>
      <c r="CG67" s="182">
        <f t="array" ref="CG67">_xlfn.XLOOKUP(1,(creditcard[YYYYMM]=CG$4)*(creditcard[Bank]=$A67),creditcard[當月發卡數],"")</f>
        <v/>
      </c>
      <c r="CH67" s="182" t="n"/>
    </row>
    <row r="68">
      <c r="A68" s="174" t="inlineStr">
        <is>
          <t>星展</t>
        </is>
      </c>
      <c r="B68" s="172" t="n">
        <v>5025</v>
      </c>
      <c r="C68" s="172" t="n">
        <v>5313</v>
      </c>
      <c r="D68" s="172" t="n">
        <v>5078</v>
      </c>
      <c r="E68" s="172" t="n">
        <v>5050</v>
      </c>
      <c r="F68" s="172" t="n">
        <v>5242</v>
      </c>
      <c r="G68" s="172" t="n">
        <v>4736</v>
      </c>
      <c r="H68" s="172" t="n">
        <v>10352</v>
      </c>
      <c r="I68" s="172" t="n">
        <v>7466</v>
      </c>
      <c r="J68" s="172" t="n">
        <v>5812</v>
      </c>
      <c r="K68" s="172" t="n">
        <v>4469</v>
      </c>
      <c r="L68" s="172" t="n">
        <v>4359</v>
      </c>
      <c r="M68" s="172" t="n">
        <v>5463</v>
      </c>
      <c r="N68" s="172" t="n">
        <v>3656</v>
      </c>
      <c r="O68" s="172" t="n">
        <v>1640</v>
      </c>
      <c r="P68" s="172" t="n">
        <v>3355</v>
      </c>
      <c r="Q68" s="172" t="n">
        <v>3444</v>
      </c>
      <c r="R68" s="172" t="n">
        <v>3482</v>
      </c>
      <c r="S68" s="172" t="n">
        <v>1614</v>
      </c>
      <c r="T68" s="172" t="n">
        <v>2144</v>
      </c>
      <c r="U68" s="172" t="n">
        <v>3825</v>
      </c>
      <c r="V68" s="172" t="n">
        <v>7346</v>
      </c>
      <c r="W68" s="172" t="n">
        <v>9576</v>
      </c>
      <c r="X68" s="172" t="n">
        <v>4936</v>
      </c>
      <c r="Y68" s="172" t="n">
        <v>3244</v>
      </c>
      <c r="Z68" s="172" t="n">
        <v>3624</v>
      </c>
      <c r="AA68" s="172" t="n">
        <v>5051</v>
      </c>
      <c r="AB68" s="172" t="n">
        <v>5897</v>
      </c>
      <c r="AC68" s="172" t="n">
        <v>4438</v>
      </c>
      <c r="AD68" s="172" t="n">
        <v>5511</v>
      </c>
      <c r="AE68" s="172" t="n">
        <v>6427</v>
      </c>
      <c r="AF68" s="172" t="n">
        <v>5203</v>
      </c>
      <c r="AG68" s="172" t="n">
        <v>5010</v>
      </c>
      <c r="AH68" s="172" t="n">
        <v>4597</v>
      </c>
      <c r="AI68" s="172" t="n">
        <v>4909</v>
      </c>
      <c r="AJ68" s="172" t="n">
        <v>6628</v>
      </c>
      <c r="AK68" s="172" t="n">
        <v>5436</v>
      </c>
      <c r="AL68" s="172" t="n">
        <v>4916</v>
      </c>
      <c r="AM68" s="172" t="n">
        <v>5154</v>
      </c>
      <c r="AN68" s="172" t="n">
        <v>7106</v>
      </c>
      <c r="AO68" s="172" t="n">
        <v>5942</v>
      </c>
      <c r="AP68" s="172" t="n">
        <v>7279</v>
      </c>
      <c r="AQ68" s="172" t="n">
        <v>6342</v>
      </c>
      <c r="AR68" s="172" t="n">
        <v>17078</v>
      </c>
      <c r="AS68" s="172" t="n">
        <v>23432</v>
      </c>
      <c r="AT68" s="172" t="n">
        <v>14358</v>
      </c>
      <c r="AU68" s="172" t="n">
        <v>11728</v>
      </c>
      <c r="AV68" s="172" t="n">
        <v>11584</v>
      </c>
      <c r="AW68" s="172" t="n">
        <v>9274</v>
      </c>
      <c r="AX68" s="182" t="n">
        <v>658473</v>
      </c>
      <c r="AY68" s="182" t="n">
        <v>178847</v>
      </c>
      <c r="AZ68" s="182" t="n">
        <v>142622</v>
      </c>
      <c r="BA68" s="182" t="n">
        <v>70650</v>
      </c>
      <c r="BB68" s="182" t="n">
        <v>449440</v>
      </c>
      <c r="BC68" s="182" t="n">
        <v>42121</v>
      </c>
      <c r="BD68" s="185" t="n">
        <v>19367</v>
      </c>
      <c r="BE68" s="182" t="n">
        <v>16096</v>
      </c>
      <c r="BF68" s="185" t="n">
        <v>14207</v>
      </c>
      <c r="BG68" s="182" t="n">
        <v>13601</v>
      </c>
      <c r="BH68" s="182" t="n">
        <v>13175</v>
      </c>
      <c r="BI68" s="182" t="n">
        <v>11611</v>
      </c>
      <c r="BJ68" s="185" t="n">
        <v>9373</v>
      </c>
      <c r="BK68" s="185" t="n">
        <v>18226</v>
      </c>
      <c r="BL68" s="185" t="n">
        <v>15856</v>
      </c>
      <c r="BM68" s="182" t="n">
        <v>12174</v>
      </c>
      <c r="BN68" s="182" t="n">
        <v>10763</v>
      </c>
      <c r="BO68" s="182" t="n">
        <v>12045</v>
      </c>
      <c r="BP68" s="182" t="n">
        <v>14597</v>
      </c>
      <c r="BQ68" s="182" t="n">
        <v>14733</v>
      </c>
      <c r="BR68" s="182" t="n">
        <v>11701</v>
      </c>
      <c r="BS68" s="182" t="n">
        <v>38079</v>
      </c>
      <c r="BT68" s="182" t="n">
        <v>17786</v>
      </c>
      <c r="BU68" s="182" t="n">
        <v>20983</v>
      </c>
      <c r="BV68" s="182">
        <f t="array" ref="BV68">_xlfn.XLOOKUP(1,(creditcard[YYYYMM]=BV$4)*(creditcard[Bank]=$A68),creditcard[當月發卡數])</f>
        <v/>
      </c>
      <c r="BW68" s="185">
        <f t="array" ref="BW68">_xlfn.XLOOKUP(1,(creditcard[YYYYMM]=BW$4)*(creditcard[Bank]=$A68),creditcard[當月發卡數])</f>
        <v/>
      </c>
      <c r="BX68" s="182">
        <f t="array" ref="BX68">_xlfn.XLOOKUP(1,(creditcard[YYYYMM]=BX$4)*(creditcard[Bank]=$A68),creditcard[當月發卡數])</f>
        <v/>
      </c>
      <c r="BY68" s="182">
        <f t="array" ref="BY68">_xlfn.XLOOKUP(1,(creditcard[YYYYMM]=BY$4)*(creditcard[Bank]=$A68),creditcard[當月發卡數],"")</f>
        <v/>
      </c>
      <c r="BZ68" s="182">
        <f t="array" ref="BZ68">_xlfn.XLOOKUP(1,(creditcard[YYYYMM]=BZ$4)*(creditcard[Bank]=$A68),creditcard[當月發卡數],"")</f>
        <v/>
      </c>
      <c r="CA68" s="182">
        <f t="array" ref="CA68">_xlfn.XLOOKUP(1,(creditcard[YYYYMM]=CA$4)*(creditcard[Bank]=$A68),creditcard[當月發卡數],"")</f>
        <v/>
      </c>
      <c r="CB68" s="182">
        <f t="array" ref="CB68">_xlfn.XLOOKUP(1,(creditcard[YYYYMM]=CB$4)*(creditcard[Bank]=$A68),creditcard[當月發卡數],"")</f>
        <v/>
      </c>
      <c r="CC68" s="182">
        <f t="array" ref="CC68">_xlfn.XLOOKUP(1,(creditcard[YYYYMM]=CC$4)*(creditcard[Bank]=$A68),creditcard[當月發卡數],"")</f>
        <v/>
      </c>
      <c r="CD68" s="182">
        <f t="array" ref="CD68">_xlfn.XLOOKUP(1,(creditcard[YYYYMM]=CD$4)*(creditcard[Bank]=$A68),creditcard[當月發卡數],"")</f>
        <v/>
      </c>
      <c r="CE68" s="182">
        <f t="array" ref="CE68">_xlfn.XLOOKUP(1,(creditcard[YYYYMM]=CE$4)*(creditcard[Bank]=$A68),creditcard[當月發卡數],"")</f>
        <v/>
      </c>
      <c r="CF68" s="182">
        <f t="array" ref="CF68">_xlfn.XLOOKUP(1,(creditcard[YYYYMM]=CF$4)*(creditcard[Bank]=$A68),creditcard[當月發卡數],"")</f>
        <v/>
      </c>
      <c r="CG68" s="182">
        <f t="array" ref="CG68">_xlfn.XLOOKUP(1,(creditcard[YYYYMM]=CG$4)*(creditcard[Bank]=$A68),creditcard[當月發卡數],"")</f>
        <v/>
      </c>
      <c r="CH68" s="182" t="n"/>
    </row>
    <row r="69">
      <c r="A69" s="174" t="inlineStr">
        <is>
          <t>聯邦</t>
        </is>
      </c>
      <c r="B69" s="172" t="n">
        <v>28120</v>
      </c>
      <c r="C69" s="172" t="n">
        <v>30764</v>
      </c>
      <c r="D69" s="172" t="n">
        <v>37690</v>
      </c>
      <c r="E69" s="172" t="n">
        <v>33018</v>
      </c>
      <c r="F69" s="172" t="n">
        <v>33011</v>
      </c>
      <c r="G69" s="172" t="n">
        <v>28929</v>
      </c>
      <c r="H69" s="172" t="n">
        <v>31189</v>
      </c>
      <c r="I69" s="172" t="n">
        <v>24203</v>
      </c>
      <c r="J69" s="172" t="n">
        <v>37869</v>
      </c>
      <c r="K69" s="172" t="n">
        <v>22771</v>
      </c>
      <c r="L69" s="172" t="n">
        <v>24460</v>
      </c>
      <c r="M69" s="172" t="n">
        <v>22882</v>
      </c>
      <c r="N69" s="172" t="n">
        <v>23169</v>
      </c>
      <c r="O69" s="172" t="n">
        <v>17747</v>
      </c>
      <c r="P69" s="172" t="n">
        <v>22689</v>
      </c>
      <c r="Q69" s="172" t="n">
        <v>20885</v>
      </c>
      <c r="R69" s="172" t="n">
        <v>18418</v>
      </c>
      <c r="S69" s="172" t="n">
        <v>9125</v>
      </c>
      <c r="T69" s="172" t="n">
        <v>15824</v>
      </c>
      <c r="U69" s="172" t="n">
        <v>14998</v>
      </c>
      <c r="V69" s="172" t="n">
        <v>21751</v>
      </c>
      <c r="W69" s="172" t="n">
        <v>20891</v>
      </c>
      <c r="X69" s="172" t="n">
        <v>30439</v>
      </c>
      <c r="Y69" s="172" t="n">
        <v>32355</v>
      </c>
      <c r="Z69" s="173" t="n">
        <v>35129</v>
      </c>
      <c r="AA69" s="173" t="n">
        <v>23031</v>
      </c>
      <c r="AB69" s="173" t="n">
        <v>30299</v>
      </c>
      <c r="AC69" s="172" t="n">
        <v>22206</v>
      </c>
      <c r="AD69" s="182" t="n">
        <v>20600</v>
      </c>
      <c r="AE69" s="182" t="n">
        <v>18710</v>
      </c>
      <c r="AF69" s="172" t="n">
        <v>43006</v>
      </c>
      <c r="AG69" s="182" t="n">
        <v>30166</v>
      </c>
      <c r="AH69" s="172" t="n">
        <v>24803</v>
      </c>
      <c r="AI69" s="172" t="n">
        <v>28659</v>
      </c>
      <c r="AJ69" s="172" t="n">
        <v>30495</v>
      </c>
      <c r="AK69" s="172" t="n">
        <v>53973</v>
      </c>
      <c r="AL69" s="172" t="n">
        <v>48812</v>
      </c>
      <c r="AM69" s="172" t="n">
        <v>53849</v>
      </c>
      <c r="AN69" s="172" t="n">
        <v>60860</v>
      </c>
      <c r="AO69" s="172" t="n">
        <v>39356</v>
      </c>
      <c r="AP69" s="172" t="n">
        <v>40478</v>
      </c>
      <c r="AQ69" s="172" t="n">
        <v>39886</v>
      </c>
      <c r="AR69" s="172" t="n">
        <v>83590</v>
      </c>
      <c r="AS69" s="172" t="n">
        <v>78297</v>
      </c>
      <c r="AT69" s="172" t="n">
        <v>54395</v>
      </c>
      <c r="AU69" s="172" t="n">
        <v>50618</v>
      </c>
      <c r="AV69" s="172" t="n">
        <v>50263</v>
      </c>
      <c r="AW69" s="172" t="n">
        <v>41593</v>
      </c>
      <c r="AX69" s="182" t="n">
        <v>41593</v>
      </c>
      <c r="AY69" s="182" t="n">
        <v>44252</v>
      </c>
      <c r="AZ69" s="182" t="n">
        <v>50343</v>
      </c>
      <c r="BA69" s="182" t="n">
        <v>37551</v>
      </c>
      <c r="BB69" s="182" t="n">
        <v>42345</v>
      </c>
      <c r="BC69" s="182" t="n">
        <v>27562</v>
      </c>
      <c r="BD69" s="185" t="n">
        <v>25108</v>
      </c>
      <c r="BE69" s="182" t="n">
        <v>24202</v>
      </c>
      <c r="BF69" s="185" t="n">
        <v>22065</v>
      </c>
      <c r="BG69" s="182" t="n">
        <v>21318</v>
      </c>
      <c r="BH69" s="182" t="n">
        <v>21191</v>
      </c>
      <c r="BI69" s="182" t="n">
        <v>19572</v>
      </c>
      <c r="BJ69" s="185" t="n">
        <v>17534</v>
      </c>
      <c r="BK69" s="185" t="n">
        <v>21987</v>
      </c>
      <c r="BL69" s="185" t="n">
        <v>21824</v>
      </c>
      <c r="BM69" s="182" t="n">
        <v>18920</v>
      </c>
      <c r="BN69" s="182" t="n">
        <v>20762</v>
      </c>
      <c r="BO69" s="182" t="n">
        <v>20754</v>
      </c>
      <c r="BP69" s="182" t="n">
        <v>30833</v>
      </c>
      <c r="BQ69" s="182" t="n">
        <v>23065</v>
      </c>
      <c r="BR69" s="182" t="n">
        <v>21314</v>
      </c>
      <c r="BS69" s="182" t="n">
        <v>19370</v>
      </c>
      <c r="BT69" s="182" t="n">
        <v>17400</v>
      </c>
      <c r="BU69" s="182" t="n">
        <v>31298</v>
      </c>
      <c r="BV69" s="182">
        <f t="array" ref="BV69">_xlfn.XLOOKUP(1,(creditcard[YYYYMM]=BV$4)*(creditcard[Bank]=$A69),creditcard[當月發卡數])</f>
        <v/>
      </c>
      <c r="BW69" s="185">
        <f t="array" ref="BW69">_xlfn.XLOOKUP(1,(creditcard[YYYYMM]=BW$4)*(creditcard[Bank]=$A69),creditcard[當月發卡數])</f>
        <v/>
      </c>
      <c r="BX69" s="182">
        <f t="array" ref="BX69">_xlfn.XLOOKUP(1,(creditcard[YYYYMM]=BX$4)*(creditcard[Bank]=$A69),creditcard[當月發卡數])</f>
        <v/>
      </c>
      <c r="BY69" s="182">
        <f t="array" ref="BY69">_xlfn.XLOOKUP(1,(creditcard[YYYYMM]=BY$4)*(creditcard[Bank]=$A69),creditcard[當月發卡數],"")</f>
        <v/>
      </c>
      <c r="BZ69" s="182">
        <f t="array" ref="BZ69">_xlfn.XLOOKUP(1,(creditcard[YYYYMM]=BZ$4)*(creditcard[Bank]=$A69),creditcard[當月發卡數],"")</f>
        <v/>
      </c>
      <c r="CA69" s="182">
        <f t="array" ref="CA69">_xlfn.XLOOKUP(1,(creditcard[YYYYMM]=CA$4)*(creditcard[Bank]=$A69),creditcard[當月發卡數],"")</f>
        <v/>
      </c>
      <c r="CB69" s="182">
        <f t="array" ref="CB69">_xlfn.XLOOKUP(1,(creditcard[YYYYMM]=CB$4)*(creditcard[Bank]=$A69),creditcard[當月發卡數],"")</f>
        <v/>
      </c>
      <c r="CC69" s="182">
        <f t="array" ref="CC69">_xlfn.XLOOKUP(1,(creditcard[YYYYMM]=CC$4)*(creditcard[Bank]=$A69),creditcard[當月發卡數],"")</f>
        <v/>
      </c>
      <c r="CD69" s="182">
        <f t="array" ref="CD69">_xlfn.XLOOKUP(1,(creditcard[YYYYMM]=CD$4)*(creditcard[Bank]=$A69),creditcard[當月發卡數],"")</f>
        <v/>
      </c>
      <c r="CE69" s="182">
        <f t="array" ref="CE69">_xlfn.XLOOKUP(1,(creditcard[YYYYMM]=CE$4)*(creditcard[Bank]=$A69),creditcard[當月發卡數],"")</f>
        <v/>
      </c>
      <c r="CF69" s="182">
        <f t="array" ref="CF69">_xlfn.XLOOKUP(1,(creditcard[YYYYMM]=CF$4)*(creditcard[Bank]=$A69),creditcard[當月發卡數],"")</f>
        <v/>
      </c>
      <c r="CG69" s="182">
        <f t="array" ref="CG69">_xlfn.XLOOKUP(1,(creditcard[YYYYMM]=CG$4)*(creditcard[Bank]=$A69),creditcard[當月發卡數],"")</f>
        <v/>
      </c>
      <c r="CH69" s="182" t="n"/>
    </row>
    <row r="70">
      <c r="A70" s="174" t="inlineStr">
        <is>
          <t>永豐</t>
        </is>
      </c>
      <c r="B70" s="172" t="n">
        <v>42764</v>
      </c>
      <c r="C70" s="172" t="n">
        <v>36389</v>
      </c>
      <c r="D70" s="172" t="n">
        <v>30604</v>
      </c>
      <c r="E70" s="172" t="n">
        <v>26681</v>
      </c>
      <c r="F70" s="172" t="n">
        <v>19096</v>
      </c>
      <c r="G70" s="172" t="n">
        <v>19882</v>
      </c>
      <c r="H70" s="172" t="n">
        <v>41802</v>
      </c>
      <c r="I70" s="172" t="n">
        <v>22900</v>
      </c>
      <c r="J70" s="172" t="n">
        <v>25872</v>
      </c>
      <c r="K70" s="172" t="n">
        <v>32151</v>
      </c>
      <c r="L70" s="172" t="n">
        <v>14693</v>
      </c>
      <c r="M70" s="172" t="n">
        <v>17675</v>
      </c>
      <c r="N70" s="172" t="n">
        <v>89629</v>
      </c>
      <c r="O70" s="172" t="n">
        <v>19845</v>
      </c>
      <c r="P70" s="172" t="n">
        <v>26997</v>
      </c>
      <c r="Q70" s="172" t="n">
        <v>21546</v>
      </c>
      <c r="R70" s="172" t="n">
        <v>15365</v>
      </c>
      <c r="S70" s="172" t="n">
        <v>10983</v>
      </c>
      <c r="T70" s="172" t="n">
        <v>16619</v>
      </c>
      <c r="U70" s="172" t="n">
        <v>13048</v>
      </c>
      <c r="V70" s="172" t="n">
        <v>12399</v>
      </c>
      <c r="W70" s="172" t="n">
        <v>11813</v>
      </c>
      <c r="X70" s="172" t="n">
        <v>15518</v>
      </c>
      <c r="Y70" s="172" t="n">
        <v>13839</v>
      </c>
      <c r="Z70" s="173" t="n">
        <v>17712</v>
      </c>
      <c r="AA70" s="173" t="n">
        <v>17119</v>
      </c>
      <c r="AB70" s="173" t="n">
        <v>32596</v>
      </c>
      <c r="AC70" s="172" t="n">
        <v>15803</v>
      </c>
      <c r="AD70" s="182" t="n">
        <v>12594</v>
      </c>
      <c r="AE70" s="182" t="n">
        <v>14305</v>
      </c>
      <c r="AF70" s="172" t="n">
        <v>17889</v>
      </c>
      <c r="AG70" s="182" t="n">
        <v>18619</v>
      </c>
      <c r="AH70" s="172" t="n">
        <v>14479</v>
      </c>
      <c r="AI70" s="172" t="n">
        <v>14457</v>
      </c>
      <c r="AJ70" s="172" t="n">
        <v>13763</v>
      </c>
      <c r="AK70" s="172" t="n">
        <v>12558</v>
      </c>
      <c r="AL70" s="172" t="n">
        <v>19045</v>
      </c>
      <c r="AM70" s="172" t="n">
        <v>23907</v>
      </c>
      <c r="AN70" s="172" t="n">
        <v>16159</v>
      </c>
      <c r="AO70" s="172" t="n">
        <v>9740</v>
      </c>
      <c r="AP70" s="172" t="n">
        <v>15156</v>
      </c>
      <c r="AQ70" s="172" t="n">
        <v>14160</v>
      </c>
      <c r="AR70" s="172" t="n">
        <v>17427</v>
      </c>
      <c r="AS70" s="172" t="n">
        <v>18250</v>
      </c>
      <c r="AT70" s="172" t="n">
        <v>16531</v>
      </c>
      <c r="AU70" s="172" t="n">
        <v>13687</v>
      </c>
      <c r="AV70" s="172" t="n">
        <v>14100</v>
      </c>
      <c r="AW70" s="172" t="n">
        <v>13235</v>
      </c>
      <c r="AX70" s="182" t="n">
        <v>19643</v>
      </c>
      <c r="AY70" s="182" t="n">
        <v>11839</v>
      </c>
      <c r="AZ70" s="182" t="n">
        <v>15923</v>
      </c>
      <c r="BA70" s="182" t="n">
        <v>18145</v>
      </c>
      <c r="BB70" s="182" t="n">
        <v>16739</v>
      </c>
      <c r="BC70" s="182" t="n">
        <v>14630</v>
      </c>
      <c r="BD70" s="185" t="n">
        <v>18324</v>
      </c>
      <c r="BE70" s="182" t="n">
        <v>18676</v>
      </c>
      <c r="BF70" s="185" t="n">
        <v>15074</v>
      </c>
      <c r="BG70" s="182" t="n">
        <v>14766</v>
      </c>
      <c r="BH70" s="182" t="n">
        <v>67262</v>
      </c>
      <c r="BI70" s="182" t="n">
        <v>78852</v>
      </c>
      <c r="BJ70" s="185" t="n">
        <v>63038</v>
      </c>
      <c r="BK70" s="185" t="n">
        <v>41153</v>
      </c>
      <c r="BL70" s="185" t="n">
        <v>29069</v>
      </c>
      <c r="BM70" s="182" t="n">
        <v>22734</v>
      </c>
      <c r="BN70" s="182" t="n">
        <v>19925</v>
      </c>
      <c r="BO70" s="182" t="n">
        <v>18675</v>
      </c>
      <c r="BP70" s="182" t="n">
        <v>25593</v>
      </c>
      <c r="BQ70" s="182" t="n">
        <v>20756</v>
      </c>
      <c r="BR70" s="182" t="n">
        <v>20809</v>
      </c>
      <c r="BS70" s="182" t="n">
        <v>18894</v>
      </c>
      <c r="BT70" s="182" t="n">
        <v>16239</v>
      </c>
      <c r="BU70" s="182" t="n">
        <v>17921</v>
      </c>
      <c r="BV70" s="182">
        <f t="array" ref="BV70">_xlfn.XLOOKUP(1,(creditcard[YYYYMM]=BV$4)*(creditcard[Bank]=$A70),creditcard[當月發卡數])</f>
        <v/>
      </c>
      <c r="BW70" s="185">
        <f t="array" ref="BW70">_xlfn.XLOOKUP(1,(creditcard[YYYYMM]=BW$4)*(creditcard[Bank]=$A70),creditcard[當月發卡數])</f>
        <v/>
      </c>
      <c r="BX70" s="182">
        <f t="array" ref="BX70">_xlfn.XLOOKUP(1,(creditcard[YYYYMM]=BX$4)*(creditcard[Bank]=$A70),creditcard[當月發卡數])</f>
        <v/>
      </c>
      <c r="BY70" s="182">
        <f t="array" ref="BY70">_xlfn.XLOOKUP(1,(creditcard[YYYYMM]=BY$4)*(creditcard[Bank]=$A70),creditcard[當月發卡數],"")</f>
        <v/>
      </c>
      <c r="BZ70" s="182">
        <f t="array" ref="BZ70">_xlfn.XLOOKUP(1,(creditcard[YYYYMM]=BZ$4)*(creditcard[Bank]=$A70),creditcard[當月發卡數],"")</f>
        <v/>
      </c>
      <c r="CA70" s="182">
        <f t="array" ref="CA70">_xlfn.XLOOKUP(1,(creditcard[YYYYMM]=CA$4)*(creditcard[Bank]=$A70),creditcard[當月發卡數],"")</f>
        <v/>
      </c>
      <c r="CB70" s="182">
        <f t="array" ref="CB70">_xlfn.XLOOKUP(1,(creditcard[YYYYMM]=CB$4)*(creditcard[Bank]=$A70),creditcard[當月發卡數],"")</f>
        <v/>
      </c>
      <c r="CC70" s="182">
        <f t="array" ref="CC70">_xlfn.XLOOKUP(1,(creditcard[YYYYMM]=CC$4)*(creditcard[Bank]=$A70),creditcard[當月發卡數],"")</f>
        <v/>
      </c>
      <c r="CD70" s="182">
        <f t="array" ref="CD70">_xlfn.XLOOKUP(1,(creditcard[YYYYMM]=CD$4)*(creditcard[Bank]=$A70),creditcard[當月發卡數],"")</f>
        <v/>
      </c>
      <c r="CE70" s="182">
        <f t="array" ref="CE70">_xlfn.XLOOKUP(1,(creditcard[YYYYMM]=CE$4)*(creditcard[Bank]=$A70),creditcard[當月發卡數],"")</f>
        <v/>
      </c>
      <c r="CF70" s="182">
        <f t="array" ref="CF70">_xlfn.XLOOKUP(1,(creditcard[YYYYMM]=CF$4)*(creditcard[Bank]=$A70),creditcard[當月發卡數],"")</f>
        <v/>
      </c>
      <c r="CG70" s="182">
        <f t="array" ref="CG70">_xlfn.XLOOKUP(1,(creditcard[YYYYMM]=CG$4)*(creditcard[Bank]=$A70),creditcard[當月發卡數],"")</f>
        <v/>
      </c>
      <c r="CH70" s="182" t="n"/>
    </row>
    <row r="71">
      <c r="A71" s="174" t="inlineStr">
        <is>
          <t>第一</t>
        </is>
      </c>
      <c r="B71" s="172" t="n">
        <v>8502</v>
      </c>
      <c r="C71" s="172" t="n">
        <v>12189</v>
      </c>
      <c r="D71" s="172" t="n">
        <v>16021</v>
      </c>
      <c r="E71" s="172" t="n">
        <v>14772</v>
      </c>
      <c r="F71" s="172" t="n">
        <v>15362</v>
      </c>
      <c r="G71" s="172" t="n">
        <v>15614</v>
      </c>
      <c r="H71" s="172" t="n">
        <v>30341</v>
      </c>
      <c r="I71" s="172" t="n">
        <v>13576</v>
      </c>
      <c r="J71" s="172" t="n">
        <v>15839</v>
      </c>
      <c r="K71" s="172" t="n">
        <v>14452</v>
      </c>
      <c r="L71" s="172" t="n">
        <v>15858</v>
      </c>
      <c r="M71" s="172" t="n">
        <v>14719</v>
      </c>
      <c r="N71" s="172" t="n">
        <v>10431</v>
      </c>
      <c r="O71" s="172" t="n">
        <v>10386</v>
      </c>
      <c r="P71" s="172" t="n">
        <v>43234</v>
      </c>
      <c r="Q71" s="172" t="n">
        <v>39324</v>
      </c>
      <c r="R71" s="172" t="n">
        <v>24890</v>
      </c>
      <c r="S71" s="172" t="n">
        <v>11482</v>
      </c>
      <c r="T71" s="172" t="n">
        <v>12737</v>
      </c>
      <c r="U71" s="172" t="n">
        <v>15096</v>
      </c>
      <c r="V71" s="172" t="n">
        <v>17880</v>
      </c>
      <c r="W71" s="172" t="n">
        <v>16383</v>
      </c>
      <c r="X71" s="172" t="n">
        <v>19843</v>
      </c>
      <c r="Y71" s="172" t="n">
        <v>13582</v>
      </c>
      <c r="Z71" s="173" t="n">
        <v>20896</v>
      </c>
      <c r="AA71" s="173" t="n">
        <v>13892</v>
      </c>
      <c r="AB71" s="173" t="n">
        <v>21417</v>
      </c>
      <c r="AC71" s="172" t="n">
        <v>17015</v>
      </c>
      <c r="AD71" s="182" t="n">
        <v>15191</v>
      </c>
      <c r="AE71" s="182" t="n">
        <v>14899</v>
      </c>
      <c r="AF71" s="172" t="n">
        <v>16767</v>
      </c>
      <c r="AG71" s="182" t="n">
        <v>18550</v>
      </c>
      <c r="AH71" s="172" t="n">
        <v>15164</v>
      </c>
      <c r="AI71" s="172" t="n">
        <v>13345</v>
      </c>
      <c r="AJ71" s="172" t="n">
        <v>16731</v>
      </c>
      <c r="AK71" s="172" t="n">
        <v>14120</v>
      </c>
      <c r="AL71" s="172" t="n">
        <v>11323</v>
      </c>
      <c r="AM71" s="172" t="n">
        <v>16556</v>
      </c>
      <c r="AN71" s="172" t="n">
        <v>20964</v>
      </c>
      <c r="AO71" s="172" t="n">
        <v>13764</v>
      </c>
      <c r="AP71" s="172" t="n">
        <v>17953</v>
      </c>
      <c r="AQ71" s="172" t="n">
        <v>15986</v>
      </c>
      <c r="AR71" s="172" t="n">
        <v>14485</v>
      </c>
      <c r="AS71" s="172" t="n">
        <v>17159</v>
      </c>
      <c r="AT71" s="172" t="n">
        <v>15760</v>
      </c>
      <c r="AU71" s="172" t="n">
        <v>13999</v>
      </c>
      <c r="AV71" s="172" t="n">
        <v>13639</v>
      </c>
      <c r="AW71" s="172" t="n">
        <v>13362</v>
      </c>
      <c r="AX71" s="182" t="n">
        <v>18592</v>
      </c>
      <c r="AY71" s="182" t="n">
        <v>16126</v>
      </c>
      <c r="AZ71" s="182" t="n">
        <v>18133</v>
      </c>
      <c r="BA71" s="182" t="n">
        <v>15669</v>
      </c>
      <c r="BB71" s="182" t="n">
        <v>13805</v>
      </c>
      <c r="BC71" s="182" t="n">
        <v>12391</v>
      </c>
      <c r="BD71" s="185" t="n">
        <v>12881</v>
      </c>
      <c r="BE71" s="182" t="n">
        <v>12825</v>
      </c>
      <c r="BF71" s="185" t="n">
        <v>11756</v>
      </c>
      <c r="BG71" s="182" t="n">
        <v>10860</v>
      </c>
      <c r="BH71" s="182" t="n">
        <v>10265</v>
      </c>
      <c r="BI71" s="182" t="n">
        <v>8958</v>
      </c>
      <c r="BJ71" s="185" t="n">
        <v>7488</v>
      </c>
      <c r="BK71" s="185" t="n">
        <v>11314</v>
      </c>
      <c r="BL71" s="185" t="n">
        <v>12378</v>
      </c>
      <c r="BM71" s="182" t="n">
        <v>10965</v>
      </c>
      <c r="BN71" s="182" t="n">
        <v>9891</v>
      </c>
      <c r="BO71" s="182" t="n">
        <v>9308</v>
      </c>
      <c r="BP71" s="182" t="n">
        <v>12130</v>
      </c>
      <c r="BQ71" s="182" t="n">
        <v>11461</v>
      </c>
      <c r="BR71" s="182" t="n">
        <v>11293</v>
      </c>
      <c r="BS71" s="182" t="n">
        <v>9415</v>
      </c>
      <c r="BT71" s="182" t="n">
        <v>8451</v>
      </c>
      <c r="BU71" s="182" t="n">
        <v>8277</v>
      </c>
      <c r="BV71" s="182">
        <f t="array" ref="BV71">_xlfn.XLOOKUP(1,(creditcard[YYYYMM]=BV$4)*(creditcard[Bank]=$A71),creditcard[當月發卡數])</f>
        <v/>
      </c>
      <c r="BW71" s="185">
        <f t="array" ref="BW71">_xlfn.XLOOKUP(1,(creditcard[YYYYMM]=BW$4)*(creditcard[Bank]=$A71),creditcard[當月發卡數])</f>
        <v/>
      </c>
      <c r="BX71" s="182">
        <f t="array" ref="BX71">_xlfn.XLOOKUP(1,(creditcard[YYYYMM]=BX$4)*(creditcard[Bank]=$A71),creditcard[當月發卡數])</f>
        <v/>
      </c>
      <c r="BY71" s="182">
        <f t="array" ref="BY71">_xlfn.XLOOKUP(1,(creditcard[YYYYMM]=BY$4)*(creditcard[Bank]=$A71),creditcard[當月發卡數],"")</f>
        <v/>
      </c>
      <c r="BZ71" s="182">
        <f t="array" ref="BZ71">_xlfn.XLOOKUP(1,(creditcard[YYYYMM]=BZ$4)*(creditcard[Bank]=$A71),creditcard[當月發卡數],"")</f>
        <v/>
      </c>
      <c r="CA71" s="182">
        <f t="array" ref="CA71">_xlfn.XLOOKUP(1,(creditcard[YYYYMM]=CA$4)*(creditcard[Bank]=$A71),creditcard[當月發卡數],"")</f>
        <v/>
      </c>
      <c r="CB71" s="182">
        <f t="array" ref="CB71">_xlfn.XLOOKUP(1,(creditcard[YYYYMM]=CB$4)*(creditcard[Bank]=$A71),creditcard[當月發卡數],"")</f>
        <v/>
      </c>
      <c r="CC71" s="182">
        <f t="array" ref="CC71">_xlfn.XLOOKUP(1,(creditcard[YYYYMM]=CC$4)*(creditcard[Bank]=$A71),creditcard[當月發卡數],"")</f>
        <v/>
      </c>
      <c r="CD71" s="182">
        <f t="array" ref="CD71">_xlfn.XLOOKUP(1,(creditcard[YYYYMM]=CD$4)*(creditcard[Bank]=$A71),creditcard[當月發卡數],"")</f>
        <v/>
      </c>
      <c r="CE71" s="182">
        <f t="array" ref="CE71">_xlfn.XLOOKUP(1,(creditcard[YYYYMM]=CE$4)*(creditcard[Bank]=$A71),creditcard[當月發卡數],"")</f>
        <v/>
      </c>
      <c r="CF71" s="182">
        <f t="array" ref="CF71">_xlfn.XLOOKUP(1,(creditcard[YYYYMM]=CF$4)*(creditcard[Bank]=$A71),creditcard[當月發卡數],"")</f>
        <v/>
      </c>
      <c r="CG71" s="182">
        <f t="array" ref="CG71">_xlfn.XLOOKUP(1,(creditcard[YYYYMM]=CG$4)*(creditcard[Bank]=$A71),creditcard[當月發卡數],"")</f>
        <v/>
      </c>
      <c r="CH71" s="182" t="n"/>
    </row>
    <row r="72">
      <c r="A72" s="174" t="inlineStr">
        <is>
          <t>遠東</t>
        </is>
      </c>
      <c r="B72" s="172" t="n">
        <v>9400</v>
      </c>
      <c r="C72" s="172" t="n">
        <v>11103</v>
      </c>
      <c r="D72" s="172" t="n">
        <v>9854</v>
      </c>
      <c r="E72" s="172" t="n">
        <v>10753</v>
      </c>
      <c r="F72" s="172" t="n">
        <v>11180</v>
      </c>
      <c r="G72" s="172" t="n">
        <v>10462</v>
      </c>
      <c r="H72" s="172" t="n">
        <v>11836</v>
      </c>
      <c r="I72" s="172" t="n">
        <v>10236</v>
      </c>
      <c r="J72" s="172" t="n">
        <v>9183</v>
      </c>
      <c r="K72" s="172" t="n">
        <v>12403</v>
      </c>
      <c r="L72" s="172" t="n">
        <v>13296</v>
      </c>
      <c r="M72" s="172" t="n">
        <v>10014</v>
      </c>
      <c r="N72" s="172" t="n">
        <v>10498</v>
      </c>
      <c r="O72" s="172" t="n">
        <v>9318</v>
      </c>
      <c r="P72" s="172" t="n">
        <v>9753</v>
      </c>
      <c r="Q72" s="172" t="n">
        <v>10479</v>
      </c>
      <c r="R72" s="172" t="n">
        <v>7490</v>
      </c>
      <c r="S72" s="172" t="n">
        <v>2670</v>
      </c>
      <c r="T72" s="172" t="n">
        <v>2773</v>
      </c>
      <c r="U72" s="172" t="n">
        <v>6285</v>
      </c>
      <c r="V72" s="172" t="n">
        <v>8105</v>
      </c>
      <c r="W72" s="172" t="n">
        <v>11234</v>
      </c>
      <c r="X72" s="172" t="n">
        <v>12208</v>
      </c>
      <c r="Y72" s="172" t="n">
        <v>6979</v>
      </c>
      <c r="Z72" s="173" t="n">
        <v>9204</v>
      </c>
      <c r="AA72" s="173" t="n">
        <v>10302</v>
      </c>
      <c r="AB72" s="173" t="n">
        <v>16809</v>
      </c>
      <c r="AC72" s="172" t="n">
        <v>11717</v>
      </c>
      <c r="AD72" s="182" t="n">
        <v>8752</v>
      </c>
      <c r="AE72" s="182" t="n">
        <v>10786</v>
      </c>
      <c r="AF72" s="172" t="n">
        <v>12621</v>
      </c>
      <c r="AG72" s="182" t="n">
        <v>13339</v>
      </c>
      <c r="AH72" s="172" t="n">
        <v>12953</v>
      </c>
      <c r="AI72" s="172" t="n">
        <v>15559</v>
      </c>
      <c r="AJ72" s="172" t="n">
        <v>14557</v>
      </c>
      <c r="AK72" s="172" t="n">
        <v>9645</v>
      </c>
      <c r="AL72" s="172" t="n">
        <v>12280</v>
      </c>
      <c r="AM72" s="172" t="n">
        <v>11553</v>
      </c>
      <c r="AN72" s="172" t="n">
        <v>11998</v>
      </c>
      <c r="AO72" s="172" t="n">
        <v>10275</v>
      </c>
      <c r="AP72" s="172" t="n">
        <v>10656</v>
      </c>
      <c r="AQ72" s="172" t="n">
        <v>9646</v>
      </c>
      <c r="AR72" s="172" t="n">
        <v>12088</v>
      </c>
      <c r="AS72" s="172" t="n">
        <v>12082</v>
      </c>
      <c r="AT72" s="172" t="n">
        <v>7722</v>
      </c>
      <c r="AU72" s="172" t="n">
        <v>8441</v>
      </c>
      <c r="AV72" s="172" t="n">
        <v>8650</v>
      </c>
      <c r="AW72" s="172" t="n">
        <v>6211</v>
      </c>
      <c r="AX72" s="182" t="n">
        <v>7661</v>
      </c>
      <c r="AY72" s="182" t="n">
        <v>5557</v>
      </c>
      <c r="AZ72" s="182" t="n">
        <v>6435</v>
      </c>
      <c r="BA72" s="182" t="n">
        <v>6275</v>
      </c>
      <c r="BB72" s="182" t="n">
        <v>6482</v>
      </c>
      <c r="BC72" s="182" t="n">
        <v>5505</v>
      </c>
      <c r="BD72" s="185" t="n">
        <v>6860</v>
      </c>
      <c r="BE72" s="182" t="n">
        <v>7416</v>
      </c>
      <c r="BF72" s="185" t="n">
        <v>8224</v>
      </c>
      <c r="BG72" s="182" t="n">
        <v>9736</v>
      </c>
      <c r="BH72" s="182" t="n">
        <v>9663</v>
      </c>
      <c r="BI72" s="182" t="n">
        <v>7078</v>
      </c>
      <c r="BJ72" s="185" t="n">
        <v>7830</v>
      </c>
      <c r="BK72" s="185" t="n">
        <v>8005</v>
      </c>
      <c r="BL72" s="185" t="n">
        <v>8162</v>
      </c>
      <c r="BM72" s="185" t="n">
        <v>8163</v>
      </c>
      <c r="BN72" s="182" t="n">
        <v>8816</v>
      </c>
      <c r="BO72" s="182" t="n">
        <v>7187</v>
      </c>
      <c r="BP72" s="182" t="n">
        <v>8711</v>
      </c>
      <c r="BQ72" s="182" t="n">
        <v>7637</v>
      </c>
      <c r="BR72" s="182" t="n">
        <v>7476</v>
      </c>
      <c r="BS72" s="182" t="n">
        <v>7184</v>
      </c>
      <c r="BT72" s="182" t="n">
        <v>6552</v>
      </c>
      <c r="BU72" s="182" t="n">
        <v>5702</v>
      </c>
      <c r="BV72" s="182">
        <f t="array" ref="BV72">_xlfn.XLOOKUP(1,(creditcard[YYYYMM]=BV$4)*(creditcard[Bank]=$A72),creditcard[當月發卡數])</f>
        <v/>
      </c>
      <c r="BW72" s="185">
        <f t="array" ref="BW72">_xlfn.XLOOKUP(1,(creditcard[YYYYMM]=BW$4)*(creditcard[Bank]=$A72),creditcard[當月發卡數])</f>
        <v/>
      </c>
      <c r="BX72" s="182">
        <f t="array" ref="BX72">_xlfn.XLOOKUP(1,(creditcard[YYYYMM]=BX$4)*(creditcard[Bank]=$A72),creditcard[當月發卡數])</f>
        <v/>
      </c>
      <c r="BY72" s="182">
        <f t="array" ref="BY72">_xlfn.XLOOKUP(1,(creditcard[YYYYMM]=BY$4)*(creditcard[Bank]=$A72),creditcard[當月發卡數],"")</f>
        <v/>
      </c>
      <c r="BZ72" s="182">
        <f t="array" ref="BZ72">_xlfn.XLOOKUP(1,(creditcard[YYYYMM]=BZ$4)*(creditcard[Bank]=$A72),creditcard[當月發卡數],"")</f>
        <v/>
      </c>
      <c r="CA72" s="182">
        <f t="array" ref="CA72">_xlfn.XLOOKUP(1,(creditcard[YYYYMM]=CA$4)*(creditcard[Bank]=$A72),creditcard[當月發卡數],"")</f>
        <v/>
      </c>
      <c r="CB72" s="182">
        <f t="array" ref="CB72">_xlfn.XLOOKUP(1,(creditcard[YYYYMM]=CB$4)*(creditcard[Bank]=$A72),creditcard[當月發卡數],"")</f>
        <v/>
      </c>
      <c r="CC72" s="182">
        <f t="array" ref="CC72">_xlfn.XLOOKUP(1,(creditcard[YYYYMM]=CC$4)*(creditcard[Bank]=$A72),creditcard[當月發卡數],"")</f>
        <v/>
      </c>
      <c r="CD72" s="182">
        <f t="array" ref="CD72">_xlfn.XLOOKUP(1,(creditcard[YYYYMM]=CD$4)*(creditcard[Bank]=$A72),creditcard[當月發卡數],"")</f>
        <v/>
      </c>
      <c r="CE72" s="182">
        <f t="array" ref="CE72">_xlfn.XLOOKUP(1,(creditcard[YYYYMM]=CE$4)*(creditcard[Bank]=$A72),creditcard[當月發卡數],"")</f>
        <v/>
      </c>
      <c r="CF72" s="182">
        <f t="array" ref="CF72">_xlfn.XLOOKUP(1,(creditcard[YYYYMM]=CF$4)*(creditcard[Bank]=$A72),creditcard[當月發卡數],"")</f>
        <v/>
      </c>
      <c r="CG72" s="182">
        <f t="array" ref="CG72">_xlfn.XLOOKUP(1,(creditcard[YYYYMM]=CG$4)*(creditcard[Bank]=$A72),creditcard[當月發卡數],"")</f>
        <v/>
      </c>
      <c r="CH72" s="182" t="n"/>
    </row>
    <row r="73">
      <c r="A73" s="170" t="inlineStr">
        <is>
          <t>市場總計</t>
        </is>
      </c>
      <c r="B73" s="170" t="n">
        <v>596373</v>
      </c>
      <c r="C73" s="170" t="n">
        <v>587051</v>
      </c>
      <c r="D73" s="170" t="n">
        <v>576546</v>
      </c>
      <c r="E73" s="170" t="n">
        <v>574479</v>
      </c>
      <c r="F73" s="170" t="n">
        <v>469613</v>
      </c>
      <c r="G73" s="170" t="n">
        <v>468693</v>
      </c>
      <c r="H73" s="170" t="n">
        <v>653454</v>
      </c>
      <c r="I73" s="170" t="n">
        <v>497706</v>
      </c>
      <c r="J73" s="170" t="n">
        <v>533012</v>
      </c>
      <c r="K73" s="170" t="n">
        <v>465798</v>
      </c>
      <c r="L73" s="170" t="n">
        <v>491712</v>
      </c>
      <c r="M73" s="170" t="n">
        <v>482669</v>
      </c>
      <c r="N73" s="170" t="n">
        <v>571989</v>
      </c>
      <c r="O73" s="170" t="n">
        <v>405342</v>
      </c>
      <c r="P73" s="170" t="n">
        <v>596684</v>
      </c>
      <c r="Q73" s="170" t="n">
        <v>519526</v>
      </c>
      <c r="R73" s="170" t="n">
        <v>438097</v>
      </c>
      <c r="S73" s="170" t="n">
        <v>294140</v>
      </c>
      <c r="T73" s="170" t="n">
        <v>397225</v>
      </c>
      <c r="U73" s="170" t="n">
        <v>536392</v>
      </c>
      <c r="V73" s="170" t="n">
        <v>582576</v>
      </c>
      <c r="W73" s="170" t="n">
        <v>526310</v>
      </c>
      <c r="X73" s="170" t="n">
        <v>522647</v>
      </c>
      <c r="Y73" s="170" t="n">
        <v>506166</v>
      </c>
      <c r="Z73" s="175" t="n">
        <v>517610</v>
      </c>
      <c r="AA73" s="175" t="n">
        <v>401979</v>
      </c>
      <c r="AB73" s="175" t="n">
        <v>564258</v>
      </c>
      <c r="AC73" s="184" t="n">
        <v>462804</v>
      </c>
      <c r="AD73" s="184" t="n">
        <v>471313</v>
      </c>
      <c r="AE73" s="184" t="n">
        <v>504832</v>
      </c>
      <c r="AF73" s="175" t="n">
        <v>543748</v>
      </c>
      <c r="AG73" s="184" t="n">
        <v>550468</v>
      </c>
      <c r="AH73" s="175" t="n">
        <v>491259</v>
      </c>
      <c r="AI73" s="175" t="n">
        <v>507423</v>
      </c>
      <c r="AJ73" s="175" t="n">
        <v>569687</v>
      </c>
      <c r="AK73" s="175" t="n">
        <v>1472630</v>
      </c>
      <c r="AL73" s="175" t="n">
        <v>901005</v>
      </c>
      <c r="AM73" s="175" t="n">
        <v>1512004</v>
      </c>
      <c r="AN73" s="175" t="n">
        <v>1563264</v>
      </c>
      <c r="AO73" s="175" t="n">
        <v>695336</v>
      </c>
      <c r="AP73" s="175" t="n">
        <v>939348</v>
      </c>
      <c r="AQ73" s="175" t="n">
        <v>767591</v>
      </c>
      <c r="AR73" s="175" t="n">
        <v>1037772</v>
      </c>
      <c r="AS73" s="175" t="n">
        <v>923995</v>
      </c>
      <c r="AT73" s="175" t="n">
        <v>634674</v>
      </c>
      <c r="AU73" s="175" t="n">
        <v>616859</v>
      </c>
      <c r="AV73" s="175" t="n">
        <v>571927</v>
      </c>
      <c r="AW73" s="175" t="n">
        <v>491768</v>
      </c>
      <c r="AX73" s="175" t="n">
        <v>1185495</v>
      </c>
      <c r="AY73" s="175" t="n">
        <v>601782</v>
      </c>
      <c r="AZ73" s="175" t="n">
        <v>667358</v>
      </c>
      <c r="BA73" s="175" t="n">
        <v>586399</v>
      </c>
      <c r="BB73" s="175" t="n">
        <v>964348</v>
      </c>
      <c r="BC73" s="175" t="n">
        <v>459808</v>
      </c>
      <c r="BD73" s="175" t="n">
        <v>587441</v>
      </c>
      <c r="BE73" s="175" t="n">
        <v>534902</v>
      </c>
      <c r="BF73" s="175" t="n">
        <v>488460</v>
      </c>
      <c r="BG73" s="175" t="n">
        <v>518016</v>
      </c>
      <c r="BH73" s="175" t="n">
        <v>521974</v>
      </c>
      <c r="BI73" s="175" t="n">
        <v>445243</v>
      </c>
      <c r="BJ73" s="175" t="n">
        <v>387466</v>
      </c>
      <c r="BK73" s="187" t="n">
        <v>423604</v>
      </c>
      <c r="BL73" s="187" t="n">
        <v>732411</v>
      </c>
      <c r="BM73" s="175" t="n">
        <v>905147</v>
      </c>
      <c r="BN73" s="175" t="n">
        <v>770180</v>
      </c>
      <c r="BO73" s="175" t="n">
        <v>520101</v>
      </c>
      <c r="BP73" s="175" t="n">
        <v>486815</v>
      </c>
      <c r="BQ73" s="175" t="n">
        <v>624107</v>
      </c>
      <c r="BR73" s="175" t="n">
        <v>686004</v>
      </c>
      <c r="BS73" s="175" t="n">
        <v>547476</v>
      </c>
      <c r="BT73" s="175" t="n">
        <v>485113</v>
      </c>
      <c r="BU73" s="175" t="n">
        <v>570553</v>
      </c>
      <c r="BV73" s="175">
        <f t="array" ref="BV73">_xlfn.XLOOKUP(1,(creditcard[YYYYMM]=BV$4)*(creditcard[Bank]=$A73),creditcard[當月發卡數])</f>
        <v/>
      </c>
      <c r="BW73" s="175">
        <f t="array" ref="BW73">_xlfn.XLOOKUP(1,(creditcard[YYYYMM]=BW$4)*(creditcard[Bank]=$A73),creditcard[當月發卡數])</f>
        <v/>
      </c>
      <c r="BX73" s="175">
        <f t="array" ref="BX73">_xlfn.XLOOKUP(1,(creditcard[YYYYMM]=BX$4)*(creditcard[Bank]=$A73),creditcard[當月發卡數])</f>
        <v/>
      </c>
      <c r="BY73" s="175">
        <f t="array" ref="BY73">_xlfn.XLOOKUP(1,(creditcard[YYYYMM]=BY$4)*(creditcard[Bank]=$A73),creditcard[當月發卡數],"")</f>
        <v/>
      </c>
      <c r="BZ73" s="175">
        <f t="array" ref="BZ73">_xlfn.XLOOKUP(1,(creditcard[YYYYMM]=BZ$4)*(creditcard[Bank]=$A73),creditcard[當月發卡數],"")</f>
        <v/>
      </c>
      <c r="CA73" s="175">
        <f t="array" ref="CA73">_xlfn.XLOOKUP(1,(creditcard[YYYYMM]=CA$4)*(creditcard[Bank]=$A73),creditcard[當月發卡數],"")</f>
        <v/>
      </c>
      <c r="CB73" s="175">
        <f t="array" ref="CB73">_xlfn.XLOOKUP(1,(creditcard[YYYYMM]=CB$4)*(creditcard[Bank]=$A73),creditcard[當月發卡數],"")</f>
        <v/>
      </c>
      <c r="CC73" s="175">
        <f t="array" ref="CC73">_xlfn.XLOOKUP(1,(creditcard[YYYYMM]=CC$4)*(creditcard[Bank]=$A73),creditcard[當月發卡數],"")</f>
        <v/>
      </c>
      <c r="CD73" s="175">
        <f t="array" ref="CD73">_xlfn.XLOOKUP(1,(creditcard[YYYYMM]=CD$4)*(creditcard[Bank]=$A73),creditcard[當月發卡數],"")</f>
        <v/>
      </c>
      <c r="CE73" s="175">
        <f t="array" ref="CE73">_xlfn.XLOOKUP(1,(creditcard[YYYYMM]=CE$4)*(creditcard[Bank]=$A73),creditcard[當月發卡數],"")</f>
        <v/>
      </c>
      <c r="CF73" s="175">
        <f t="array" ref="CF73">_xlfn.XLOOKUP(1,(creditcard[YYYYMM]=CF$4)*(creditcard[Bank]=$A73),creditcard[當月發卡數],"")</f>
        <v/>
      </c>
      <c r="CG73" s="175">
        <f t="array" ref="CG73">_xlfn.XLOOKUP(1,(creditcard[YYYYMM]=CG$4)*(creditcard[Bank]=$A73),creditcard[當月發卡數],"")</f>
        <v/>
      </c>
      <c r="CH73" s="182" t="n"/>
    </row>
    <row r="74" ht="12.75" customFormat="1" customHeight="1" s="73">
      <c r="A74" s="176" t="inlineStr">
        <is>
          <t>TOP5</t>
        </is>
      </c>
      <c r="B74" s="177">
        <f>IFERROR(SUM(B63:B67)/B73,"")</f>
        <v/>
      </c>
      <c r="C74" s="177">
        <f>IFERROR(SUM(C63:C67)/C73,"")</f>
        <v/>
      </c>
      <c r="D74" s="177">
        <f>IFERROR(SUM(D63:D67)/D73,"")</f>
        <v/>
      </c>
      <c r="E74" s="177">
        <f>IFERROR(SUM(E63:E67)/E73,"")</f>
        <v/>
      </c>
      <c r="F74" s="177">
        <f>IFERROR(SUM(F63:F67)/F73,"")</f>
        <v/>
      </c>
      <c r="G74" s="177">
        <f>IFERROR(SUM(G63:G67)/G73,"")</f>
        <v/>
      </c>
      <c r="H74" s="177">
        <f>IFERROR(SUM(H63:H67)/H73,"")</f>
        <v/>
      </c>
      <c r="I74" s="177">
        <f>IFERROR(SUM(I63:I67)/I73,"")</f>
        <v/>
      </c>
      <c r="J74" s="177">
        <f>IFERROR(SUM(J63:J67)/J73,"")</f>
        <v/>
      </c>
      <c r="K74" s="177">
        <f>IFERROR(SUM(K63:K67)/K73,"")</f>
        <v/>
      </c>
      <c r="L74" s="177">
        <f>IFERROR(SUM(L63:L67)/L73,"")</f>
        <v/>
      </c>
      <c r="M74" s="177">
        <f>IFERROR(SUM(M63:M67)/M73,"")</f>
        <v/>
      </c>
      <c r="N74" s="177">
        <f>IFERROR(SUM(N63:N67)/N73,"")</f>
        <v/>
      </c>
      <c r="O74" s="177">
        <f>IFERROR(SUM(O63:O67)/O73,"")</f>
        <v/>
      </c>
      <c r="P74" s="177">
        <f>IFERROR(SUM(P63:P67)/P73,"")</f>
        <v/>
      </c>
      <c r="Q74" s="177">
        <f>IFERROR(SUM(Q63:Q67)/Q73,"")</f>
        <v/>
      </c>
      <c r="R74" s="177">
        <f>IFERROR(SUM(R63:R67)/R73,"")</f>
        <v/>
      </c>
      <c r="S74" s="177">
        <f>IFERROR(SUM(S63:S67)/S73,"")</f>
        <v/>
      </c>
      <c r="T74" s="177">
        <f>IFERROR(SUM(T63:T67)/T73,"")</f>
        <v/>
      </c>
      <c r="U74" s="177">
        <f>IFERROR(SUM(U63:U67)/U73,"")</f>
        <v/>
      </c>
      <c r="V74" s="177">
        <f>IFERROR(SUM(V63:V67)/V73,"")</f>
        <v/>
      </c>
      <c r="W74" s="177">
        <f>IFERROR(SUM(W63:W67)/W73,"")</f>
        <v/>
      </c>
      <c r="X74" s="177">
        <f>IFERROR(SUM(X63:X67)/X73,"")</f>
        <v/>
      </c>
      <c r="Y74" s="177">
        <f>IFERROR(SUM(Y63:Y67)/Y73,"")</f>
        <v/>
      </c>
      <c r="Z74" s="177">
        <f>IFERROR(SUM(Z63:Z67)/Z73,"")</f>
        <v/>
      </c>
      <c r="AA74" s="177">
        <f>IFERROR(SUM(AA63:AA67)/AA73,"")</f>
        <v/>
      </c>
      <c r="AB74" s="177">
        <f>IFERROR(SUM(AB63:AB67)/AB73,"")</f>
        <v/>
      </c>
      <c r="AC74" s="177">
        <f>IFERROR(SUM(AC63:AC67)/AC73,"")</f>
        <v/>
      </c>
      <c r="AD74" s="177">
        <f>IFERROR(SUM(AD63:AD67)/AD73,"")</f>
        <v/>
      </c>
      <c r="AE74" s="177">
        <f>IFERROR(SUM(AE63:AE67)/AE73,"")</f>
        <v/>
      </c>
      <c r="AF74" s="177">
        <f>IFERROR(SUM(AF63:AF67)/AF73,"")</f>
        <v/>
      </c>
      <c r="AG74" s="177">
        <f>IFERROR(SUM(AG63:AG67)/AG73,"")</f>
        <v/>
      </c>
      <c r="AH74" s="177">
        <f>IFERROR(SUM(AH63:AH67)/AH73,"")</f>
        <v/>
      </c>
      <c r="AI74" s="177">
        <f>IFERROR(SUM(AI63:AI67)/AI73,"")</f>
        <v/>
      </c>
      <c r="AJ74" s="177">
        <f>IFERROR(SUM(AJ63:AJ67)/AJ73,"")</f>
        <v/>
      </c>
      <c r="AK74" s="177">
        <f>IFERROR(SUM(AK63:AK67)/AK73,"")</f>
        <v/>
      </c>
      <c r="AL74" s="177">
        <f>IFERROR(SUM(AL63:AL67)/AL73,"")</f>
        <v/>
      </c>
      <c r="AM74" s="177">
        <f>IFERROR(SUM(AM63:AM67)/AM73,"")</f>
        <v/>
      </c>
      <c r="AN74" s="177">
        <f>IFERROR(SUM(AN63:AN67)/AN73,"")</f>
        <v/>
      </c>
      <c r="AO74" s="177">
        <f>IFERROR(SUM(AO63:AO67)/AO73,"")</f>
        <v/>
      </c>
      <c r="AP74" s="177">
        <f>IFERROR(SUM(AP63:AP67)/AP73,"")</f>
        <v/>
      </c>
      <c r="AQ74" s="177">
        <f>IFERROR(SUM(AQ63:AQ67)/AQ73,"")</f>
        <v/>
      </c>
      <c r="AR74" s="177">
        <f>IFERROR(SUM(AR63:AR67)/AR73,"")</f>
        <v/>
      </c>
      <c r="AS74" s="177">
        <f>IFERROR(SUM(AS63:AS67)/AS73,"")</f>
        <v/>
      </c>
      <c r="AT74" s="177">
        <f>IFERROR(SUM(AT63:AT67)/AT73,"")</f>
        <v/>
      </c>
      <c r="AU74" s="177">
        <f>IFERROR(SUM(AU63:AU67)/AU73,"")</f>
        <v/>
      </c>
      <c r="AV74" s="177">
        <f>IFERROR(SUM(AV63:AV67)/AV73,"")</f>
        <v/>
      </c>
      <c r="AW74" s="177">
        <f>IFERROR(SUM(AW63:AW67)/AW73,"")</f>
        <v/>
      </c>
      <c r="AX74" s="177">
        <f>IFERROR(SUM(AX63:AX67)/AX73,"")</f>
        <v/>
      </c>
      <c r="AY74" s="177">
        <f>IFERROR(SUM(AY63:AY67)/AY73,"")</f>
        <v/>
      </c>
      <c r="AZ74" s="177">
        <f>IFERROR(SUM(AZ63:AZ67)/AZ73,"")</f>
        <v/>
      </c>
      <c r="BA74" s="177">
        <f>IFERROR(SUM(BA63:BA67)/BA73,"")</f>
        <v/>
      </c>
      <c r="BB74" s="177">
        <f>IFERROR(SUM(BB63:BB67)/BB73,"")</f>
        <v/>
      </c>
      <c r="BC74" s="177">
        <f>IFERROR(SUM(BC63:BC67)/BC73,"")</f>
        <v/>
      </c>
      <c r="BD74" s="177">
        <f>IFERROR(SUM(BD63:BD67)/BD73,"")</f>
        <v/>
      </c>
      <c r="BE74" s="177">
        <f>IFERROR(SUM(BE63:BE67)/BE73,"")</f>
        <v/>
      </c>
      <c r="BF74" s="177">
        <f>IFERROR(SUM(BF63:BF67)/BF73,"")</f>
        <v/>
      </c>
      <c r="BG74" s="177">
        <f>IFERROR(SUM(BG63:BG67)/BG73,"")</f>
        <v/>
      </c>
      <c r="BH74" s="177">
        <f>IFERROR(SUM(BH63:BH67)/BH73,"")</f>
        <v/>
      </c>
      <c r="BI74" s="177">
        <f>IFERROR(SUM(BI63:BI67)/BI73,"")</f>
        <v/>
      </c>
      <c r="BJ74" s="177">
        <f>IFERROR(SUM(BJ63:BJ67)/BJ73,"")</f>
        <v/>
      </c>
      <c r="BK74" s="177">
        <f>IFERROR(SUM(BK63:BK67)/BK73,"")</f>
        <v/>
      </c>
      <c r="BL74" s="177">
        <f>IFERROR(SUM(BL63:BL67)/BL73,"")</f>
        <v/>
      </c>
      <c r="BM74" s="177">
        <f>IFERROR(SUM(BM63:BM67)/BM73,"")</f>
        <v/>
      </c>
      <c r="BN74" s="177">
        <f>IFERROR(SUM(BN63:BN67)/BN73,"")</f>
        <v/>
      </c>
      <c r="BO74" s="177">
        <f>IFERROR(SUM(BO63:BO67)/BO73,"")</f>
        <v/>
      </c>
      <c r="BP74" s="177">
        <f>IFERROR(SUM(BP63:BP67)/BP73,"")</f>
        <v/>
      </c>
      <c r="BQ74" s="177">
        <f>IFERROR(SUM(BQ63:BQ67)/BQ73,"")</f>
        <v/>
      </c>
      <c r="BR74" s="177">
        <f>IFERROR(SUM(BR63:BR67)/BR73,"")</f>
        <v/>
      </c>
      <c r="BS74" s="177">
        <f>IFERROR(SUM(BS63:BS67)/BS73,"")</f>
        <v/>
      </c>
      <c r="BT74" s="177">
        <f>IFERROR(SUM(BT63:BT67)/BT73,"")</f>
        <v/>
      </c>
      <c r="BU74" s="177">
        <f>IFERROR(SUM(BU63:BU67)/BU73,"")</f>
        <v/>
      </c>
      <c r="BV74" s="177">
        <f>IFERROR(SUM(BV63:BV67)/BV73,"")</f>
        <v/>
      </c>
      <c r="BW74" s="177">
        <f>IFERROR(SUM(BW63:BW67)/BW73,"")</f>
        <v/>
      </c>
      <c r="BX74" s="177">
        <f>IFERROR(SUM(BX63:BX67)/BX73,"")</f>
        <v/>
      </c>
      <c r="BY74" s="177">
        <f>IFERROR(SUM(BY63:BY67)/BY73,"")</f>
        <v/>
      </c>
      <c r="BZ74" s="177">
        <f>IFERROR(SUM(BZ63:BZ67)/BZ73,"")</f>
        <v/>
      </c>
      <c r="CA74" s="177">
        <f>IFERROR(SUM(CA63:CA67)/CA73,"")</f>
        <v/>
      </c>
      <c r="CB74" s="177">
        <f>IFERROR(SUM(CB63:CB67)/CB73,"")</f>
        <v/>
      </c>
      <c r="CC74" s="177">
        <f>IFERROR(SUM(CC63:CC67)/CC73,"")</f>
        <v/>
      </c>
      <c r="CD74" s="177">
        <f>IFERROR(SUM(CD63:CD67)/CD73,"")</f>
        <v/>
      </c>
      <c r="CE74" s="177">
        <f>IFERROR(SUM(CE63:CE67)/CE73,"")</f>
        <v/>
      </c>
      <c r="CF74" s="177">
        <f>IFERROR(SUM(CF63:CF67)/CF73,"")</f>
        <v/>
      </c>
      <c r="CG74" s="177">
        <f>IFERROR(SUM(CG63:CG67)/CG73,"")</f>
        <v/>
      </c>
      <c r="CH74" s="177" t="n"/>
    </row>
    <row r="75" ht="12.75" customFormat="1" customHeight="1" s="73">
      <c r="A75" s="176" t="inlineStr">
        <is>
          <t>TOP10</t>
        </is>
      </c>
      <c r="B75" s="177">
        <f>IFERROR(SUM(B63:B72)/B73,"")</f>
        <v/>
      </c>
      <c r="C75" s="177">
        <f>IFERROR(SUM(C63:C72)/C73,"")</f>
        <v/>
      </c>
      <c r="D75" s="177">
        <f>IFERROR(SUM(D63:D72)/D73,"")</f>
        <v/>
      </c>
      <c r="E75" s="177">
        <f>IFERROR(SUM(E63:E72)/E73,"")</f>
        <v/>
      </c>
      <c r="F75" s="177">
        <f>IFERROR(SUM(F63:F72)/F73,"")</f>
        <v/>
      </c>
      <c r="G75" s="177">
        <f>IFERROR(SUM(G63:G72)/G73,"")</f>
        <v/>
      </c>
      <c r="H75" s="177">
        <f>IFERROR(SUM(H63:H72)/H73,"")</f>
        <v/>
      </c>
      <c r="I75" s="177">
        <f>IFERROR(SUM(I63:I72)/I73,"")</f>
        <v/>
      </c>
      <c r="J75" s="177">
        <f>IFERROR(SUM(J63:J72)/J73,"")</f>
        <v/>
      </c>
      <c r="K75" s="177">
        <f>IFERROR(SUM(K63:K72)/K73,"")</f>
        <v/>
      </c>
      <c r="L75" s="177">
        <f>IFERROR(SUM(L63:L72)/L73,"")</f>
        <v/>
      </c>
      <c r="M75" s="177">
        <f>IFERROR(SUM(M63:M72)/M73,"")</f>
        <v/>
      </c>
      <c r="N75" s="177">
        <f>IFERROR(SUM(N63:N72)/N73,"")</f>
        <v/>
      </c>
      <c r="O75" s="177">
        <f>IFERROR(SUM(O63:O72)/O73,"")</f>
        <v/>
      </c>
      <c r="P75" s="177">
        <f>IFERROR(SUM(P63:P72)/P73,"")</f>
        <v/>
      </c>
      <c r="Q75" s="177">
        <f>IFERROR(SUM(Q63:Q72)/Q73,"")</f>
        <v/>
      </c>
      <c r="R75" s="177">
        <f>IFERROR(SUM(R63:R72)/R73,"")</f>
        <v/>
      </c>
      <c r="S75" s="177">
        <f>IFERROR(SUM(S63:S72)/S73,"")</f>
        <v/>
      </c>
      <c r="T75" s="177">
        <f>IFERROR(SUM(T63:T72)/T73,"")</f>
        <v/>
      </c>
      <c r="U75" s="177">
        <f>IFERROR(SUM(U63:U72)/U73,"")</f>
        <v/>
      </c>
      <c r="V75" s="177">
        <f>IFERROR(SUM(V63:V72)/V73,"")</f>
        <v/>
      </c>
      <c r="W75" s="177">
        <f>IFERROR(SUM(W63:W72)/W73,"")</f>
        <v/>
      </c>
      <c r="X75" s="177">
        <f>IFERROR(SUM(X63:X72)/X73,"")</f>
        <v/>
      </c>
      <c r="Y75" s="177">
        <f>IFERROR(SUM(Y63:Y72)/Y73,"")</f>
        <v/>
      </c>
      <c r="Z75" s="177">
        <f>IFERROR(SUM(Z63:Z72)/Z73,"")</f>
        <v/>
      </c>
      <c r="AA75" s="177">
        <f>IFERROR(SUM(AA63:AA72)/AA73,"")</f>
        <v/>
      </c>
      <c r="AB75" s="177">
        <f>IFERROR(SUM(AB63:AB72)/AB73,"")</f>
        <v/>
      </c>
      <c r="AC75" s="177">
        <f>IFERROR(SUM(AC63:AC72)/AC73,"")</f>
        <v/>
      </c>
      <c r="AD75" s="177">
        <f>IFERROR(SUM(AD63:AD72)/AD73,"")</f>
        <v/>
      </c>
      <c r="AE75" s="177">
        <f>IFERROR(SUM(AE63:AE72)/AE73,"")</f>
        <v/>
      </c>
      <c r="AF75" s="177">
        <f>IFERROR(SUM(AF63:AF72)/AF73,"")</f>
        <v/>
      </c>
      <c r="AG75" s="177">
        <f>IFERROR(SUM(AG63:AG72)/AG73,"")</f>
        <v/>
      </c>
      <c r="AH75" s="177">
        <f>IFERROR(SUM(AH63:AH72)/AH73,"")</f>
        <v/>
      </c>
      <c r="AI75" s="177">
        <f>IFERROR(SUM(AI63:AI72)/AI73,"")</f>
        <v/>
      </c>
      <c r="AJ75" s="177">
        <f>IFERROR(SUM(AJ63:AJ72)/AJ73,"")</f>
        <v/>
      </c>
      <c r="AK75" s="177">
        <f>IFERROR(SUM(AK63:AK72)/AK73,"")</f>
        <v/>
      </c>
      <c r="AL75" s="177">
        <f>IFERROR(SUM(AL63:AL72)/AL73,"")</f>
        <v/>
      </c>
      <c r="AM75" s="177">
        <f>IFERROR(SUM(AM63:AM72)/AM73,"")</f>
        <v/>
      </c>
      <c r="AN75" s="177">
        <f>IFERROR(SUM(AN63:AN72)/AN73,"")</f>
        <v/>
      </c>
      <c r="AO75" s="177">
        <f>IFERROR(SUM(AO63:AO72)/AO73,"")</f>
        <v/>
      </c>
      <c r="AP75" s="177">
        <f>IFERROR(SUM(AP63:AP72)/AP73,"")</f>
        <v/>
      </c>
      <c r="AQ75" s="177">
        <f>IFERROR(SUM(AQ63:AQ72)/AQ73,"")</f>
        <v/>
      </c>
      <c r="AR75" s="177">
        <f>IFERROR(SUM(AR63:AR72)/AR73,"")</f>
        <v/>
      </c>
      <c r="AS75" s="177">
        <f>IFERROR(SUM(AS63:AS72)/AS73,"")</f>
        <v/>
      </c>
      <c r="AT75" s="177">
        <f>IFERROR(SUM(AT63:AT72)/AT73,"")</f>
        <v/>
      </c>
      <c r="AU75" s="177">
        <f>IFERROR(SUM(AU63:AU72)/AU73,"")</f>
        <v/>
      </c>
      <c r="AV75" s="177">
        <f>IFERROR(SUM(AV63:AV72)/AV73,"")</f>
        <v/>
      </c>
      <c r="AW75" s="177">
        <f>IFERROR(SUM(AW63:AW72)/AW73,"")</f>
        <v/>
      </c>
      <c r="AX75" s="177">
        <f>IFERROR(SUM(AX63:AX72)/AX73,"")</f>
        <v/>
      </c>
      <c r="AY75" s="177">
        <f>IFERROR(SUM(AY63:AY72)/AY73,"")</f>
        <v/>
      </c>
      <c r="AZ75" s="177">
        <f>IFERROR(SUM(AZ63:AZ72)/AZ73,"")</f>
        <v/>
      </c>
      <c r="BA75" s="177">
        <f>IFERROR(SUM(BA63:BA72)/BA73,"")</f>
        <v/>
      </c>
      <c r="BB75" s="177">
        <f>IFERROR(SUM(BB63:BB72)/BB73,"")</f>
        <v/>
      </c>
      <c r="BC75" s="177">
        <f>IFERROR(SUM(BC63:BC72)/BC73,"")</f>
        <v/>
      </c>
      <c r="BD75" s="177">
        <f>IFERROR(SUM(BD63:BD72)/BD73,"")</f>
        <v/>
      </c>
      <c r="BE75" s="177">
        <f>IFERROR(SUM(BE63:BE72)/BE73,"")</f>
        <v/>
      </c>
      <c r="BF75" s="177">
        <f>IFERROR(SUM(BF63:BF72)/BF73,"")</f>
        <v/>
      </c>
      <c r="BG75" s="177">
        <f>IFERROR(SUM(BG63:BG72)/BG73,"")</f>
        <v/>
      </c>
      <c r="BH75" s="177">
        <f>IFERROR(SUM(BH63:BH72)/BH73,"")</f>
        <v/>
      </c>
      <c r="BI75" s="177">
        <f>IFERROR(SUM(BI63:BI72)/BI73,"")</f>
        <v/>
      </c>
      <c r="BJ75" s="177">
        <f>IFERROR(SUM(BJ63:BJ72)/BJ73,"")</f>
        <v/>
      </c>
      <c r="BK75" s="177">
        <f>IFERROR(SUM(BK63:BK72)/BK73,"")</f>
        <v/>
      </c>
      <c r="BL75" s="177">
        <f>IFERROR(SUM(BL63:BL72)/BL73,"")</f>
        <v/>
      </c>
      <c r="BM75" s="177">
        <f>IFERROR(SUM(BM63:BM72)/BM73,"")</f>
        <v/>
      </c>
      <c r="BN75" s="177">
        <f>IFERROR(SUM(BN63:BN72)/BN73,"")</f>
        <v/>
      </c>
      <c r="BO75" s="177">
        <f>IFERROR(SUM(BO63:BO72)/BO73,"")</f>
        <v/>
      </c>
      <c r="BP75" s="177">
        <f>IFERROR(SUM(BP63:BP72)/BP73,"")</f>
        <v/>
      </c>
      <c r="BQ75" s="177">
        <f>IFERROR(SUM(BQ63:BQ72)/BQ73,"")</f>
        <v/>
      </c>
      <c r="BR75" s="177">
        <f>IFERROR(SUM(BR63:BR72)/BR73,"")</f>
        <v/>
      </c>
      <c r="BS75" s="177">
        <f>IFERROR(SUM(BS63:BS72)/BS73,"")</f>
        <v/>
      </c>
      <c r="BT75" s="177">
        <f>IFERROR(SUM(BT63:BT72)/BT73,"")</f>
        <v/>
      </c>
      <c r="BU75" s="177">
        <f>IFERROR(SUM(BU63:BU72)/BU73,"")</f>
        <v/>
      </c>
      <c r="BV75" s="177">
        <f>IFERROR(SUM(BV63:BV72)/BV73,"")</f>
        <v/>
      </c>
      <c r="BW75" s="177">
        <f>IFERROR(SUM(BW63:BW72)/BW73,"")</f>
        <v/>
      </c>
      <c r="BX75" s="177">
        <f>IFERROR(SUM(BX63:BX72)/BX73,"")</f>
        <v/>
      </c>
      <c r="BY75" s="177">
        <f>IFERROR(SUM(BY63:BY72)/BY73,"")</f>
        <v/>
      </c>
      <c r="BZ75" s="177">
        <f>IFERROR(SUM(BZ63:BZ72)/BZ73,"")</f>
        <v/>
      </c>
      <c r="CA75" s="177">
        <f>IFERROR(SUM(CA63:CA72)/CA73,"")</f>
        <v/>
      </c>
      <c r="CB75" s="177">
        <f>IFERROR(SUM(CB63:CB72)/CB73,"")</f>
        <v/>
      </c>
      <c r="CC75" s="177">
        <f>IFERROR(SUM(CC63:CC72)/CC73,"")</f>
        <v/>
      </c>
      <c r="CD75" s="177">
        <f>IFERROR(SUM(CD63:CD72)/CD73,"")</f>
        <v/>
      </c>
      <c r="CE75" s="177">
        <f>IFERROR(SUM(CE63:CE72)/CE73,"")</f>
        <v/>
      </c>
      <c r="CF75" s="177">
        <f>IFERROR(SUM(CF63:CF72)/CF73,"")</f>
        <v/>
      </c>
      <c r="CG75" s="177">
        <f>IFERROR(SUM(CG63:CG72)/CG73,"")</f>
        <v/>
      </c>
      <c r="CH75" s="177" t="n"/>
    </row>
    <row r="76" ht="12.75" customFormat="1" customHeight="1" s="73">
      <c r="A76" s="176" t="n"/>
      <c r="B76" s="177" t="n"/>
      <c r="C76" s="177" t="n"/>
      <c r="D76" s="177" t="n"/>
      <c r="E76" s="177" t="n"/>
      <c r="F76" s="177" t="n"/>
      <c r="G76" s="177" t="n"/>
      <c r="H76" s="177" t="n"/>
      <c r="I76" s="177" t="n"/>
      <c r="J76" s="177" t="n"/>
      <c r="K76" s="177" t="n"/>
      <c r="L76" s="177" t="n"/>
      <c r="M76" s="177" t="n"/>
      <c r="N76" s="177" t="n"/>
      <c r="O76" s="177" t="n"/>
      <c r="P76" s="177" t="n"/>
      <c r="Q76" s="177" t="n"/>
      <c r="R76" s="177" t="n"/>
      <c r="S76" s="177" t="n"/>
      <c r="T76" s="177" t="n"/>
      <c r="U76" s="177" t="n"/>
      <c r="V76" s="177" t="n"/>
      <c r="W76" s="177" t="n"/>
      <c r="X76" s="177" t="n"/>
      <c r="Y76" s="177" t="n"/>
      <c r="Z76" s="177" t="n"/>
      <c r="AA76" s="177" t="n"/>
      <c r="AB76" s="177" t="n"/>
      <c r="AC76" s="177" t="n"/>
      <c r="AD76" s="177" t="n"/>
      <c r="AE76" s="177" t="n"/>
      <c r="AF76" s="177" t="n"/>
      <c r="AG76" s="177" t="n"/>
      <c r="AH76" s="177" t="n"/>
      <c r="AI76" s="177" t="n"/>
      <c r="AJ76" s="177" t="n"/>
      <c r="AK76" s="177" t="n"/>
      <c r="AL76" s="177" t="n"/>
      <c r="AM76" s="177" t="n"/>
      <c r="AN76" s="177" t="n"/>
      <c r="AO76" s="177" t="n"/>
      <c r="AP76" s="177" t="n"/>
      <c r="AQ76" s="177" t="n"/>
      <c r="AR76" s="177" t="n"/>
      <c r="AS76" s="177" t="n"/>
      <c r="AT76" s="177" t="n"/>
      <c r="AU76" s="177" t="n"/>
      <c r="AV76" s="177" t="n"/>
      <c r="AW76" s="177" t="n"/>
      <c r="AX76" s="177" t="n"/>
      <c r="AY76" s="177" t="n"/>
      <c r="AZ76" s="177" t="n"/>
      <c r="BA76" s="177" t="n"/>
      <c r="BB76" s="177" t="n"/>
      <c r="BC76" s="177" t="n"/>
      <c r="BD76" s="177" t="n"/>
      <c r="BE76" s="177" t="n"/>
      <c r="BF76" s="177" t="n"/>
      <c r="BG76" s="177" t="n"/>
      <c r="BH76" s="177" t="n"/>
      <c r="BI76" s="177" t="n"/>
      <c r="BJ76" s="177" t="n"/>
      <c r="BK76" s="177" t="n"/>
      <c r="BL76" s="177" t="n"/>
      <c r="BM76" s="177" t="n"/>
      <c r="BN76" s="177" t="n"/>
      <c r="BO76" s="177" t="n"/>
      <c r="BP76" s="177" t="n"/>
      <c r="BQ76" s="177" t="n"/>
      <c r="BR76" s="177" t="n"/>
      <c r="BS76" s="177" t="n"/>
      <c r="BT76" s="177" t="n"/>
      <c r="BU76" s="177" t="n"/>
      <c r="BV76" s="177" t="n"/>
      <c r="BW76" s="177" t="n"/>
      <c r="BX76" s="177" t="n"/>
      <c r="BY76" s="177" t="n"/>
      <c r="BZ76" s="177" t="n"/>
      <c r="CA76" s="177" t="n"/>
      <c r="CB76" s="177" t="n"/>
      <c r="CC76" s="177" t="n"/>
      <c r="CD76" s="177" t="n"/>
      <c r="CE76" s="177" t="n"/>
      <c r="CF76" s="177" t="n"/>
      <c r="CG76" s="177" t="n"/>
      <c r="CH76" s="177" t="n"/>
    </row>
    <row r="77">
      <c r="A77" s="141" t="inlineStr">
        <is>
          <t>停卡(張)</t>
        </is>
      </c>
      <c r="B77" s="141">
        <f>B$1</f>
        <v/>
      </c>
      <c r="C77" s="141">
        <f>C$1</f>
        <v/>
      </c>
      <c r="D77" s="141">
        <f>D$1</f>
        <v/>
      </c>
      <c r="E77" s="141">
        <f>E$1</f>
        <v/>
      </c>
      <c r="F77" s="141">
        <f>F$1</f>
        <v/>
      </c>
      <c r="G77" s="141">
        <f>G$1</f>
        <v/>
      </c>
      <c r="H77" s="141">
        <f>H$1</f>
        <v/>
      </c>
      <c r="I77" s="141">
        <f>I$1</f>
        <v/>
      </c>
      <c r="J77" s="141">
        <f>J$1</f>
        <v/>
      </c>
      <c r="K77" s="141">
        <f>K$1</f>
        <v/>
      </c>
      <c r="L77" s="141">
        <f>L$1</f>
        <v/>
      </c>
      <c r="M77" s="141">
        <f>M$1</f>
        <v/>
      </c>
      <c r="N77" s="141">
        <f>N$1</f>
        <v/>
      </c>
      <c r="O77" s="141">
        <f>O$1</f>
        <v/>
      </c>
      <c r="P77" s="141">
        <f>P$1</f>
        <v/>
      </c>
      <c r="Q77" s="141">
        <f>Q$1</f>
        <v/>
      </c>
      <c r="R77" s="141">
        <f>R$1</f>
        <v/>
      </c>
      <c r="S77" s="141">
        <f>S$1</f>
        <v/>
      </c>
      <c r="T77" s="141">
        <f>T$1</f>
        <v/>
      </c>
      <c r="U77" s="141">
        <f>U$1</f>
        <v/>
      </c>
      <c r="V77" s="141">
        <f>V$1</f>
        <v/>
      </c>
      <c r="W77" s="141">
        <f>W$1</f>
        <v/>
      </c>
      <c r="X77" s="141">
        <f>X$1</f>
        <v/>
      </c>
      <c r="Y77" s="141">
        <f>Y$1</f>
        <v/>
      </c>
      <c r="Z77" s="141">
        <f>Z$1</f>
        <v/>
      </c>
      <c r="AA77" s="141">
        <f>AA$1</f>
        <v/>
      </c>
      <c r="AB77" s="141">
        <f>AB$1</f>
        <v/>
      </c>
      <c r="AC77" s="141">
        <f>AC$1</f>
        <v/>
      </c>
      <c r="AD77" s="141">
        <f>AD$1</f>
        <v/>
      </c>
      <c r="AE77" s="141">
        <f>AE$1</f>
        <v/>
      </c>
      <c r="AF77" s="141">
        <f>AF$1</f>
        <v/>
      </c>
      <c r="AG77" s="141">
        <f>AG$1</f>
        <v/>
      </c>
      <c r="AH77" s="141">
        <f>AH$1</f>
        <v/>
      </c>
      <c r="AI77" s="141">
        <f>AI$1</f>
        <v/>
      </c>
      <c r="AJ77" s="141">
        <f>AJ$1</f>
        <v/>
      </c>
      <c r="AK77" s="141">
        <f>AK$1</f>
        <v/>
      </c>
      <c r="AL77" s="141">
        <f>AL$1</f>
        <v/>
      </c>
      <c r="AM77" s="141">
        <f>AM$1</f>
        <v/>
      </c>
      <c r="AN77" s="141">
        <f>AN$1</f>
        <v/>
      </c>
      <c r="AO77" s="141">
        <f>AO$1</f>
        <v/>
      </c>
      <c r="AP77" s="141">
        <f>AP$1</f>
        <v/>
      </c>
      <c r="AQ77" s="141">
        <f>AQ$1</f>
        <v/>
      </c>
      <c r="AR77" s="141">
        <f>AR$1</f>
        <v/>
      </c>
      <c r="AS77" s="141">
        <f>AS$1</f>
        <v/>
      </c>
      <c r="AT77" s="141">
        <f>AT$1</f>
        <v/>
      </c>
      <c r="AU77" s="141">
        <f>AU$1</f>
        <v/>
      </c>
      <c r="AV77" s="141">
        <f>AV$1</f>
        <v/>
      </c>
      <c r="AW77" s="141">
        <f>AW$1</f>
        <v/>
      </c>
      <c r="AX77" s="141">
        <f>AX$1</f>
        <v/>
      </c>
      <c r="AY77" s="141">
        <f>AY$1</f>
        <v/>
      </c>
      <c r="AZ77" s="141">
        <f>AZ$1</f>
        <v/>
      </c>
      <c r="BA77" s="141">
        <f>BA$1</f>
        <v/>
      </c>
      <c r="BB77" s="141">
        <f>BB$1</f>
        <v/>
      </c>
      <c r="BC77" s="141">
        <f>BC$1</f>
        <v/>
      </c>
      <c r="BD77" s="141">
        <f>BD$1</f>
        <v/>
      </c>
      <c r="BE77" s="141">
        <f>BE$1</f>
        <v/>
      </c>
      <c r="BF77" s="141">
        <f>BF$1</f>
        <v/>
      </c>
      <c r="BG77" s="141">
        <f>BG$1</f>
        <v/>
      </c>
      <c r="BH77" s="141">
        <f>BH$1</f>
        <v/>
      </c>
      <c r="BI77" s="141">
        <f>BI$1</f>
        <v/>
      </c>
      <c r="BJ77" s="141">
        <f>BJ$1</f>
        <v/>
      </c>
      <c r="BK77" s="141">
        <f>BK$1</f>
        <v/>
      </c>
      <c r="BL77" s="141">
        <f>BL$1</f>
        <v/>
      </c>
      <c r="BM77" s="141">
        <f>BM$1</f>
        <v/>
      </c>
      <c r="BN77" s="141">
        <f>BN$1</f>
        <v/>
      </c>
      <c r="BO77" s="141">
        <f>BO$1</f>
        <v/>
      </c>
      <c r="BP77" s="141">
        <f>BP$1</f>
        <v/>
      </c>
      <c r="BQ77" s="141">
        <f>BQ$1</f>
        <v/>
      </c>
      <c r="BR77" s="141">
        <f>BR$1</f>
        <v/>
      </c>
      <c r="BS77" s="141">
        <f>BS$1</f>
        <v/>
      </c>
      <c r="BT77" s="141">
        <f>BT$1</f>
        <v/>
      </c>
      <c r="BU77" s="141">
        <f>BU$1</f>
        <v/>
      </c>
      <c r="BV77" s="141">
        <f>BV$1</f>
        <v/>
      </c>
      <c r="BW77" s="141">
        <f>BW$1</f>
        <v/>
      </c>
      <c r="BX77" s="141">
        <f>BX$1</f>
        <v/>
      </c>
      <c r="BY77" s="141">
        <f>BY$1</f>
        <v/>
      </c>
      <c r="BZ77" s="141">
        <f>BZ$1</f>
        <v/>
      </c>
      <c r="CA77" s="141">
        <f>CA$1</f>
        <v/>
      </c>
      <c r="CB77" s="141">
        <f>CB$1</f>
        <v/>
      </c>
      <c r="CC77" s="141">
        <f>CC$1</f>
        <v/>
      </c>
      <c r="CD77" s="141">
        <f>CD$1</f>
        <v/>
      </c>
      <c r="CE77" s="141">
        <f>CE$1</f>
        <v/>
      </c>
      <c r="CF77" s="141">
        <f>CF$1</f>
        <v/>
      </c>
      <c r="CG77" s="141">
        <f>CG$1</f>
        <v/>
      </c>
      <c r="CH77" s="30" t="n"/>
    </row>
    <row r="78">
      <c r="A78" s="174" t="inlineStr">
        <is>
          <t>中信</t>
        </is>
      </c>
      <c r="B78" s="172" t="n">
        <v>36184</v>
      </c>
      <c r="C78" s="172" t="n">
        <v>49696</v>
      </c>
      <c r="D78" s="172" t="n">
        <v>40230</v>
      </c>
      <c r="E78" s="172" t="n">
        <v>31734</v>
      </c>
      <c r="F78" s="172" t="n">
        <v>29540</v>
      </c>
      <c r="G78" s="172" t="n">
        <v>31689</v>
      </c>
      <c r="H78" s="172" t="n">
        <v>36262</v>
      </c>
      <c r="I78" s="172" t="n">
        <v>33735</v>
      </c>
      <c r="J78" s="172" t="n">
        <v>33853</v>
      </c>
      <c r="K78" s="172" t="n">
        <v>30088</v>
      </c>
      <c r="L78" s="172" t="n">
        <v>33810</v>
      </c>
      <c r="M78" s="172" t="n">
        <v>36965</v>
      </c>
      <c r="N78" s="172" t="n">
        <v>33022</v>
      </c>
      <c r="O78" s="172" t="n">
        <v>32688</v>
      </c>
      <c r="P78" s="172" t="n">
        <v>40057</v>
      </c>
      <c r="Q78" s="172" t="n">
        <v>30279</v>
      </c>
      <c r="R78" s="172" t="n">
        <v>32278</v>
      </c>
      <c r="S78" s="172" t="n">
        <v>33579</v>
      </c>
      <c r="T78" s="172" t="n">
        <v>30717</v>
      </c>
      <c r="U78" s="172" t="n">
        <v>41153</v>
      </c>
      <c r="V78" s="172" t="n">
        <v>33610</v>
      </c>
      <c r="W78" s="172" t="n">
        <v>26788</v>
      </c>
      <c r="X78" s="172" t="n">
        <v>42511</v>
      </c>
      <c r="Y78" s="172" t="n">
        <v>29495</v>
      </c>
      <c r="Z78" s="173" t="n">
        <v>39200</v>
      </c>
      <c r="AA78" s="173" t="n">
        <v>39317</v>
      </c>
      <c r="AB78" s="173" t="n">
        <v>63136</v>
      </c>
      <c r="AC78" s="172" t="n">
        <v>30090</v>
      </c>
      <c r="AD78" s="172" t="n">
        <v>56882</v>
      </c>
      <c r="AE78" s="172" t="n">
        <v>45265</v>
      </c>
      <c r="AF78" s="172" t="n">
        <v>30648</v>
      </c>
      <c r="AG78" s="172" t="n">
        <v>59784</v>
      </c>
      <c r="AH78" s="172" t="n">
        <v>43923</v>
      </c>
      <c r="AI78" s="172" t="n">
        <v>47094</v>
      </c>
      <c r="AJ78" s="172" t="n">
        <v>51549</v>
      </c>
      <c r="AK78" s="172" t="n">
        <v>36193</v>
      </c>
      <c r="AL78" s="172" t="n">
        <v>201512</v>
      </c>
      <c r="AM78" s="172" t="n">
        <v>41888</v>
      </c>
      <c r="AN78" s="172" t="n">
        <v>80518</v>
      </c>
      <c r="AO78" s="172" t="n">
        <v>39310</v>
      </c>
      <c r="AP78" s="172" t="n">
        <v>69324</v>
      </c>
      <c r="AQ78" s="172" t="n">
        <v>49173</v>
      </c>
      <c r="AR78" s="172" t="n">
        <v>50386</v>
      </c>
      <c r="AS78" s="172" t="n">
        <v>55301</v>
      </c>
      <c r="AT78" s="172" t="n">
        <v>36601</v>
      </c>
      <c r="AU78" s="172" t="n">
        <v>65718</v>
      </c>
      <c r="AV78" s="172" t="n">
        <v>53164</v>
      </c>
      <c r="AW78" s="172" t="n">
        <v>37193</v>
      </c>
      <c r="AX78" s="182" t="n">
        <v>37193</v>
      </c>
      <c r="AY78" s="182" t="n">
        <v>36580</v>
      </c>
      <c r="AZ78" s="182" t="n">
        <v>39140</v>
      </c>
      <c r="BA78" s="182" t="n">
        <v>55840</v>
      </c>
      <c r="BB78" s="182" t="n">
        <v>49219</v>
      </c>
      <c r="BC78" s="182" t="n">
        <v>32525</v>
      </c>
      <c r="BD78" s="185" t="n">
        <v>64437</v>
      </c>
      <c r="BE78" s="182" t="n">
        <v>35152</v>
      </c>
      <c r="BF78" s="185" t="n">
        <v>148628</v>
      </c>
      <c r="BG78" s="182" t="n">
        <v>124040</v>
      </c>
      <c r="BH78" s="182" t="n">
        <v>103664</v>
      </c>
      <c r="BI78" s="182" t="n">
        <v>112230</v>
      </c>
      <c r="BJ78" s="185" t="n">
        <v>79057</v>
      </c>
      <c r="BK78" s="185" t="n">
        <v>99238</v>
      </c>
      <c r="BL78" s="185" t="n">
        <v>121014</v>
      </c>
      <c r="BM78" s="182" t="n">
        <v>104061</v>
      </c>
      <c r="BN78" s="182" t="n">
        <v>92326</v>
      </c>
      <c r="BO78" s="182" t="n">
        <v>139202</v>
      </c>
      <c r="BP78" s="182" t="n">
        <v>126141</v>
      </c>
      <c r="BQ78" s="182" t="n">
        <v>107738</v>
      </c>
      <c r="BR78" s="182" t="n">
        <v>131381</v>
      </c>
      <c r="BS78" s="182" t="n">
        <v>111762</v>
      </c>
      <c r="BT78" s="182" t="n">
        <v>91773</v>
      </c>
      <c r="BU78" s="182" t="n">
        <v>93990</v>
      </c>
      <c r="BV78" s="182">
        <f t="array" ref="BV78">_xlfn.XLOOKUP(1,(creditcard[YYYYMM]=BV$4)*(creditcard[Bank]=$A78),creditcard[當月停卡數])</f>
        <v/>
      </c>
      <c r="BW78" s="182">
        <f t="array" ref="BW78">_xlfn.XLOOKUP(1,(creditcard[YYYYMM]=BW$4)*(creditcard[Bank]=$A78),creditcard[當月停卡數])</f>
        <v/>
      </c>
      <c r="BX78" s="182">
        <f t="array" ref="BX78">_xlfn.XLOOKUP(1,(creditcard[YYYYMM]=BX$4)*(creditcard[Bank]=$A78),creditcard[當月停卡數])</f>
        <v/>
      </c>
      <c r="BY78" s="182">
        <f t="array" ref="BY78">_xlfn.XLOOKUP(1,(creditcard[YYYYMM]=BY$4)*(creditcard[Bank]=$A78),creditcard[當月停卡數],"")</f>
        <v/>
      </c>
      <c r="BZ78" s="182">
        <f t="array" ref="BZ78">_xlfn.XLOOKUP(1,(creditcard[YYYYMM]=BZ$4)*(creditcard[Bank]=$A78),creditcard[當月停卡數],"")</f>
        <v/>
      </c>
      <c r="CA78" s="182">
        <f t="array" ref="CA78">_xlfn.XLOOKUP(1,(creditcard[YYYYMM]=CA$4)*(creditcard[Bank]=$A78),creditcard[當月停卡數],"")</f>
        <v/>
      </c>
      <c r="CB78" s="182">
        <f t="array" ref="CB78">_xlfn.XLOOKUP(1,(creditcard[YYYYMM]=CB$4)*(creditcard[Bank]=$A78),creditcard[當月停卡數],"")</f>
        <v/>
      </c>
      <c r="CC78" s="182">
        <f t="array" ref="CC78">_xlfn.XLOOKUP(1,(creditcard[YYYYMM]=CC$4)*(creditcard[Bank]=$A78),creditcard[當月停卡數],"")</f>
        <v/>
      </c>
      <c r="CD78" s="182">
        <f t="array" ref="CD78">_xlfn.XLOOKUP(1,(creditcard[YYYYMM]=CD$4)*(creditcard[Bank]=$A78),creditcard[當月停卡數],"")</f>
        <v/>
      </c>
      <c r="CE78" s="182">
        <f t="array" ref="CE78">_xlfn.XLOOKUP(1,(creditcard[YYYYMM]=CE$4)*(creditcard[Bank]=$A78),creditcard[當月停卡數],"")</f>
        <v/>
      </c>
      <c r="CF78" s="182">
        <f t="array" ref="CF78">_xlfn.XLOOKUP(1,(creditcard[YYYYMM]=CF$4)*(creditcard[Bank]=$A78),creditcard[當月停卡數],"")</f>
        <v/>
      </c>
      <c r="CG78" s="182">
        <f t="array" ref="CG78">_xlfn.XLOOKUP(1,(creditcard[YYYYMM]=CG$4)*(creditcard[Bank]=$A78),creditcard[當月停卡數],"")</f>
        <v/>
      </c>
      <c r="CH78" s="182" t="n"/>
    </row>
    <row r="79">
      <c r="A79" s="174" t="inlineStr">
        <is>
          <t>富邦</t>
        </is>
      </c>
      <c r="B79" s="172" t="n">
        <v>13426</v>
      </c>
      <c r="C79" s="172" t="n">
        <v>16327</v>
      </c>
      <c r="D79" s="172" t="n">
        <v>21402</v>
      </c>
      <c r="E79" s="172" t="n">
        <v>23455</v>
      </c>
      <c r="F79" s="172" t="n">
        <v>25552</v>
      </c>
      <c r="G79" s="172" t="n">
        <v>22548</v>
      </c>
      <c r="H79" s="172" t="n">
        <v>22785</v>
      </c>
      <c r="I79" s="172" t="n">
        <v>20103</v>
      </c>
      <c r="J79" s="172" t="n">
        <v>18756</v>
      </c>
      <c r="K79" s="172" t="n">
        <v>16485</v>
      </c>
      <c r="L79" s="172" t="n">
        <v>18738</v>
      </c>
      <c r="M79" s="172" t="n">
        <v>28883</v>
      </c>
      <c r="N79" s="172" t="n">
        <v>26316</v>
      </c>
      <c r="O79" s="172" t="n">
        <v>18670</v>
      </c>
      <c r="P79" s="172" t="n">
        <v>20407</v>
      </c>
      <c r="Q79" s="172" t="n">
        <v>15045</v>
      </c>
      <c r="R79" s="172" t="n">
        <v>15205</v>
      </c>
      <c r="S79" s="172" t="n">
        <v>19402</v>
      </c>
      <c r="T79" s="172" t="n">
        <v>37750</v>
      </c>
      <c r="U79" s="172" t="n">
        <v>25063</v>
      </c>
      <c r="V79" s="172" t="n">
        <v>15945</v>
      </c>
      <c r="W79" s="172" t="n">
        <v>17593</v>
      </c>
      <c r="X79" s="172" t="n">
        <v>16823</v>
      </c>
      <c r="Y79" s="172" t="n">
        <v>18176</v>
      </c>
      <c r="Z79" s="173" t="n">
        <v>17883</v>
      </c>
      <c r="AA79" s="173" t="n">
        <v>13805</v>
      </c>
      <c r="AB79" s="173" t="n">
        <v>18034</v>
      </c>
      <c r="AC79" s="172" t="n">
        <v>14899</v>
      </c>
      <c r="AD79" s="172" t="n">
        <v>16243</v>
      </c>
      <c r="AE79" s="172" t="n">
        <v>15379</v>
      </c>
      <c r="AF79" s="172" t="n">
        <v>16713</v>
      </c>
      <c r="AG79" s="172" t="n">
        <v>15537</v>
      </c>
      <c r="AH79" s="172" t="n">
        <v>13677</v>
      </c>
      <c r="AI79" s="172" t="n">
        <v>14732</v>
      </c>
      <c r="AJ79" s="172" t="n">
        <v>19535</v>
      </c>
      <c r="AK79" s="172" t="n">
        <v>18010</v>
      </c>
      <c r="AL79" s="172" t="n">
        <v>16726</v>
      </c>
      <c r="AM79" s="172" t="n">
        <v>22620</v>
      </c>
      <c r="AN79" s="172" t="n">
        <v>24718</v>
      </c>
      <c r="AO79" s="172" t="n">
        <v>18951</v>
      </c>
      <c r="AP79" s="172" t="n">
        <v>24692</v>
      </c>
      <c r="AQ79" s="172" t="n">
        <v>67745</v>
      </c>
      <c r="AR79" s="172" t="n">
        <v>57386</v>
      </c>
      <c r="AS79" s="172" t="n">
        <v>61237</v>
      </c>
      <c r="AT79" s="172" t="n">
        <v>31791</v>
      </c>
      <c r="AU79" s="172" t="n">
        <v>153707</v>
      </c>
      <c r="AV79" s="172" t="n">
        <v>26433</v>
      </c>
      <c r="AW79" s="172" t="n">
        <v>21159</v>
      </c>
      <c r="AX79" s="182" t="n">
        <v>25054</v>
      </c>
      <c r="AY79" s="182" t="n">
        <v>19551</v>
      </c>
      <c r="AZ79" s="182" t="n">
        <v>22558</v>
      </c>
      <c r="BA79" s="182" t="n">
        <v>33788</v>
      </c>
      <c r="BB79" s="182" t="n">
        <v>36837</v>
      </c>
      <c r="BC79" s="182" t="n">
        <v>35700</v>
      </c>
      <c r="BD79" s="185" t="n">
        <v>219268</v>
      </c>
      <c r="BE79" s="182" t="n">
        <v>32662</v>
      </c>
      <c r="BF79" s="185" t="n">
        <v>93941</v>
      </c>
      <c r="BG79" s="182" t="n">
        <v>27796</v>
      </c>
      <c r="BH79" s="182" t="n">
        <v>32861</v>
      </c>
      <c r="BI79" s="182" t="n">
        <v>55300</v>
      </c>
      <c r="BJ79" s="185" t="n">
        <v>24463</v>
      </c>
      <c r="BK79" s="185" t="n">
        <v>20628</v>
      </c>
      <c r="BL79" s="185" t="n">
        <v>20529</v>
      </c>
      <c r="BM79" s="182" t="n">
        <v>18643</v>
      </c>
      <c r="BN79" s="182" t="n">
        <v>32986</v>
      </c>
      <c r="BO79" s="182" t="n">
        <v>81083</v>
      </c>
      <c r="BP79" s="182" t="n">
        <v>16358</v>
      </c>
      <c r="BQ79" s="182" t="n">
        <v>13547</v>
      </c>
      <c r="BR79" s="182" t="n">
        <v>16183</v>
      </c>
      <c r="BS79" s="182" t="n">
        <v>34469</v>
      </c>
      <c r="BT79" s="182" t="n">
        <v>158575</v>
      </c>
      <c r="BU79" s="182" t="n">
        <v>14172</v>
      </c>
      <c r="BV79" s="182">
        <f t="array" ref="BV79">_xlfn.XLOOKUP(1,(creditcard[YYYYMM]=BV$4)*(creditcard[Bank]=$A79),creditcard[當月停卡數])</f>
        <v/>
      </c>
      <c r="BW79" s="182">
        <f t="array" ref="BW79">_xlfn.XLOOKUP(1,(creditcard[YYYYMM]=BW$4)*(creditcard[Bank]=$A79),creditcard[當月停卡數])</f>
        <v/>
      </c>
      <c r="BX79" s="182">
        <f t="array" ref="BX79">_xlfn.XLOOKUP(1,(creditcard[YYYYMM]=BX$4)*(creditcard[Bank]=$A79),creditcard[當月停卡數])</f>
        <v/>
      </c>
      <c r="BY79" s="182">
        <f t="array" ref="BY79">_xlfn.XLOOKUP(1,(creditcard[YYYYMM]=BY$4)*(creditcard[Bank]=$A79),creditcard[當月停卡數],"")</f>
        <v/>
      </c>
      <c r="BZ79" s="182">
        <f t="array" ref="BZ79">_xlfn.XLOOKUP(1,(creditcard[YYYYMM]=BZ$4)*(creditcard[Bank]=$A79),creditcard[當月停卡數],"")</f>
        <v/>
      </c>
      <c r="CA79" s="182">
        <f t="array" ref="CA79">_xlfn.XLOOKUP(1,(creditcard[YYYYMM]=CA$4)*(creditcard[Bank]=$A79),creditcard[當月停卡數],"")</f>
        <v/>
      </c>
      <c r="CB79" s="182">
        <f t="array" ref="CB79">_xlfn.XLOOKUP(1,(creditcard[YYYYMM]=CB$4)*(creditcard[Bank]=$A79),creditcard[當月停卡數],"")</f>
        <v/>
      </c>
      <c r="CC79" s="182">
        <f t="array" ref="CC79">_xlfn.XLOOKUP(1,(creditcard[YYYYMM]=CC$4)*(creditcard[Bank]=$A79),creditcard[當月停卡數],"")</f>
        <v/>
      </c>
      <c r="CD79" s="182">
        <f t="array" ref="CD79">_xlfn.XLOOKUP(1,(creditcard[YYYYMM]=CD$4)*(creditcard[Bank]=$A79),creditcard[當月停卡數],"")</f>
        <v/>
      </c>
      <c r="CE79" s="182">
        <f t="array" ref="CE79">_xlfn.XLOOKUP(1,(creditcard[YYYYMM]=CE$4)*(creditcard[Bank]=$A79),creditcard[當月停卡數],"")</f>
        <v/>
      </c>
      <c r="CF79" s="182">
        <f t="array" ref="CF79">_xlfn.XLOOKUP(1,(creditcard[YYYYMM]=CF$4)*(creditcard[Bank]=$A79),creditcard[當月停卡數],"")</f>
        <v/>
      </c>
      <c r="CG79" s="182">
        <f t="array" ref="CG79">_xlfn.XLOOKUP(1,(creditcard[YYYYMM]=CG$4)*(creditcard[Bank]=$A79),creditcard[當月停卡數],"")</f>
        <v/>
      </c>
      <c r="CH79" s="182" t="n"/>
    </row>
    <row r="80">
      <c r="A80" s="174" t="inlineStr">
        <is>
          <t>國泰</t>
        </is>
      </c>
      <c r="B80" s="172" t="n">
        <v>25082</v>
      </c>
      <c r="C80" s="172" t="n">
        <v>27586</v>
      </c>
      <c r="D80" s="172" t="n">
        <v>29572</v>
      </c>
      <c r="E80" s="172" t="n">
        <v>26131</v>
      </c>
      <c r="F80" s="172" t="n">
        <v>26173</v>
      </c>
      <c r="G80" s="172" t="n">
        <v>26149</v>
      </c>
      <c r="H80" s="172" t="n">
        <v>29543</v>
      </c>
      <c r="I80" s="172" t="n">
        <v>28664</v>
      </c>
      <c r="J80" s="172" t="n">
        <v>44707</v>
      </c>
      <c r="K80" s="172" t="n">
        <v>41250</v>
      </c>
      <c r="L80" s="172" t="n">
        <v>40116</v>
      </c>
      <c r="M80" s="172" t="n">
        <v>36464</v>
      </c>
      <c r="N80" s="172" t="n">
        <v>35757</v>
      </c>
      <c r="O80" s="172" t="n">
        <v>29208</v>
      </c>
      <c r="P80" s="172" t="n">
        <v>33145</v>
      </c>
      <c r="Q80" s="172" t="n">
        <v>26364</v>
      </c>
      <c r="R80" s="172" t="n">
        <v>27428</v>
      </c>
      <c r="S80" s="172" t="n">
        <v>23975</v>
      </c>
      <c r="T80" s="172" t="n">
        <v>26114</v>
      </c>
      <c r="U80" s="172" t="n">
        <v>36748</v>
      </c>
      <c r="V80" s="172" t="n">
        <v>76140</v>
      </c>
      <c r="W80" s="172" t="n">
        <v>56283</v>
      </c>
      <c r="X80" s="172" t="n">
        <v>41311</v>
      </c>
      <c r="Y80" s="172" t="n">
        <v>37754</v>
      </c>
      <c r="Z80" s="173" t="n">
        <v>34218</v>
      </c>
      <c r="AA80" s="173" t="n">
        <v>27548</v>
      </c>
      <c r="AB80" s="173" t="n">
        <v>35138</v>
      </c>
      <c r="AC80" s="172" t="n">
        <v>30256</v>
      </c>
      <c r="AD80" s="172" t="n">
        <v>31348</v>
      </c>
      <c r="AE80" s="172" t="n">
        <v>27904</v>
      </c>
      <c r="AF80" s="172" t="n">
        <v>28251</v>
      </c>
      <c r="AG80" s="172" t="n">
        <v>30761</v>
      </c>
      <c r="AH80" s="172" t="n">
        <v>31790</v>
      </c>
      <c r="AI80" s="172" t="n">
        <v>37019</v>
      </c>
      <c r="AJ80" s="172" t="n">
        <v>41229</v>
      </c>
      <c r="AK80" s="172" t="n">
        <v>48366</v>
      </c>
      <c r="AL80" s="172" t="n">
        <v>82413</v>
      </c>
      <c r="AM80" s="172" t="n">
        <v>104025</v>
      </c>
      <c r="AN80" s="172" t="n">
        <v>130306</v>
      </c>
      <c r="AO80" s="172" t="n">
        <v>93117</v>
      </c>
      <c r="AP80" s="172" t="n">
        <v>89149</v>
      </c>
      <c r="AQ80" s="172" t="n">
        <v>73113</v>
      </c>
      <c r="AR80" s="172" t="n">
        <v>64501</v>
      </c>
      <c r="AS80" s="172" t="n">
        <v>3344037</v>
      </c>
      <c r="AT80" s="172" t="n">
        <v>71022</v>
      </c>
      <c r="AU80" s="172" t="n">
        <v>55696</v>
      </c>
      <c r="AV80" s="172" t="n">
        <v>42626</v>
      </c>
      <c r="AW80" s="186" t="n">
        <v>35154</v>
      </c>
      <c r="AX80" s="182" t="n">
        <v>37519</v>
      </c>
      <c r="AY80" s="182" t="n">
        <v>27137</v>
      </c>
      <c r="AZ80" s="182" t="n">
        <v>29344</v>
      </c>
      <c r="BA80" s="182" t="n">
        <v>45787</v>
      </c>
      <c r="BB80" s="182" t="n">
        <v>28313</v>
      </c>
      <c r="BC80" s="182" t="n">
        <v>23769</v>
      </c>
      <c r="BD80" s="185" t="n">
        <v>26172</v>
      </c>
      <c r="BE80" s="182" t="n">
        <v>25762</v>
      </c>
      <c r="BF80" s="185" t="n">
        <v>29582</v>
      </c>
      <c r="BG80" s="182" t="n">
        <v>29068</v>
      </c>
      <c r="BH80" s="182" t="n">
        <v>26195</v>
      </c>
      <c r="BI80" s="182" t="n">
        <v>27709</v>
      </c>
      <c r="BJ80" s="185" t="n">
        <v>25362</v>
      </c>
      <c r="BK80" s="185" t="n">
        <v>36768</v>
      </c>
      <c r="BL80" s="185" t="n">
        <v>156513</v>
      </c>
      <c r="BM80" s="182" t="n">
        <v>215268</v>
      </c>
      <c r="BN80" s="182" t="n">
        <v>25672</v>
      </c>
      <c r="BO80" s="182" t="n">
        <v>25005</v>
      </c>
      <c r="BP80" s="182" t="n">
        <v>23977</v>
      </c>
      <c r="BQ80" s="182" t="n">
        <v>28552</v>
      </c>
      <c r="BR80" s="182" t="n">
        <v>31750</v>
      </c>
      <c r="BS80" s="182" t="n">
        <v>28449</v>
      </c>
      <c r="BT80" s="182" t="n">
        <v>27766</v>
      </c>
      <c r="BU80" s="182" t="n">
        <v>87779</v>
      </c>
      <c r="BV80" s="182">
        <f t="array" ref="BV80">_xlfn.XLOOKUP(1,(creditcard[YYYYMM]=BV$4)*(creditcard[Bank]=$A80),creditcard[當月停卡數])</f>
        <v/>
      </c>
      <c r="BW80" s="182">
        <f t="array" ref="BW80">_xlfn.XLOOKUP(1,(creditcard[YYYYMM]=BW$4)*(creditcard[Bank]=$A80),creditcard[當月停卡數])</f>
        <v/>
      </c>
      <c r="BX80" s="182">
        <f t="array" ref="BX80">_xlfn.XLOOKUP(1,(creditcard[YYYYMM]=BX$4)*(creditcard[Bank]=$A80),creditcard[當月停卡數])</f>
        <v/>
      </c>
      <c r="BY80" s="182">
        <f t="array" ref="BY80">_xlfn.XLOOKUP(1,(creditcard[YYYYMM]=BY$4)*(creditcard[Bank]=$A80),creditcard[當月停卡數],"")</f>
        <v/>
      </c>
      <c r="BZ80" s="182">
        <f t="array" ref="BZ80">_xlfn.XLOOKUP(1,(creditcard[YYYYMM]=BZ$4)*(creditcard[Bank]=$A80),creditcard[當月停卡數],"")</f>
        <v/>
      </c>
      <c r="CA80" s="182">
        <f t="array" ref="CA80">_xlfn.XLOOKUP(1,(creditcard[YYYYMM]=CA$4)*(creditcard[Bank]=$A80),creditcard[當月停卡數],"")</f>
        <v/>
      </c>
      <c r="CB80" s="182">
        <f t="array" ref="CB80">_xlfn.XLOOKUP(1,(creditcard[YYYYMM]=CB$4)*(creditcard[Bank]=$A80),creditcard[當月停卡數],"")</f>
        <v/>
      </c>
      <c r="CC80" s="182">
        <f t="array" ref="CC80">_xlfn.XLOOKUP(1,(creditcard[YYYYMM]=CC$4)*(creditcard[Bank]=$A80),creditcard[當月停卡數],"")</f>
        <v/>
      </c>
      <c r="CD80" s="182">
        <f t="array" ref="CD80">_xlfn.XLOOKUP(1,(creditcard[YYYYMM]=CD$4)*(creditcard[Bank]=$A80),creditcard[當月停卡數],"")</f>
        <v/>
      </c>
      <c r="CE80" s="182">
        <f t="array" ref="CE80">_xlfn.XLOOKUP(1,(creditcard[YYYYMM]=CE$4)*(creditcard[Bank]=$A80),creditcard[當月停卡數],"")</f>
        <v/>
      </c>
      <c r="CF80" s="182">
        <f t="array" ref="CF80">_xlfn.XLOOKUP(1,(creditcard[YYYYMM]=CF$4)*(creditcard[Bank]=$A80),creditcard[當月停卡數],"")</f>
        <v/>
      </c>
      <c r="CG80" s="182">
        <f t="array" ref="CG80">_xlfn.XLOOKUP(1,(creditcard[YYYYMM]=CG$4)*(creditcard[Bank]=$A80),creditcard[當月停卡數],"")</f>
        <v/>
      </c>
      <c r="CH80" s="182" t="n"/>
    </row>
    <row r="81">
      <c r="A81" s="174" t="inlineStr">
        <is>
          <t>玉山</t>
        </is>
      </c>
      <c r="B81" s="172" t="n">
        <v>25775</v>
      </c>
      <c r="C81" s="172" t="n">
        <v>27785</v>
      </c>
      <c r="D81" s="172" t="n">
        <v>24987</v>
      </c>
      <c r="E81" s="172" t="n">
        <v>28142</v>
      </c>
      <c r="F81" s="172" t="n">
        <v>26453</v>
      </c>
      <c r="G81" s="172" t="n">
        <v>21727</v>
      </c>
      <c r="H81" s="172" t="n">
        <v>28761</v>
      </c>
      <c r="I81" s="172" t="n">
        <v>23396</v>
      </c>
      <c r="J81" s="172" t="n">
        <v>24505</v>
      </c>
      <c r="K81" s="172" t="n">
        <v>23259</v>
      </c>
      <c r="L81" s="172" t="n">
        <v>22022</v>
      </c>
      <c r="M81" s="172" t="n">
        <v>23721</v>
      </c>
      <c r="N81" s="172" t="n">
        <v>20717</v>
      </c>
      <c r="O81" s="172" t="n">
        <v>17280</v>
      </c>
      <c r="P81" s="172" t="n">
        <v>22737</v>
      </c>
      <c r="Q81" s="172" t="n">
        <v>20910</v>
      </c>
      <c r="R81" s="172" t="n">
        <v>18727</v>
      </c>
      <c r="S81" s="172" t="n">
        <v>19037</v>
      </c>
      <c r="T81" s="172" t="n">
        <v>23747</v>
      </c>
      <c r="U81" s="172" t="n">
        <v>22348</v>
      </c>
      <c r="V81" s="172" t="n">
        <v>22106</v>
      </c>
      <c r="W81" s="172" t="n">
        <v>22356</v>
      </c>
      <c r="X81" s="172" t="n">
        <v>19157</v>
      </c>
      <c r="Y81" s="172" t="n">
        <v>22107</v>
      </c>
      <c r="Z81" s="173" t="n">
        <v>21261</v>
      </c>
      <c r="AA81" s="173" t="n">
        <v>18625</v>
      </c>
      <c r="AB81" s="173" t="n">
        <v>22211</v>
      </c>
      <c r="AC81" s="172" t="n">
        <v>21011</v>
      </c>
      <c r="AD81" s="172" t="n">
        <v>20707</v>
      </c>
      <c r="AE81" s="172" t="n">
        <v>20737</v>
      </c>
      <c r="AF81" s="172" t="n">
        <v>42051</v>
      </c>
      <c r="AG81" s="172" t="n">
        <v>24601</v>
      </c>
      <c r="AH81" s="172" t="n">
        <v>22036</v>
      </c>
      <c r="AI81" s="172" t="n">
        <v>25202</v>
      </c>
      <c r="AJ81" s="172" t="n">
        <v>29953</v>
      </c>
      <c r="AK81" s="172" t="n">
        <v>32044</v>
      </c>
      <c r="AL81" s="172" t="n">
        <v>29488</v>
      </c>
      <c r="AM81" s="172" t="n">
        <v>41428</v>
      </c>
      <c r="AN81" s="172" t="n">
        <v>40705</v>
      </c>
      <c r="AO81" s="172" t="n">
        <v>41529</v>
      </c>
      <c r="AP81" s="172" t="n">
        <v>45002</v>
      </c>
      <c r="AQ81" s="172" t="n">
        <v>41951</v>
      </c>
      <c r="AR81" s="172" t="n">
        <v>49984</v>
      </c>
      <c r="AS81" s="172" t="n">
        <v>56626</v>
      </c>
      <c r="AT81" s="172" t="n">
        <v>58324</v>
      </c>
      <c r="AU81" s="172" t="n">
        <v>63659</v>
      </c>
      <c r="AV81" s="172" t="n">
        <v>80541</v>
      </c>
      <c r="AW81" s="172" t="n">
        <v>66806</v>
      </c>
      <c r="AX81" s="182" t="n">
        <v>59531</v>
      </c>
      <c r="AY81" s="182" t="n">
        <v>56691</v>
      </c>
      <c r="AZ81" s="182" t="n">
        <v>52154</v>
      </c>
      <c r="BA81" s="182" t="n">
        <v>80498</v>
      </c>
      <c r="BB81" s="182" t="n">
        <v>63973</v>
      </c>
      <c r="BC81" s="182" t="n">
        <v>56336</v>
      </c>
      <c r="BD81" s="185" t="n">
        <v>64693</v>
      </c>
      <c r="BE81" s="185" t="n">
        <v>63198</v>
      </c>
      <c r="BF81" s="185" t="n">
        <v>65887</v>
      </c>
      <c r="BG81" s="182" t="n">
        <v>66085</v>
      </c>
      <c r="BH81" s="182" t="n">
        <v>78586</v>
      </c>
      <c r="BI81" s="182" t="n">
        <v>65859</v>
      </c>
      <c r="BJ81" s="185" t="n">
        <v>53190</v>
      </c>
      <c r="BK81" s="185" t="n">
        <v>38733</v>
      </c>
      <c r="BL81" s="185" t="n">
        <v>39851</v>
      </c>
      <c r="BM81" s="182" t="n">
        <v>55720</v>
      </c>
      <c r="BN81" s="182" t="n">
        <v>58755</v>
      </c>
      <c r="BO81" s="182" t="n">
        <v>61045</v>
      </c>
      <c r="BP81" s="182" t="n">
        <v>79514</v>
      </c>
      <c r="BQ81" s="182" t="n">
        <v>65009</v>
      </c>
      <c r="BR81" s="182" t="n">
        <v>116426</v>
      </c>
      <c r="BS81" s="182" t="n">
        <v>82097</v>
      </c>
      <c r="BT81" s="182" t="n">
        <v>78685</v>
      </c>
      <c r="BU81" s="182" t="n">
        <v>87318</v>
      </c>
      <c r="BV81" s="182">
        <f t="array" ref="BV81">_xlfn.XLOOKUP(1,(creditcard[YYYYMM]=BV$4)*(creditcard[Bank]=$A81),creditcard[當月停卡數])</f>
        <v/>
      </c>
      <c r="BW81" s="182">
        <f t="array" ref="BW81">_xlfn.XLOOKUP(1,(creditcard[YYYYMM]=BW$4)*(creditcard[Bank]=$A81),creditcard[當月停卡數])</f>
        <v/>
      </c>
      <c r="BX81" s="182">
        <f t="array" ref="BX81">_xlfn.XLOOKUP(1,(creditcard[YYYYMM]=BX$4)*(creditcard[Bank]=$A81),creditcard[當月停卡數])</f>
        <v/>
      </c>
      <c r="BY81" s="182">
        <f t="array" ref="BY81">_xlfn.XLOOKUP(1,(creditcard[YYYYMM]=BY$4)*(creditcard[Bank]=$A81),creditcard[當月停卡數],"")</f>
        <v/>
      </c>
      <c r="BZ81" s="182">
        <f t="array" ref="BZ81">_xlfn.XLOOKUP(1,(creditcard[YYYYMM]=BZ$4)*(creditcard[Bank]=$A81),creditcard[當月停卡數],"")</f>
        <v/>
      </c>
      <c r="CA81" s="182">
        <f t="array" ref="CA81">_xlfn.XLOOKUP(1,(creditcard[YYYYMM]=CA$4)*(creditcard[Bank]=$A81),creditcard[當月停卡數],"")</f>
        <v/>
      </c>
      <c r="CB81" s="182">
        <f t="array" ref="CB81">_xlfn.XLOOKUP(1,(creditcard[YYYYMM]=CB$4)*(creditcard[Bank]=$A81),creditcard[當月停卡數],"")</f>
        <v/>
      </c>
      <c r="CC81" s="182">
        <f t="array" ref="CC81">_xlfn.XLOOKUP(1,(creditcard[YYYYMM]=CC$4)*(creditcard[Bank]=$A81),creditcard[當月停卡數],"")</f>
        <v/>
      </c>
      <c r="CD81" s="182">
        <f t="array" ref="CD81">_xlfn.XLOOKUP(1,(creditcard[YYYYMM]=CD$4)*(creditcard[Bank]=$A81),creditcard[當月停卡數],"")</f>
        <v/>
      </c>
      <c r="CE81" s="182">
        <f t="array" ref="CE81">_xlfn.XLOOKUP(1,(creditcard[YYYYMM]=CE$4)*(creditcard[Bank]=$A81),creditcard[當月停卡數],"")</f>
        <v/>
      </c>
      <c r="CF81" s="182">
        <f t="array" ref="CF81">_xlfn.XLOOKUP(1,(creditcard[YYYYMM]=CF$4)*(creditcard[Bank]=$A81),creditcard[當月停卡數],"")</f>
        <v/>
      </c>
      <c r="CG81" s="182">
        <f t="array" ref="CG81">_xlfn.XLOOKUP(1,(creditcard[YYYYMM]=CG$4)*(creditcard[Bank]=$A81),creditcard[當月停卡數],"")</f>
        <v/>
      </c>
      <c r="CH81" s="182" t="n"/>
    </row>
    <row r="82">
      <c r="A82" s="174" t="inlineStr">
        <is>
          <t>台新</t>
        </is>
      </c>
      <c r="B82" s="172" t="n">
        <v>27859</v>
      </c>
      <c r="C82" s="172" t="n">
        <v>26274</v>
      </c>
      <c r="D82" s="172" t="n">
        <v>26264</v>
      </c>
      <c r="E82" s="172" t="n">
        <v>22938</v>
      </c>
      <c r="F82" s="172" t="n">
        <v>33337</v>
      </c>
      <c r="G82" s="172" t="n">
        <v>29637</v>
      </c>
      <c r="H82" s="172" t="n">
        <v>24068</v>
      </c>
      <c r="I82" s="172" t="n">
        <v>20311</v>
      </c>
      <c r="J82" s="172" t="n">
        <v>19104</v>
      </c>
      <c r="K82" s="172" t="n">
        <v>27284</v>
      </c>
      <c r="L82" s="172" t="n">
        <v>35965</v>
      </c>
      <c r="M82" s="172" t="n">
        <v>29231</v>
      </c>
      <c r="N82" s="172" t="n">
        <v>30496</v>
      </c>
      <c r="O82" s="172" t="n">
        <v>22440</v>
      </c>
      <c r="P82" s="172" t="n">
        <v>36407</v>
      </c>
      <c r="Q82" s="172" t="n">
        <v>33725</v>
      </c>
      <c r="R82" s="172" t="n">
        <v>25898</v>
      </c>
      <c r="S82" s="172" t="n">
        <v>27108</v>
      </c>
      <c r="T82" s="172" t="n">
        <v>23009</v>
      </c>
      <c r="U82" s="172" t="n">
        <v>26358</v>
      </c>
      <c r="V82" s="172" t="n">
        <v>24887</v>
      </c>
      <c r="W82" s="172" t="n">
        <v>25409</v>
      </c>
      <c r="X82" s="172" t="n">
        <v>25320</v>
      </c>
      <c r="Y82" s="172" t="n">
        <v>26486</v>
      </c>
      <c r="Z82" s="173" t="n">
        <v>36854</v>
      </c>
      <c r="AA82" s="173" t="n">
        <v>40031</v>
      </c>
      <c r="AB82" s="173" t="n">
        <v>37772</v>
      </c>
      <c r="AC82" s="172" t="n">
        <v>29213</v>
      </c>
      <c r="AD82" s="172" t="n">
        <v>28413</v>
      </c>
      <c r="AE82" s="172" t="n">
        <v>31118</v>
      </c>
      <c r="AF82" s="172" t="n">
        <v>25676</v>
      </c>
      <c r="AG82" s="172" t="n">
        <v>34313</v>
      </c>
      <c r="AH82" s="172" t="n">
        <v>30535</v>
      </c>
      <c r="AI82" s="172" t="n">
        <v>34556</v>
      </c>
      <c r="AJ82" s="172" t="n">
        <v>51212</v>
      </c>
      <c r="AK82" s="172" t="n">
        <v>34797</v>
      </c>
      <c r="AL82" s="172" t="n">
        <v>34895</v>
      </c>
      <c r="AM82" s="172" t="n">
        <v>37943</v>
      </c>
      <c r="AN82" s="172" t="n">
        <v>31560</v>
      </c>
      <c r="AO82" s="172" t="n">
        <v>24312</v>
      </c>
      <c r="AP82" s="172" t="n">
        <v>27066</v>
      </c>
      <c r="AQ82" s="172" t="n">
        <v>30272</v>
      </c>
      <c r="AR82" s="172" t="n">
        <v>38449</v>
      </c>
      <c r="AS82" s="172" t="n">
        <v>44110</v>
      </c>
      <c r="AT82" s="172" t="n">
        <v>49287</v>
      </c>
      <c r="AU82" s="172" t="n">
        <v>67529</v>
      </c>
      <c r="AV82" s="172" t="n">
        <v>53354</v>
      </c>
      <c r="AW82" s="172" t="n">
        <v>49259</v>
      </c>
      <c r="AX82" s="182" t="n">
        <v>60567</v>
      </c>
      <c r="AY82" s="182" t="n">
        <v>15550</v>
      </c>
      <c r="AZ82" s="182" t="n">
        <v>58189</v>
      </c>
      <c r="BA82" s="182" t="n">
        <v>57632</v>
      </c>
      <c r="BB82" s="182" t="n">
        <v>55464</v>
      </c>
      <c r="BC82" s="182" t="n">
        <v>45901</v>
      </c>
      <c r="BD82" s="185" t="n">
        <v>89420</v>
      </c>
      <c r="BE82" s="182" t="n">
        <v>59605</v>
      </c>
      <c r="BF82" s="185" t="n">
        <v>67626</v>
      </c>
      <c r="BG82" s="182" t="n">
        <v>78429</v>
      </c>
      <c r="BH82" s="182" t="n">
        <v>54733</v>
      </c>
      <c r="BI82" s="182" t="n">
        <v>50938</v>
      </c>
      <c r="BJ82" s="185" t="n">
        <v>32166</v>
      </c>
      <c r="BK82" s="185" t="n">
        <v>32530</v>
      </c>
      <c r="BL82" s="185" t="n">
        <v>37436</v>
      </c>
      <c r="BM82" s="182" t="n">
        <v>16877</v>
      </c>
      <c r="BN82" s="182" t="n">
        <v>43149</v>
      </c>
      <c r="BO82" s="182" t="n">
        <v>38629</v>
      </c>
      <c r="BP82" s="182" t="n">
        <v>48325</v>
      </c>
      <c r="BQ82" s="182" t="n">
        <v>36243</v>
      </c>
      <c r="BR82" s="182" t="n">
        <v>64920</v>
      </c>
      <c r="BS82" s="182" t="n">
        <v>48663</v>
      </c>
      <c r="BT82" s="182" t="n">
        <v>42089</v>
      </c>
      <c r="BU82" s="182" t="n">
        <v>44428</v>
      </c>
      <c r="BV82" s="182">
        <f t="array" ref="BV82">_xlfn.XLOOKUP(1,(creditcard[YYYYMM]=BV$4)*(creditcard[Bank]=$A82),creditcard[當月停卡數])</f>
        <v/>
      </c>
      <c r="BW82" s="182">
        <f t="array" ref="BW82">_xlfn.XLOOKUP(1,(creditcard[YYYYMM]=BW$4)*(creditcard[Bank]=$A82),creditcard[當月停卡數])</f>
        <v/>
      </c>
      <c r="BX82" s="182">
        <f t="array" ref="BX82">_xlfn.XLOOKUP(1,(creditcard[YYYYMM]=BX$4)*(creditcard[Bank]=$A82),creditcard[當月停卡數])</f>
        <v/>
      </c>
      <c r="BY82" s="182">
        <f t="array" ref="BY82">_xlfn.XLOOKUP(1,(creditcard[YYYYMM]=BY$4)*(creditcard[Bank]=$A82),creditcard[當月停卡數],"")</f>
        <v/>
      </c>
      <c r="BZ82" s="182">
        <f t="array" ref="BZ82">_xlfn.XLOOKUP(1,(creditcard[YYYYMM]=BZ$4)*(creditcard[Bank]=$A82),creditcard[當月停卡數],"")</f>
        <v/>
      </c>
      <c r="CA82" s="182">
        <f t="array" ref="CA82">_xlfn.XLOOKUP(1,(creditcard[YYYYMM]=CA$4)*(creditcard[Bank]=$A82),creditcard[當月停卡數],"")</f>
        <v/>
      </c>
      <c r="CB82" s="182">
        <f t="array" ref="CB82">_xlfn.XLOOKUP(1,(creditcard[YYYYMM]=CB$4)*(creditcard[Bank]=$A82),creditcard[當月停卡數],"")</f>
        <v/>
      </c>
      <c r="CC82" s="182">
        <f t="array" ref="CC82">_xlfn.XLOOKUP(1,(creditcard[YYYYMM]=CC$4)*(creditcard[Bank]=$A82),creditcard[當月停卡數],"")</f>
        <v/>
      </c>
      <c r="CD82" s="182">
        <f t="array" ref="CD82">_xlfn.XLOOKUP(1,(creditcard[YYYYMM]=CD$4)*(creditcard[Bank]=$A82),creditcard[當月停卡數],"")</f>
        <v/>
      </c>
      <c r="CE82" s="182">
        <f t="array" ref="CE82">_xlfn.XLOOKUP(1,(creditcard[YYYYMM]=CE$4)*(creditcard[Bank]=$A82),creditcard[當月停卡數],"")</f>
        <v/>
      </c>
      <c r="CF82" s="182">
        <f t="array" ref="CF82">_xlfn.XLOOKUP(1,(creditcard[YYYYMM]=CF$4)*(creditcard[Bank]=$A82),creditcard[當月停卡數],"")</f>
        <v/>
      </c>
      <c r="CG82" s="182">
        <f t="array" ref="CG82">_xlfn.XLOOKUP(1,(creditcard[YYYYMM]=CG$4)*(creditcard[Bank]=$A82),creditcard[當月停卡數],"")</f>
        <v/>
      </c>
      <c r="CH82" s="182" t="n"/>
    </row>
    <row r="83">
      <c r="A83" s="174" t="inlineStr">
        <is>
          <t>星展</t>
        </is>
      </c>
      <c r="B83" s="172" t="n">
        <v>4461</v>
      </c>
      <c r="C83" s="172" t="n">
        <v>4898</v>
      </c>
      <c r="D83" s="172" t="n">
        <v>5972</v>
      </c>
      <c r="E83" s="172" t="n">
        <v>12553</v>
      </c>
      <c r="F83" s="172" t="n">
        <v>5714</v>
      </c>
      <c r="G83" s="172" t="n">
        <v>4910</v>
      </c>
      <c r="H83" s="172" t="n">
        <v>20803</v>
      </c>
      <c r="I83" s="172" t="n">
        <v>11601</v>
      </c>
      <c r="J83" s="172" t="n">
        <v>5499</v>
      </c>
      <c r="K83" s="172" t="n">
        <v>4607</v>
      </c>
      <c r="L83" s="172" t="n">
        <v>4499</v>
      </c>
      <c r="M83" s="172" t="n">
        <v>5457</v>
      </c>
      <c r="N83" s="172" t="n">
        <v>4986</v>
      </c>
      <c r="O83" s="172" t="n">
        <v>4876</v>
      </c>
      <c r="P83" s="172" t="n">
        <v>5335</v>
      </c>
      <c r="Q83" s="172" t="n">
        <v>4582</v>
      </c>
      <c r="R83" s="172" t="n">
        <v>5080</v>
      </c>
      <c r="S83" s="172" t="n">
        <v>4782</v>
      </c>
      <c r="T83" s="172" t="n">
        <v>4599</v>
      </c>
      <c r="U83" s="172" t="n">
        <v>5443</v>
      </c>
      <c r="V83" s="172" t="n">
        <v>5143</v>
      </c>
      <c r="W83" s="172" t="n">
        <v>5280</v>
      </c>
      <c r="X83" s="172" t="n">
        <v>4613</v>
      </c>
      <c r="Y83" s="172" t="n">
        <v>5095</v>
      </c>
      <c r="Z83" s="172" t="n">
        <v>4109</v>
      </c>
      <c r="AA83" s="172" t="n">
        <v>2942</v>
      </c>
      <c r="AB83" s="172" t="n">
        <v>6250</v>
      </c>
      <c r="AC83" s="172" t="n">
        <v>3272</v>
      </c>
      <c r="AD83" s="172" t="n">
        <v>3419</v>
      </c>
      <c r="AE83" s="172" t="n">
        <v>3962</v>
      </c>
      <c r="AF83" s="172" t="n">
        <v>3909</v>
      </c>
      <c r="AG83" s="172" t="n">
        <v>4016</v>
      </c>
      <c r="AH83" s="172" t="n">
        <v>3310</v>
      </c>
      <c r="AI83" s="172" t="n">
        <v>3609</v>
      </c>
      <c r="AJ83" s="172" t="n">
        <v>3838</v>
      </c>
      <c r="AK83" s="172" t="n">
        <v>4379</v>
      </c>
      <c r="AL83" s="172" t="n">
        <v>4126</v>
      </c>
      <c r="AM83" s="172" t="n">
        <v>3824</v>
      </c>
      <c r="AN83" s="172" t="n">
        <v>4808</v>
      </c>
      <c r="AO83" s="172" t="n">
        <v>4268</v>
      </c>
      <c r="AP83" s="172" t="n">
        <v>4675</v>
      </c>
      <c r="AQ83" s="172" t="n">
        <v>5038</v>
      </c>
      <c r="AR83" s="172" t="n">
        <v>6375</v>
      </c>
      <c r="AS83" s="172" t="n">
        <v>46080</v>
      </c>
      <c r="AT83" s="172" t="n">
        <v>47783</v>
      </c>
      <c r="AU83" s="172" t="n">
        <v>41425</v>
      </c>
      <c r="AV83" s="172" t="n">
        <v>44577</v>
      </c>
      <c r="AW83" s="172" t="n">
        <v>32281</v>
      </c>
      <c r="AX83" s="182" t="n">
        <v>151057</v>
      </c>
      <c r="AY83" s="182" t="n">
        <v>266862</v>
      </c>
      <c r="AZ83" s="182" t="n">
        <v>167233</v>
      </c>
      <c r="BA83" s="182" t="n">
        <v>151747</v>
      </c>
      <c r="BB83" s="182" t="n">
        <v>491091</v>
      </c>
      <c r="BC83" s="182" t="n">
        <v>158038</v>
      </c>
      <c r="BD83" s="185" t="n">
        <v>345607</v>
      </c>
      <c r="BE83" s="182" t="n">
        <v>27839</v>
      </c>
      <c r="BF83" s="185" t="n">
        <v>24473</v>
      </c>
      <c r="BG83" s="182" t="n">
        <v>24072</v>
      </c>
      <c r="BH83" s="182" t="n">
        <v>22659</v>
      </c>
      <c r="BI83" s="182" t="n">
        <v>20975</v>
      </c>
      <c r="BJ83" s="185" t="n">
        <v>16176</v>
      </c>
      <c r="BK83" s="185" t="n">
        <v>18618</v>
      </c>
      <c r="BL83" s="185" t="n">
        <v>21177</v>
      </c>
      <c r="BM83" s="182" t="n">
        <v>16390</v>
      </c>
      <c r="BN83" s="182" t="n">
        <v>16785</v>
      </c>
      <c r="BO83" s="182" t="n">
        <v>17226</v>
      </c>
      <c r="BP83" s="182" t="n">
        <v>18348</v>
      </c>
      <c r="BQ83" s="182" t="n">
        <v>19156</v>
      </c>
      <c r="BR83" s="182" t="n">
        <v>25670</v>
      </c>
      <c r="BS83" s="182" t="n">
        <v>17745</v>
      </c>
      <c r="BT83" s="182" t="n">
        <v>15750</v>
      </c>
      <c r="BU83" s="182" t="n">
        <v>61543</v>
      </c>
      <c r="BV83" s="182">
        <f t="array" ref="BV83">_xlfn.XLOOKUP(1,(creditcard[YYYYMM]=BV$4)*(creditcard[Bank]=$A83),creditcard[當月停卡數])</f>
        <v/>
      </c>
      <c r="BW83" s="182">
        <f t="array" ref="BW83">_xlfn.XLOOKUP(1,(creditcard[YYYYMM]=BW$4)*(creditcard[Bank]=$A83),creditcard[當月停卡數])</f>
        <v/>
      </c>
      <c r="BX83" s="182">
        <f t="array" ref="BX83">_xlfn.XLOOKUP(1,(creditcard[YYYYMM]=BX$4)*(creditcard[Bank]=$A83),creditcard[當月停卡數])</f>
        <v/>
      </c>
      <c r="BY83" s="182">
        <f t="array" ref="BY83">_xlfn.XLOOKUP(1,(creditcard[YYYYMM]=BY$4)*(creditcard[Bank]=$A83),creditcard[當月停卡數],"")</f>
        <v/>
      </c>
      <c r="BZ83" s="182">
        <f t="array" ref="BZ83">_xlfn.XLOOKUP(1,(creditcard[YYYYMM]=BZ$4)*(creditcard[Bank]=$A83),creditcard[當月停卡數],"")</f>
        <v/>
      </c>
      <c r="CA83" s="182">
        <f t="array" ref="CA83">_xlfn.XLOOKUP(1,(creditcard[YYYYMM]=CA$4)*(creditcard[Bank]=$A83),creditcard[當月停卡數],"")</f>
        <v/>
      </c>
      <c r="CB83" s="182">
        <f t="array" ref="CB83">_xlfn.XLOOKUP(1,(creditcard[YYYYMM]=CB$4)*(creditcard[Bank]=$A83),creditcard[當月停卡數],"")</f>
        <v/>
      </c>
      <c r="CC83" s="182">
        <f t="array" ref="CC83">_xlfn.XLOOKUP(1,(creditcard[YYYYMM]=CC$4)*(creditcard[Bank]=$A83),creditcard[當月停卡數],"")</f>
        <v/>
      </c>
      <c r="CD83" s="182">
        <f t="array" ref="CD83">_xlfn.XLOOKUP(1,(creditcard[YYYYMM]=CD$4)*(creditcard[Bank]=$A83),creditcard[當月停卡數],"")</f>
        <v/>
      </c>
      <c r="CE83" s="182">
        <f t="array" ref="CE83">_xlfn.XLOOKUP(1,(creditcard[YYYYMM]=CE$4)*(creditcard[Bank]=$A83),creditcard[當月停卡數],"")</f>
        <v/>
      </c>
      <c r="CF83" s="182">
        <f t="array" ref="CF83">_xlfn.XLOOKUP(1,(creditcard[YYYYMM]=CF$4)*(creditcard[Bank]=$A83),creditcard[當月停卡數],"")</f>
        <v/>
      </c>
      <c r="CG83" s="182">
        <f t="array" ref="CG83">_xlfn.XLOOKUP(1,(creditcard[YYYYMM]=CG$4)*(creditcard[Bank]=$A83),creditcard[當月停卡數],"")</f>
        <v/>
      </c>
      <c r="CH83" s="182" t="n"/>
    </row>
    <row r="84" ht="14.25" customHeight="1" s="142">
      <c r="A84" s="174" t="inlineStr">
        <is>
          <t>聯邦</t>
        </is>
      </c>
      <c r="B84" s="172" t="n">
        <v>14972</v>
      </c>
      <c r="C84" s="172" t="n">
        <v>15411</v>
      </c>
      <c r="D84" s="172" t="n">
        <v>13459</v>
      </c>
      <c r="E84" s="172" t="n">
        <v>17866</v>
      </c>
      <c r="F84" s="172" t="n">
        <v>14685</v>
      </c>
      <c r="G84" s="172" t="n">
        <v>85283</v>
      </c>
      <c r="H84" s="172" t="n">
        <v>26805</v>
      </c>
      <c r="I84" s="172" t="n">
        <v>13347</v>
      </c>
      <c r="J84" s="172" t="n">
        <v>13728</v>
      </c>
      <c r="K84" s="172" t="n">
        <v>33100</v>
      </c>
      <c r="L84" s="172" t="n">
        <v>12651</v>
      </c>
      <c r="M84" s="172" t="n">
        <v>12640</v>
      </c>
      <c r="N84" s="172" t="n">
        <v>15573</v>
      </c>
      <c r="O84" s="172" t="n">
        <v>10624</v>
      </c>
      <c r="P84" s="172" t="n">
        <v>12107</v>
      </c>
      <c r="Q84" s="172" t="n">
        <v>10901</v>
      </c>
      <c r="R84" s="172" t="n">
        <v>10120</v>
      </c>
      <c r="S84" s="172" t="n">
        <v>104177</v>
      </c>
      <c r="T84" s="172" t="n">
        <v>15813</v>
      </c>
      <c r="U84" s="172" t="n">
        <v>11129</v>
      </c>
      <c r="V84" s="172" t="n">
        <v>10430</v>
      </c>
      <c r="W84" s="172" t="n">
        <v>10559</v>
      </c>
      <c r="X84" s="172" t="n">
        <v>10086</v>
      </c>
      <c r="Y84" s="172" t="n">
        <v>14988</v>
      </c>
      <c r="Z84" s="173" t="n">
        <v>17726</v>
      </c>
      <c r="AA84" s="173" t="n">
        <v>13439</v>
      </c>
      <c r="AB84" s="173" t="n">
        <v>17569</v>
      </c>
      <c r="AC84" s="172" t="n">
        <v>14282</v>
      </c>
      <c r="AD84" s="172" t="n">
        <v>15239</v>
      </c>
      <c r="AE84" s="172" t="n">
        <v>12090</v>
      </c>
      <c r="AF84" s="172" t="n">
        <v>16865</v>
      </c>
      <c r="AG84" s="172" t="n">
        <v>15190</v>
      </c>
      <c r="AH84" s="172" t="n">
        <v>16438</v>
      </c>
      <c r="AI84" s="172" t="n">
        <v>13721</v>
      </c>
      <c r="AJ84" s="172" t="n">
        <v>15944</v>
      </c>
      <c r="AK84" s="172" t="n">
        <v>16491</v>
      </c>
      <c r="AL84" s="172" t="n">
        <v>15332</v>
      </c>
      <c r="AM84" s="172" t="n">
        <v>16590</v>
      </c>
      <c r="AN84" s="172" t="n">
        <v>19729</v>
      </c>
      <c r="AO84" s="172" t="n">
        <v>15883</v>
      </c>
      <c r="AP84" s="172" t="n">
        <v>17628</v>
      </c>
      <c r="AQ84" s="172" t="n">
        <v>16287</v>
      </c>
      <c r="AR84" s="172" t="n">
        <v>17246</v>
      </c>
      <c r="AS84" s="172" t="n">
        <v>19452</v>
      </c>
      <c r="AT84" s="172" t="n">
        <v>16290</v>
      </c>
      <c r="AU84" s="172" t="n">
        <v>17114</v>
      </c>
      <c r="AV84" s="172" t="n">
        <v>17903</v>
      </c>
      <c r="AW84" s="172" t="n">
        <v>17094</v>
      </c>
      <c r="AX84" s="182" t="n">
        <v>17094</v>
      </c>
      <c r="AY84" s="182" t="n">
        <v>43855</v>
      </c>
      <c r="AZ84" s="182" t="n">
        <v>101847</v>
      </c>
      <c r="BA84" s="182" t="n">
        <v>23811</v>
      </c>
      <c r="BB84" s="182" t="n">
        <v>22535</v>
      </c>
      <c r="BC84" s="182" t="n">
        <v>63851</v>
      </c>
      <c r="BD84" s="185" t="n">
        <v>38734</v>
      </c>
      <c r="BE84" s="182" t="n">
        <v>41881</v>
      </c>
      <c r="BF84" s="185" t="n">
        <v>23112</v>
      </c>
      <c r="BG84" s="182" t="n">
        <v>41026</v>
      </c>
      <c r="BH84" s="182" t="n">
        <v>40672</v>
      </c>
      <c r="BI84" s="182" t="n">
        <v>59664</v>
      </c>
      <c r="BJ84" s="185" t="n">
        <v>21771</v>
      </c>
      <c r="BK84" s="185" t="n">
        <v>20992</v>
      </c>
      <c r="BL84" s="185" t="n">
        <v>24550</v>
      </c>
      <c r="BM84" s="182" t="n">
        <v>22655</v>
      </c>
      <c r="BN84" s="182" t="n">
        <v>22119</v>
      </c>
      <c r="BO84" s="182" t="n">
        <v>21665</v>
      </c>
      <c r="BP84" s="182" t="n">
        <v>23769</v>
      </c>
      <c r="BQ84" s="182" t="n">
        <v>23273</v>
      </c>
      <c r="BR84" s="182" t="n">
        <v>24171</v>
      </c>
      <c r="BS84" s="182" t="n">
        <v>23812</v>
      </c>
      <c r="BT84" s="182" t="n">
        <v>45027</v>
      </c>
      <c r="BU84" s="182" t="n">
        <v>23944</v>
      </c>
      <c r="BV84" s="182">
        <f t="array" ref="BV84">_xlfn.XLOOKUP(1,(creditcard[YYYYMM]=BV$4)*(creditcard[Bank]=$A84),creditcard[當月停卡數])</f>
        <v/>
      </c>
      <c r="BW84" s="182">
        <f t="array" ref="BW84">_xlfn.XLOOKUP(1,(creditcard[YYYYMM]=BW$4)*(creditcard[Bank]=$A84),creditcard[當月停卡數])</f>
        <v/>
      </c>
      <c r="BX84" s="182">
        <f t="array" ref="BX84">_xlfn.XLOOKUP(1,(creditcard[YYYYMM]=BX$4)*(creditcard[Bank]=$A84),creditcard[當月停卡數])</f>
        <v/>
      </c>
      <c r="BY84" s="182">
        <f t="array" ref="BY84">_xlfn.XLOOKUP(1,(creditcard[YYYYMM]=BY$4)*(creditcard[Bank]=$A84),creditcard[當月停卡數],"")</f>
        <v/>
      </c>
      <c r="BZ84" s="182">
        <f t="array" ref="BZ84">_xlfn.XLOOKUP(1,(creditcard[YYYYMM]=BZ$4)*(creditcard[Bank]=$A84),creditcard[當月停卡數],"")</f>
        <v/>
      </c>
      <c r="CA84" s="182">
        <f t="array" ref="CA84">_xlfn.XLOOKUP(1,(creditcard[YYYYMM]=CA$4)*(creditcard[Bank]=$A84),creditcard[當月停卡數],"")</f>
        <v/>
      </c>
      <c r="CB84" s="182">
        <f t="array" ref="CB84">_xlfn.XLOOKUP(1,(creditcard[YYYYMM]=CB$4)*(creditcard[Bank]=$A84),creditcard[當月停卡數],"")</f>
        <v/>
      </c>
      <c r="CC84" s="182">
        <f t="array" ref="CC84">_xlfn.XLOOKUP(1,(creditcard[YYYYMM]=CC$4)*(creditcard[Bank]=$A84),creditcard[當月停卡數],"")</f>
        <v/>
      </c>
      <c r="CD84" s="182">
        <f t="array" ref="CD84">_xlfn.XLOOKUP(1,(creditcard[YYYYMM]=CD$4)*(creditcard[Bank]=$A84),creditcard[當月停卡數],"")</f>
        <v/>
      </c>
      <c r="CE84" s="182">
        <f t="array" ref="CE84">_xlfn.XLOOKUP(1,(creditcard[YYYYMM]=CE$4)*(creditcard[Bank]=$A84),creditcard[當月停卡數],"")</f>
        <v/>
      </c>
      <c r="CF84" s="182">
        <f t="array" ref="CF84">_xlfn.XLOOKUP(1,(creditcard[YYYYMM]=CF$4)*(creditcard[Bank]=$A84),creditcard[當月停卡數],"")</f>
        <v/>
      </c>
      <c r="CG84" s="182">
        <f t="array" ref="CG84">_xlfn.XLOOKUP(1,(creditcard[YYYYMM]=CG$4)*(creditcard[Bank]=$A84),creditcard[當月停卡數],"")</f>
        <v/>
      </c>
      <c r="CH84" s="182" t="n"/>
    </row>
    <row r="85">
      <c r="A85" s="174" t="inlineStr">
        <is>
          <t>永豐</t>
        </is>
      </c>
      <c r="B85" s="172" t="n">
        <v>11207</v>
      </c>
      <c r="C85" s="172" t="n">
        <v>32687</v>
      </c>
      <c r="D85" s="172" t="n">
        <v>12458</v>
      </c>
      <c r="E85" s="172" t="n">
        <v>38194</v>
      </c>
      <c r="F85" s="172" t="n">
        <v>8836</v>
      </c>
      <c r="G85" s="172" t="n">
        <v>8253</v>
      </c>
      <c r="H85" s="172" t="n">
        <v>9232</v>
      </c>
      <c r="I85" s="172" t="n">
        <v>7305</v>
      </c>
      <c r="J85" s="172" t="n">
        <v>8086</v>
      </c>
      <c r="K85" s="172" t="n">
        <v>74612</v>
      </c>
      <c r="L85" s="172" t="n">
        <v>12634</v>
      </c>
      <c r="M85" s="172" t="n">
        <v>34865</v>
      </c>
      <c r="N85" s="172" t="n">
        <v>84043</v>
      </c>
      <c r="O85" s="172" t="n">
        <v>8788</v>
      </c>
      <c r="P85" s="172" t="n">
        <v>11604</v>
      </c>
      <c r="Q85" s="172" t="n">
        <v>7718</v>
      </c>
      <c r="R85" s="172" t="n">
        <v>6488</v>
      </c>
      <c r="S85" s="172" t="n">
        <v>5700</v>
      </c>
      <c r="T85" s="172" t="n">
        <v>6289</v>
      </c>
      <c r="U85" s="172" t="n">
        <v>6842</v>
      </c>
      <c r="V85" s="172" t="n">
        <v>5928</v>
      </c>
      <c r="W85" s="172" t="n">
        <v>6626</v>
      </c>
      <c r="X85" s="172" t="n">
        <v>6296</v>
      </c>
      <c r="Y85" s="172" t="n">
        <v>5745</v>
      </c>
      <c r="Z85" s="173" t="n">
        <v>6675</v>
      </c>
      <c r="AA85" s="173" t="n">
        <v>5540</v>
      </c>
      <c r="AB85" s="173" t="n">
        <v>8399</v>
      </c>
      <c r="AC85" s="172" t="n">
        <v>6452</v>
      </c>
      <c r="AD85" s="172" t="n">
        <v>6102</v>
      </c>
      <c r="AE85" s="172" t="n">
        <v>6251</v>
      </c>
      <c r="AF85" s="172" t="n">
        <v>27658</v>
      </c>
      <c r="AG85" s="172" t="n">
        <v>6615</v>
      </c>
      <c r="AH85" s="172" t="n">
        <v>5884</v>
      </c>
      <c r="AI85" s="172" t="n">
        <v>7153</v>
      </c>
      <c r="AJ85" s="172" t="n">
        <v>11924</v>
      </c>
      <c r="AK85" s="172" t="n">
        <v>7350</v>
      </c>
      <c r="AL85" s="172" t="n">
        <v>7832</v>
      </c>
      <c r="AM85" s="172" t="n">
        <v>9775</v>
      </c>
      <c r="AN85" s="172" t="n">
        <v>22941</v>
      </c>
      <c r="AO85" s="172" t="n">
        <v>14915</v>
      </c>
      <c r="AP85" s="172" t="n">
        <v>9723</v>
      </c>
      <c r="AQ85" s="172" t="n">
        <v>9484</v>
      </c>
      <c r="AR85" s="172" t="n">
        <v>28015</v>
      </c>
      <c r="AS85" s="172" t="n">
        <v>8068</v>
      </c>
      <c r="AT85" s="172" t="n">
        <v>46296</v>
      </c>
      <c r="AU85" s="172" t="n">
        <v>80775</v>
      </c>
      <c r="AV85" s="172" t="n">
        <v>11054</v>
      </c>
      <c r="AW85" s="172" t="n">
        <v>9405</v>
      </c>
      <c r="AX85" s="182" t="n">
        <v>10769</v>
      </c>
      <c r="AY85" s="182" t="n">
        <v>6653</v>
      </c>
      <c r="AZ85" s="182" t="n">
        <v>6699</v>
      </c>
      <c r="BA85" s="182" t="n">
        <v>6997</v>
      </c>
      <c r="BB85" s="182" t="n">
        <v>7763</v>
      </c>
      <c r="BC85" s="182" t="n">
        <v>6598</v>
      </c>
      <c r="BD85" s="185" t="n">
        <v>29737</v>
      </c>
      <c r="BE85" s="182" t="n">
        <v>67783</v>
      </c>
      <c r="BF85" s="185" t="n">
        <v>59904</v>
      </c>
      <c r="BG85" s="182" t="n">
        <v>5277</v>
      </c>
      <c r="BH85" s="182" t="n">
        <v>63567</v>
      </c>
      <c r="BI85" s="182" t="n">
        <v>5431</v>
      </c>
      <c r="BJ85" s="185" t="n">
        <v>4740</v>
      </c>
      <c r="BK85" s="185" t="n">
        <v>5951</v>
      </c>
      <c r="BL85" s="185" t="n">
        <v>6096</v>
      </c>
      <c r="BM85" s="182" t="n">
        <v>5707</v>
      </c>
      <c r="BN85" s="182" t="n">
        <v>5267</v>
      </c>
      <c r="BO85" s="182" t="n">
        <v>5046</v>
      </c>
      <c r="BP85" s="182" t="n">
        <v>5971</v>
      </c>
      <c r="BQ85" s="182" t="n">
        <v>5769</v>
      </c>
      <c r="BR85" s="182" t="n">
        <v>6392</v>
      </c>
      <c r="BS85" s="182" t="n">
        <v>6341</v>
      </c>
      <c r="BT85" s="182" t="n">
        <v>5940</v>
      </c>
      <c r="BU85" s="182" t="n">
        <v>6985</v>
      </c>
      <c r="BV85" s="182">
        <f t="array" ref="BV85">_xlfn.XLOOKUP(1,(creditcard[YYYYMM]=BV$4)*(creditcard[Bank]=$A85),creditcard[當月停卡數])</f>
        <v/>
      </c>
      <c r="BW85" s="182">
        <f t="array" ref="BW85">_xlfn.XLOOKUP(1,(creditcard[YYYYMM]=BW$4)*(creditcard[Bank]=$A85),creditcard[當月停卡數])</f>
        <v/>
      </c>
      <c r="BX85" s="182">
        <f t="array" ref="BX85">_xlfn.XLOOKUP(1,(creditcard[YYYYMM]=BX$4)*(creditcard[Bank]=$A85),creditcard[當月停卡數])</f>
        <v/>
      </c>
      <c r="BY85" s="182">
        <f t="array" ref="BY85">_xlfn.XLOOKUP(1,(creditcard[YYYYMM]=BY$4)*(creditcard[Bank]=$A85),creditcard[當月停卡數],"")</f>
        <v/>
      </c>
      <c r="BZ85" s="182">
        <f t="array" ref="BZ85">_xlfn.XLOOKUP(1,(creditcard[YYYYMM]=BZ$4)*(creditcard[Bank]=$A85),creditcard[當月停卡數],"")</f>
        <v/>
      </c>
      <c r="CA85" s="182">
        <f t="array" ref="CA85">_xlfn.XLOOKUP(1,(creditcard[YYYYMM]=CA$4)*(creditcard[Bank]=$A85),creditcard[當月停卡數],"")</f>
        <v/>
      </c>
      <c r="CB85" s="182">
        <f t="array" ref="CB85">_xlfn.XLOOKUP(1,(creditcard[YYYYMM]=CB$4)*(creditcard[Bank]=$A85),creditcard[當月停卡數],"")</f>
        <v/>
      </c>
      <c r="CC85" s="182">
        <f t="array" ref="CC85">_xlfn.XLOOKUP(1,(creditcard[YYYYMM]=CC$4)*(creditcard[Bank]=$A85),creditcard[當月停卡數],"")</f>
        <v/>
      </c>
      <c r="CD85" s="182">
        <f t="array" ref="CD85">_xlfn.XLOOKUP(1,(creditcard[YYYYMM]=CD$4)*(creditcard[Bank]=$A85),creditcard[當月停卡數],"")</f>
        <v/>
      </c>
      <c r="CE85" s="182">
        <f t="array" ref="CE85">_xlfn.XLOOKUP(1,(creditcard[YYYYMM]=CE$4)*(creditcard[Bank]=$A85),creditcard[當月停卡數],"")</f>
        <v/>
      </c>
      <c r="CF85" s="182">
        <f t="array" ref="CF85">_xlfn.XLOOKUP(1,(creditcard[YYYYMM]=CF$4)*(creditcard[Bank]=$A85),creditcard[當月停卡數],"")</f>
        <v/>
      </c>
      <c r="CG85" s="182">
        <f t="array" ref="CG85">_xlfn.XLOOKUP(1,(creditcard[YYYYMM]=CG$4)*(creditcard[Bank]=$A85),creditcard[當月停卡數],"")</f>
        <v/>
      </c>
      <c r="CH85" s="182" t="n"/>
    </row>
    <row r="86">
      <c r="A86" s="174" t="inlineStr">
        <is>
          <t>第一</t>
        </is>
      </c>
      <c r="B86" s="172" t="n">
        <v>9238</v>
      </c>
      <c r="C86" s="172" t="n">
        <v>10428</v>
      </c>
      <c r="D86" s="172" t="n">
        <v>9989</v>
      </c>
      <c r="E86" s="172" t="n">
        <v>10081</v>
      </c>
      <c r="F86" s="172" t="n">
        <v>9606</v>
      </c>
      <c r="G86" s="172" t="n">
        <v>11177</v>
      </c>
      <c r="H86" s="172" t="n">
        <v>12728</v>
      </c>
      <c r="I86" s="172" t="n">
        <v>31479</v>
      </c>
      <c r="J86" s="172" t="n">
        <v>12274</v>
      </c>
      <c r="K86" s="172" t="n">
        <v>9979</v>
      </c>
      <c r="L86" s="172" t="n">
        <v>12568</v>
      </c>
      <c r="M86" s="172" t="n">
        <v>14207</v>
      </c>
      <c r="N86" s="172" t="n">
        <v>12145</v>
      </c>
      <c r="O86" s="172" t="n">
        <v>9990</v>
      </c>
      <c r="P86" s="172" t="n">
        <v>12796</v>
      </c>
      <c r="Q86" s="172" t="n">
        <v>11725</v>
      </c>
      <c r="R86" s="172" t="n">
        <v>10515</v>
      </c>
      <c r="S86" s="172" t="n">
        <v>10276</v>
      </c>
      <c r="T86" s="172" t="n">
        <v>11793</v>
      </c>
      <c r="U86" s="172" t="n">
        <v>9853</v>
      </c>
      <c r="V86" s="172" t="n">
        <v>9584</v>
      </c>
      <c r="W86" s="172" t="n">
        <v>10584</v>
      </c>
      <c r="X86" s="172" t="n">
        <v>10706</v>
      </c>
      <c r="Y86" s="172" t="n">
        <v>15953</v>
      </c>
      <c r="Z86" s="173" t="n">
        <v>10455</v>
      </c>
      <c r="AA86" s="173" t="n">
        <v>8121</v>
      </c>
      <c r="AB86" s="173" t="n">
        <v>11831</v>
      </c>
      <c r="AC86" s="172" t="n">
        <v>9655</v>
      </c>
      <c r="AD86" s="172" t="n">
        <v>7130</v>
      </c>
      <c r="AE86" s="172" t="n">
        <v>7975</v>
      </c>
      <c r="AF86" s="172" t="n">
        <v>9504</v>
      </c>
      <c r="AG86" s="172" t="n">
        <v>13727</v>
      </c>
      <c r="AH86" s="172" t="n">
        <v>13352</v>
      </c>
      <c r="AI86" s="172" t="n">
        <v>11852</v>
      </c>
      <c r="AJ86" s="172" t="n">
        <v>11076</v>
      </c>
      <c r="AK86" s="172" t="n">
        <v>11124</v>
      </c>
      <c r="AL86" s="172" t="n">
        <v>9812</v>
      </c>
      <c r="AM86" s="172" t="n">
        <v>12655</v>
      </c>
      <c r="AN86" s="172" t="n">
        <v>11588</v>
      </c>
      <c r="AO86" s="172" t="n">
        <v>9966</v>
      </c>
      <c r="AP86" s="172" t="n">
        <v>11940</v>
      </c>
      <c r="AQ86" s="172" t="n">
        <v>10274</v>
      </c>
      <c r="AR86" s="172" t="n">
        <v>15115</v>
      </c>
      <c r="AS86" s="172" t="n">
        <v>9910</v>
      </c>
      <c r="AT86" s="172" t="n">
        <v>10378</v>
      </c>
      <c r="AU86" s="172" t="n">
        <v>9596</v>
      </c>
      <c r="AV86" s="172" t="n">
        <v>9355</v>
      </c>
      <c r="AW86" s="172" t="n">
        <v>9468</v>
      </c>
      <c r="AX86" s="182" t="n">
        <v>10594</v>
      </c>
      <c r="AY86" s="182" t="n">
        <v>10888</v>
      </c>
      <c r="AZ86" s="182" t="n">
        <v>54930</v>
      </c>
      <c r="BA86" s="182" t="n">
        <v>42819</v>
      </c>
      <c r="BB86" s="182" t="n">
        <v>11794</v>
      </c>
      <c r="BC86" s="182" t="n">
        <v>9292</v>
      </c>
      <c r="BD86" s="185" t="n">
        <v>9434</v>
      </c>
      <c r="BE86" s="182" t="n">
        <v>9991</v>
      </c>
      <c r="BF86" s="185" t="n">
        <v>15542</v>
      </c>
      <c r="BG86" s="182" t="n">
        <v>13164</v>
      </c>
      <c r="BH86" s="182" t="n">
        <v>63749</v>
      </c>
      <c r="BI86" s="182" t="n">
        <v>12553</v>
      </c>
      <c r="BJ86" s="185" t="n">
        <v>7277</v>
      </c>
      <c r="BK86" s="185" t="n">
        <v>6354</v>
      </c>
      <c r="BL86" s="185" t="n">
        <v>5875</v>
      </c>
      <c r="BM86" s="182" t="n">
        <v>5831</v>
      </c>
      <c r="BN86" s="182" t="n">
        <v>5663</v>
      </c>
      <c r="BO86" s="182" t="n">
        <v>5395</v>
      </c>
      <c r="BP86" s="182" t="n">
        <v>6051</v>
      </c>
      <c r="BQ86" s="182" t="n">
        <v>5222</v>
      </c>
      <c r="BR86" s="182" t="n">
        <v>6273</v>
      </c>
      <c r="BS86" s="182" t="n">
        <v>5517</v>
      </c>
      <c r="BT86" s="182" t="n">
        <v>5404</v>
      </c>
      <c r="BU86" s="182" t="n">
        <v>6433</v>
      </c>
      <c r="BV86" s="182">
        <f t="array" ref="BV86">_xlfn.XLOOKUP(1,(creditcard[YYYYMM]=BV$4)*(creditcard[Bank]=$A86),creditcard[當月停卡數])</f>
        <v/>
      </c>
      <c r="BW86" s="182">
        <f t="array" ref="BW86">_xlfn.XLOOKUP(1,(creditcard[YYYYMM]=BW$4)*(creditcard[Bank]=$A86),creditcard[當月停卡數])</f>
        <v/>
      </c>
      <c r="BX86" s="182">
        <f t="array" ref="BX86">_xlfn.XLOOKUP(1,(creditcard[YYYYMM]=BX$4)*(creditcard[Bank]=$A86),creditcard[當月停卡數])</f>
        <v/>
      </c>
      <c r="BY86" s="182">
        <f t="array" ref="BY86">_xlfn.XLOOKUP(1,(creditcard[YYYYMM]=BY$4)*(creditcard[Bank]=$A86),creditcard[當月停卡數],"")</f>
        <v/>
      </c>
      <c r="BZ86" s="182">
        <f t="array" ref="BZ86">_xlfn.XLOOKUP(1,(creditcard[YYYYMM]=BZ$4)*(creditcard[Bank]=$A86),creditcard[當月停卡數],"")</f>
        <v/>
      </c>
      <c r="CA86" s="182">
        <f t="array" ref="CA86">_xlfn.XLOOKUP(1,(creditcard[YYYYMM]=CA$4)*(creditcard[Bank]=$A86),creditcard[當月停卡數],"")</f>
        <v/>
      </c>
      <c r="CB86" s="182">
        <f t="array" ref="CB86">_xlfn.XLOOKUP(1,(creditcard[YYYYMM]=CB$4)*(creditcard[Bank]=$A86),creditcard[當月停卡數],"")</f>
        <v/>
      </c>
      <c r="CC86" s="182">
        <f t="array" ref="CC86">_xlfn.XLOOKUP(1,(creditcard[YYYYMM]=CC$4)*(creditcard[Bank]=$A86),creditcard[當月停卡數],"")</f>
        <v/>
      </c>
      <c r="CD86" s="182">
        <f t="array" ref="CD86">_xlfn.XLOOKUP(1,(creditcard[YYYYMM]=CD$4)*(creditcard[Bank]=$A86),creditcard[當月停卡數],"")</f>
        <v/>
      </c>
      <c r="CE86" s="182">
        <f t="array" ref="CE86">_xlfn.XLOOKUP(1,(creditcard[YYYYMM]=CE$4)*(creditcard[Bank]=$A86),creditcard[當月停卡數],"")</f>
        <v/>
      </c>
      <c r="CF86" s="182">
        <f t="array" ref="CF86">_xlfn.XLOOKUP(1,(creditcard[YYYYMM]=CF$4)*(creditcard[Bank]=$A86),creditcard[當月停卡數],"")</f>
        <v/>
      </c>
      <c r="CG86" s="182">
        <f t="array" ref="CG86">_xlfn.XLOOKUP(1,(creditcard[YYYYMM]=CG$4)*(creditcard[Bank]=$A86),creditcard[當月停卡數],"")</f>
        <v/>
      </c>
      <c r="CH86" s="182" t="n"/>
    </row>
    <row r="87">
      <c r="A87" s="174" t="inlineStr">
        <is>
          <t>遠東</t>
        </is>
      </c>
      <c r="B87" s="172" t="n">
        <v>6734</v>
      </c>
      <c r="C87" s="172" t="n">
        <v>6366</v>
      </c>
      <c r="D87" s="172" t="n">
        <v>6659</v>
      </c>
      <c r="E87" s="172" t="n">
        <v>6236</v>
      </c>
      <c r="F87" s="172" t="n">
        <v>5746</v>
      </c>
      <c r="G87" s="172" t="n">
        <v>5667</v>
      </c>
      <c r="H87" s="172" t="n">
        <v>6099</v>
      </c>
      <c r="I87" s="172" t="n">
        <v>5398</v>
      </c>
      <c r="J87" s="172" t="n">
        <v>5240</v>
      </c>
      <c r="K87" s="172" t="n">
        <v>5480</v>
      </c>
      <c r="L87" s="172" t="n">
        <v>7914</v>
      </c>
      <c r="M87" s="172" t="n">
        <v>22967</v>
      </c>
      <c r="N87" s="172" t="n">
        <v>7670</v>
      </c>
      <c r="O87" s="172" t="n">
        <v>5881</v>
      </c>
      <c r="P87" s="172" t="n">
        <v>7054</v>
      </c>
      <c r="Q87" s="172" t="n">
        <v>6297</v>
      </c>
      <c r="R87" s="172" t="n">
        <v>6632</v>
      </c>
      <c r="S87" s="172" t="n">
        <v>72899</v>
      </c>
      <c r="T87" s="172" t="n">
        <v>5251</v>
      </c>
      <c r="U87" s="172" t="n">
        <v>6302</v>
      </c>
      <c r="V87" s="172" t="n">
        <v>5881</v>
      </c>
      <c r="W87" s="172" t="n">
        <v>7265</v>
      </c>
      <c r="X87" s="172" t="n">
        <v>7925</v>
      </c>
      <c r="Y87" s="172" t="n">
        <v>38926</v>
      </c>
      <c r="Z87" s="173" t="n">
        <v>7092</v>
      </c>
      <c r="AA87" s="173" t="n">
        <v>5543</v>
      </c>
      <c r="AB87" s="173" t="n">
        <v>7258</v>
      </c>
      <c r="AC87" s="172" t="n">
        <v>9293</v>
      </c>
      <c r="AD87" s="172" t="n">
        <v>9787</v>
      </c>
      <c r="AE87" s="172" t="n">
        <v>9514</v>
      </c>
      <c r="AF87" s="172" t="n">
        <v>10870</v>
      </c>
      <c r="AG87" s="172" t="n">
        <v>10882</v>
      </c>
      <c r="AH87" s="172" t="n">
        <v>11162</v>
      </c>
      <c r="AI87" s="172" t="n">
        <v>14221</v>
      </c>
      <c r="AJ87" s="172" t="n">
        <v>15675</v>
      </c>
      <c r="AK87" s="172" t="n">
        <v>18310</v>
      </c>
      <c r="AL87" s="172" t="n">
        <v>10560</v>
      </c>
      <c r="AM87" s="172" t="n">
        <v>14189</v>
      </c>
      <c r="AN87" s="172" t="n">
        <v>143185</v>
      </c>
      <c r="AO87" s="172" t="n">
        <v>9820</v>
      </c>
      <c r="AP87" s="172" t="n">
        <v>10030</v>
      </c>
      <c r="AQ87" s="172" t="n">
        <v>8595</v>
      </c>
      <c r="AR87" s="172" t="n">
        <v>9146</v>
      </c>
      <c r="AS87" s="172" t="n">
        <v>10425</v>
      </c>
      <c r="AT87" s="172" t="n">
        <v>84658</v>
      </c>
      <c r="AU87" s="172" t="n">
        <v>12003</v>
      </c>
      <c r="AV87" s="172" t="n">
        <v>13009</v>
      </c>
      <c r="AW87" s="172" t="n">
        <v>8698</v>
      </c>
      <c r="AX87" s="182" t="n">
        <v>6935</v>
      </c>
      <c r="AY87" s="182" t="n">
        <v>6196</v>
      </c>
      <c r="AZ87" s="182" t="n">
        <v>7298</v>
      </c>
      <c r="BA87" s="182" t="n">
        <v>6679</v>
      </c>
      <c r="BB87" s="182" t="n">
        <v>6704</v>
      </c>
      <c r="BC87" s="182" t="n">
        <v>6218</v>
      </c>
      <c r="BD87" s="185" t="n">
        <v>6098</v>
      </c>
      <c r="BE87" s="182" t="n">
        <v>6281</v>
      </c>
      <c r="BF87" s="185" t="n">
        <v>6433</v>
      </c>
      <c r="BG87" s="182" t="n">
        <v>7502</v>
      </c>
      <c r="BH87" s="182" t="n">
        <v>8548</v>
      </c>
      <c r="BI87" s="182" t="n">
        <v>9226</v>
      </c>
      <c r="BJ87" s="185" t="n">
        <v>7275</v>
      </c>
      <c r="BK87" s="185" t="n">
        <v>7310</v>
      </c>
      <c r="BL87" s="185" t="n">
        <v>7604</v>
      </c>
      <c r="BM87" s="182" t="n">
        <v>6837</v>
      </c>
      <c r="BN87" s="182" t="n">
        <v>7413</v>
      </c>
      <c r="BO87" s="182" t="n">
        <v>8122</v>
      </c>
      <c r="BP87" s="182" t="n">
        <v>7739</v>
      </c>
      <c r="BQ87" s="182" t="n">
        <v>73883</v>
      </c>
      <c r="BR87" s="182" t="n">
        <v>7754</v>
      </c>
      <c r="BS87" s="182" t="n">
        <v>8078</v>
      </c>
      <c r="BT87" s="182" t="n">
        <v>7808</v>
      </c>
      <c r="BU87" s="182" t="n">
        <v>8259</v>
      </c>
      <c r="BV87" s="182">
        <f t="array" ref="BV87">_xlfn.XLOOKUP(1,(creditcard[YYYYMM]=BV$4)*(creditcard[Bank]=$A87),creditcard[當月停卡數])</f>
        <v/>
      </c>
      <c r="BW87" s="182">
        <f t="array" ref="BW87">_xlfn.XLOOKUP(1,(creditcard[YYYYMM]=BW$4)*(creditcard[Bank]=$A87),creditcard[當月停卡數])</f>
        <v/>
      </c>
      <c r="BX87" s="182">
        <f t="array" ref="BX87">_xlfn.XLOOKUP(1,(creditcard[YYYYMM]=BX$4)*(creditcard[Bank]=$A87),creditcard[當月停卡數])</f>
        <v/>
      </c>
      <c r="BY87" s="182">
        <f t="array" ref="BY87">_xlfn.XLOOKUP(1,(creditcard[YYYYMM]=BY$4)*(creditcard[Bank]=$A87),creditcard[當月停卡數],"")</f>
        <v/>
      </c>
      <c r="BZ87" s="182">
        <f t="array" ref="BZ87">_xlfn.XLOOKUP(1,(creditcard[YYYYMM]=BZ$4)*(creditcard[Bank]=$A87),creditcard[當月停卡數],"")</f>
        <v/>
      </c>
      <c r="CA87" s="182">
        <f t="array" ref="CA87">_xlfn.XLOOKUP(1,(creditcard[YYYYMM]=CA$4)*(creditcard[Bank]=$A87),creditcard[當月停卡數],"")</f>
        <v/>
      </c>
      <c r="CB87" s="182">
        <f t="array" ref="CB87">_xlfn.XLOOKUP(1,(creditcard[YYYYMM]=CB$4)*(creditcard[Bank]=$A87),creditcard[當月停卡數],"")</f>
        <v/>
      </c>
      <c r="CC87" s="182">
        <f t="array" ref="CC87">_xlfn.XLOOKUP(1,(creditcard[YYYYMM]=CC$4)*(creditcard[Bank]=$A87),creditcard[當月停卡數],"")</f>
        <v/>
      </c>
      <c r="CD87" s="182">
        <f t="array" ref="CD87">_xlfn.XLOOKUP(1,(creditcard[YYYYMM]=CD$4)*(creditcard[Bank]=$A87),creditcard[當月停卡數],"")</f>
        <v/>
      </c>
      <c r="CE87" s="182">
        <f t="array" ref="CE87">_xlfn.XLOOKUP(1,(creditcard[YYYYMM]=CE$4)*(creditcard[Bank]=$A87),creditcard[當月停卡數],"")</f>
        <v/>
      </c>
      <c r="CF87" s="182">
        <f t="array" ref="CF87">_xlfn.XLOOKUP(1,(creditcard[YYYYMM]=CF$4)*(creditcard[Bank]=$A87),creditcard[當月停卡數],"")</f>
        <v/>
      </c>
      <c r="CG87" s="182">
        <f t="array" ref="CG87">_xlfn.XLOOKUP(1,(creditcard[YYYYMM]=CG$4)*(creditcard[Bank]=$A87),creditcard[當月停卡數],"")</f>
        <v/>
      </c>
      <c r="CH87" s="182" t="n"/>
    </row>
    <row r="88">
      <c r="A88" s="170" t="inlineStr">
        <is>
          <t>市場總計</t>
        </is>
      </c>
      <c r="B88" s="170" t="n">
        <v>265723</v>
      </c>
      <c r="C88" s="170" t="n">
        <v>302753</v>
      </c>
      <c r="D88" s="170" t="n">
        <v>288970</v>
      </c>
      <c r="E88" s="170" t="n">
        <v>412485</v>
      </c>
      <c r="F88" s="170" t="n">
        <v>296157</v>
      </c>
      <c r="G88" s="170" t="n">
        <v>362234</v>
      </c>
      <c r="H88" s="170" t="n">
        <v>312137</v>
      </c>
      <c r="I88" s="170" t="n">
        <v>276113</v>
      </c>
      <c r="J88" s="170" t="n">
        <v>275402</v>
      </c>
      <c r="K88" s="170" t="n">
        <v>359720</v>
      </c>
      <c r="L88" s="170" t="n">
        <v>329033</v>
      </c>
      <c r="M88" s="170" t="n">
        <v>356102</v>
      </c>
      <c r="N88" s="170" t="n">
        <v>378992</v>
      </c>
      <c r="O88" s="170" t="n">
        <v>237554</v>
      </c>
      <c r="P88" s="170" t="n">
        <v>331777</v>
      </c>
      <c r="Q88" s="170" t="n">
        <v>251996</v>
      </c>
      <c r="R88" s="170" t="n">
        <v>249960</v>
      </c>
      <c r="S88" s="170" t="n">
        <v>397006</v>
      </c>
      <c r="T88" s="170" t="n">
        <v>279080</v>
      </c>
      <c r="U88" s="170" t="n">
        <v>321540</v>
      </c>
      <c r="V88" s="170" t="n">
        <v>296395</v>
      </c>
      <c r="W88" s="170" t="n">
        <v>270038</v>
      </c>
      <c r="X88" s="170" t="n">
        <v>273763</v>
      </c>
      <c r="Y88" s="170" t="n">
        <v>298675</v>
      </c>
      <c r="Z88" s="175" t="n">
        <v>304454</v>
      </c>
      <c r="AA88" s="175" t="n">
        <v>255429</v>
      </c>
      <c r="AB88" s="175" t="n">
        <v>353707</v>
      </c>
      <c r="AC88" s="175" t="n">
        <v>248952</v>
      </c>
      <c r="AD88" s="175" t="n">
        <v>274248</v>
      </c>
      <c r="AE88" s="175" t="n">
        <v>264362</v>
      </c>
      <c r="AF88" s="175" t="n">
        <v>297344</v>
      </c>
      <c r="AG88" s="175" t="n">
        <v>313560</v>
      </c>
      <c r="AH88" s="175" t="n">
        <v>282562</v>
      </c>
      <c r="AI88" s="175" t="n">
        <v>301875</v>
      </c>
      <c r="AJ88" s="175" t="n">
        <v>349892</v>
      </c>
      <c r="AK88" s="175" t="n">
        <v>327649</v>
      </c>
      <c r="AL88" s="175" t="n">
        <v>515027</v>
      </c>
      <c r="AM88" s="175" t="n">
        <v>432957</v>
      </c>
      <c r="AN88" s="175" t="n">
        <v>623218</v>
      </c>
      <c r="AO88" s="175" t="n">
        <v>366901</v>
      </c>
      <c r="AP88" s="175" t="n">
        <v>412172</v>
      </c>
      <c r="AQ88" s="175" t="n">
        <v>526896</v>
      </c>
      <c r="AR88" s="175" t="n">
        <v>443245</v>
      </c>
      <c r="AS88" s="175" t="n">
        <v>3747865</v>
      </c>
      <c r="AT88" s="175" t="n">
        <v>540005</v>
      </c>
      <c r="AU88" s="175" t="n">
        <v>645926</v>
      </c>
      <c r="AV88" s="175" t="n">
        <v>424489</v>
      </c>
      <c r="AW88" s="175" t="n">
        <v>358347</v>
      </c>
      <c r="AX88" s="175" t="n">
        <v>522168</v>
      </c>
      <c r="AY88" s="175" t="n">
        <v>553086</v>
      </c>
      <c r="AZ88" s="175" t="n">
        <v>619311</v>
      </c>
      <c r="BA88" s="175" t="n">
        <v>578342</v>
      </c>
      <c r="BB88" s="175" t="n">
        <v>894661</v>
      </c>
      <c r="BC88" s="175" t="n">
        <v>625449</v>
      </c>
      <c r="BD88" s="175" t="n">
        <v>958565</v>
      </c>
      <c r="BE88" s="175" t="n">
        <v>441591</v>
      </c>
      <c r="BF88" s="175" t="n">
        <v>595198</v>
      </c>
      <c r="BG88" s="175" t="n">
        <v>481871</v>
      </c>
      <c r="BH88" s="175" t="n">
        <v>575526</v>
      </c>
      <c r="BI88" s="175" t="n">
        <v>495023</v>
      </c>
      <c r="BJ88" s="175" t="n">
        <v>332907</v>
      </c>
      <c r="BK88" s="187" t="n">
        <v>346726</v>
      </c>
      <c r="BL88" s="187" t="n">
        <v>503513</v>
      </c>
      <c r="BM88" s="175" t="n">
        <v>524499</v>
      </c>
      <c r="BN88" s="175" t="n">
        <v>376240</v>
      </c>
      <c r="BO88" s="175" t="n">
        <v>460380</v>
      </c>
      <c r="BP88" s="175" t="n">
        <v>420921</v>
      </c>
      <c r="BQ88" s="175" t="n">
        <v>437907</v>
      </c>
      <c r="BR88" s="175" t="n">
        <v>498235</v>
      </c>
      <c r="BS88" s="175" t="n">
        <v>438541</v>
      </c>
      <c r="BT88" s="175" t="n">
        <v>554549</v>
      </c>
      <c r="BU88" s="175" t="n">
        <v>523432</v>
      </c>
      <c r="BV88" s="175">
        <f t="array" ref="BV88">_xlfn.XLOOKUP(1,(creditcard[YYYYMM]=BV$4)*(creditcard[Bank]=$A88),creditcard[當月停卡數])</f>
        <v/>
      </c>
      <c r="BW88" s="175">
        <f t="array" ref="BW88">_xlfn.XLOOKUP(1,(creditcard[YYYYMM]=BW$4)*(creditcard[Bank]=$A88),creditcard[當月停卡數])</f>
        <v/>
      </c>
      <c r="BX88" s="175">
        <f t="array" ref="BX88">_xlfn.XLOOKUP(1,(creditcard[YYYYMM]=BX$4)*(creditcard[Bank]=$A88),creditcard[當月停卡數])</f>
        <v/>
      </c>
      <c r="BY88" s="175">
        <f t="array" ref="BY88">_xlfn.XLOOKUP(1,(creditcard[YYYYMM]=BY$4)*(creditcard[Bank]=$A88),creditcard[當月停卡數],"")</f>
        <v/>
      </c>
      <c r="BZ88" s="175">
        <f t="array" ref="BZ88">_xlfn.XLOOKUP(1,(creditcard[YYYYMM]=BZ$4)*(creditcard[Bank]=$A88),creditcard[當月停卡數],"")</f>
        <v/>
      </c>
      <c r="CA88" s="175">
        <f t="array" ref="CA88">_xlfn.XLOOKUP(1,(creditcard[YYYYMM]=CA$4)*(creditcard[Bank]=$A88),creditcard[當月停卡數],"")</f>
        <v/>
      </c>
      <c r="CB88" s="175">
        <f t="array" ref="CB88">_xlfn.XLOOKUP(1,(creditcard[YYYYMM]=CB$4)*(creditcard[Bank]=$A88),creditcard[當月停卡數],"")</f>
        <v/>
      </c>
      <c r="CC88" s="175">
        <f t="array" ref="CC88">_xlfn.XLOOKUP(1,(creditcard[YYYYMM]=CC$4)*(creditcard[Bank]=$A88),creditcard[當月停卡數],"")</f>
        <v/>
      </c>
      <c r="CD88" s="175">
        <f t="array" ref="CD88">_xlfn.XLOOKUP(1,(creditcard[YYYYMM]=CD$4)*(creditcard[Bank]=$A88),creditcard[當月停卡數],"")</f>
        <v/>
      </c>
      <c r="CE88" s="175">
        <f t="array" ref="CE88">_xlfn.XLOOKUP(1,(creditcard[YYYYMM]=CE$4)*(creditcard[Bank]=$A88),creditcard[當月停卡數],"")</f>
        <v/>
      </c>
      <c r="CF88" s="175">
        <f t="array" ref="CF88">_xlfn.XLOOKUP(1,(creditcard[YYYYMM]=CF$4)*(creditcard[Bank]=$A88),creditcard[當月停卡數],"")</f>
        <v/>
      </c>
      <c r="CG88" s="175">
        <f t="array" ref="CG88">_xlfn.XLOOKUP(1,(creditcard[YYYYMM]=CG$4)*(creditcard[Bank]=$A88),creditcard[當月停卡數],"")</f>
        <v/>
      </c>
      <c r="CH88" s="182" t="n"/>
    </row>
    <row r="89" ht="12.75" customFormat="1" customHeight="1" s="73">
      <c r="A89" s="176" t="inlineStr">
        <is>
          <t>TOP5</t>
        </is>
      </c>
      <c r="B89" s="177">
        <f>IFERROR(SUM(B78:B82)/B88,"")</f>
        <v/>
      </c>
      <c r="C89" s="177">
        <f>IFERROR(SUM(C78:C82)/C88,"")</f>
        <v/>
      </c>
      <c r="D89" s="177">
        <f>IFERROR(SUM(D78:D82)/D88,"")</f>
        <v/>
      </c>
      <c r="E89" s="177">
        <f>IFERROR(SUM(E78:E82)/E88,"")</f>
        <v/>
      </c>
      <c r="F89" s="177">
        <f>IFERROR(SUM(F78:F82)/F88,"")</f>
        <v/>
      </c>
      <c r="G89" s="177">
        <f>IFERROR(SUM(G78:G82)/G88,"")</f>
        <v/>
      </c>
      <c r="H89" s="177">
        <f>IFERROR(SUM(H78:H82)/H88,"")</f>
        <v/>
      </c>
      <c r="I89" s="177">
        <f>IFERROR(SUM(I78:I82)/I88,"")</f>
        <v/>
      </c>
      <c r="J89" s="177">
        <f>IFERROR(SUM(J78:J82)/J88,"")</f>
        <v/>
      </c>
      <c r="K89" s="177">
        <f>IFERROR(SUM(K78:K82)/K88,"")</f>
        <v/>
      </c>
      <c r="L89" s="177">
        <f>IFERROR(SUM(L78:L82)/L88,"")</f>
        <v/>
      </c>
      <c r="M89" s="177">
        <f>IFERROR(SUM(M78:M82)/M88,"")</f>
        <v/>
      </c>
      <c r="N89" s="177">
        <f>IFERROR(SUM(N78:N82)/N88,"")</f>
        <v/>
      </c>
      <c r="O89" s="177">
        <f>IFERROR(SUM(O78:O82)/O88,"")</f>
        <v/>
      </c>
      <c r="P89" s="177">
        <f>IFERROR(SUM(P78:P82)/P88,"")</f>
        <v/>
      </c>
      <c r="Q89" s="177">
        <f>IFERROR(SUM(Q78:Q82)/Q88,"")</f>
        <v/>
      </c>
      <c r="R89" s="177">
        <f>IFERROR(SUM(R78:R82)/R88,"")</f>
        <v/>
      </c>
      <c r="S89" s="177">
        <f>IFERROR(SUM(S78:S82)/S88,"")</f>
        <v/>
      </c>
      <c r="T89" s="177">
        <f>IFERROR(SUM(T78:T82)/T88,"")</f>
        <v/>
      </c>
      <c r="U89" s="177">
        <f>IFERROR(SUM(U78:U82)/U88,"")</f>
        <v/>
      </c>
      <c r="V89" s="177">
        <f>IFERROR(SUM(V78:V82)/V88,"")</f>
        <v/>
      </c>
      <c r="W89" s="177">
        <f>IFERROR(SUM(W78:W82)/W88,"")</f>
        <v/>
      </c>
      <c r="X89" s="177">
        <f>IFERROR(SUM(X78:X82)/X88,"")</f>
        <v/>
      </c>
      <c r="Y89" s="177">
        <f>IFERROR(SUM(Y78:Y82)/Y88,"")</f>
        <v/>
      </c>
      <c r="Z89" s="177">
        <f>IFERROR(SUM(Z78:Z82)/Z88,"")</f>
        <v/>
      </c>
      <c r="AA89" s="177">
        <f>IFERROR(SUM(AA78:AA82)/AA88,"")</f>
        <v/>
      </c>
      <c r="AB89" s="177">
        <f>IFERROR(SUM(AB78:AB82)/AB88,"")</f>
        <v/>
      </c>
      <c r="AC89" s="177">
        <f>IFERROR(SUM(AC78:AC82)/AC88,"")</f>
        <v/>
      </c>
      <c r="AD89" s="177">
        <f>IFERROR(SUM(AD78:AD82)/AD88,"")</f>
        <v/>
      </c>
      <c r="AE89" s="177">
        <f>IFERROR(SUM(AE78:AE82)/AE88,"")</f>
        <v/>
      </c>
      <c r="AF89" s="177">
        <f>IFERROR(SUM(AF78:AF82)/AF88,"")</f>
        <v/>
      </c>
      <c r="AG89" s="177">
        <f>IFERROR(SUM(AG78:AG82)/AG88,"")</f>
        <v/>
      </c>
      <c r="AH89" s="177">
        <f>IFERROR(SUM(AH78:AH82)/AH88,"")</f>
        <v/>
      </c>
      <c r="AI89" s="177">
        <f>IFERROR(SUM(AI78:AI82)/AI88,"")</f>
        <v/>
      </c>
      <c r="AJ89" s="177">
        <f>IFERROR(SUM(AJ78:AJ82)/AJ88,"")</f>
        <v/>
      </c>
      <c r="AK89" s="177">
        <f>IFERROR(SUM(AK78:AK82)/AK88,"")</f>
        <v/>
      </c>
      <c r="AL89" s="177">
        <f>IFERROR(SUM(AL78:AL82)/AL88,"")</f>
        <v/>
      </c>
      <c r="AM89" s="177">
        <f>IFERROR(SUM(AM78:AM82)/AM88,"")</f>
        <v/>
      </c>
      <c r="AN89" s="177">
        <f>IFERROR(SUM(AN78:AN82)/AN88,"")</f>
        <v/>
      </c>
      <c r="AO89" s="177">
        <f>IFERROR(SUM(AO78:AO82)/AO88,"")</f>
        <v/>
      </c>
      <c r="AP89" s="177">
        <f>IFERROR(SUM(AP78:AP82)/AP88,"")</f>
        <v/>
      </c>
      <c r="AQ89" s="177">
        <f>IFERROR(SUM(AQ78:AQ82)/AQ88,"")</f>
        <v/>
      </c>
      <c r="AR89" s="177">
        <f>IFERROR(SUM(AR78:AR82)/AR88,"")</f>
        <v/>
      </c>
      <c r="AS89" s="177">
        <f>IFERROR(SUM(AS78:AS82)/AS88,"")</f>
        <v/>
      </c>
      <c r="AT89" s="177">
        <f>IFERROR(SUM(AT78:AT82)/AT88,"")</f>
        <v/>
      </c>
      <c r="AU89" s="177">
        <f>IFERROR(SUM(AU78:AU82)/AU88,"")</f>
        <v/>
      </c>
      <c r="AV89" s="177">
        <f>IFERROR(SUM(AV78:AV82)/AV88,"")</f>
        <v/>
      </c>
      <c r="AW89" s="177">
        <f>IFERROR(SUM(AW78:AW82)/AW88,"")</f>
        <v/>
      </c>
      <c r="AX89" s="177">
        <f>IFERROR(SUM(AX78:AX82)/AX88,"")</f>
        <v/>
      </c>
      <c r="AY89" s="177">
        <f>IFERROR(SUM(AY78:AY82)/AY88,"")</f>
        <v/>
      </c>
      <c r="AZ89" s="177">
        <f>IFERROR(SUM(AZ78:AZ82)/AZ88,"")</f>
        <v/>
      </c>
      <c r="BA89" s="177">
        <f>IFERROR(SUM(BA78:BA82)/BA88,"")</f>
        <v/>
      </c>
      <c r="BB89" s="177">
        <f>IFERROR(SUM(BB78:BB82)/BB88,"")</f>
        <v/>
      </c>
      <c r="BC89" s="177">
        <f>IFERROR(SUM(BC78:BC82)/BC88,"")</f>
        <v/>
      </c>
      <c r="BD89" s="177">
        <f>IFERROR(SUM(BD78:BD82)/BD88,"")</f>
        <v/>
      </c>
      <c r="BE89" s="177">
        <f>IFERROR(SUM(BE78:BE82)/BE88,"")</f>
        <v/>
      </c>
      <c r="BF89" s="177">
        <f>IFERROR(SUM(BF78:BF82)/BF88,"")</f>
        <v/>
      </c>
      <c r="BG89" s="177">
        <f>IFERROR(SUM(BG78:BG82)/BG88,"")</f>
        <v/>
      </c>
      <c r="BH89" s="177">
        <f>IFERROR(SUM(BH78:BH82)/BH88,"")</f>
        <v/>
      </c>
      <c r="BI89" s="177">
        <f>IFERROR(SUM(BI78:BI82)/BI88,"")</f>
        <v/>
      </c>
      <c r="BJ89" s="177">
        <f>IFERROR(SUM(BJ78:BJ82)/BJ88,"")</f>
        <v/>
      </c>
      <c r="BK89" s="177">
        <f>IFERROR(SUM(BK78:BK82)/BK88,"")</f>
        <v/>
      </c>
      <c r="BL89" s="177">
        <f>IFERROR(SUM(BL78:BL82)/BL88,"")</f>
        <v/>
      </c>
      <c r="BM89" s="177">
        <f>IFERROR(SUM(BM78:BM82)/BM88,"")</f>
        <v/>
      </c>
      <c r="BN89" s="177">
        <f>IFERROR(SUM(BN78:BN82)/BN88,"")</f>
        <v/>
      </c>
      <c r="BO89" s="177">
        <f>IFERROR(SUM(BO78:BO82)/BO88,"")</f>
        <v/>
      </c>
      <c r="BP89" s="177">
        <f>IFERROR(SUM(BP78:BP82)/BP88,"")</f>
        <v/>
      </c>
      <c r="BQ89" s="177">
        <f>IFERROR(SUM(BQ78:BQ82)/BQ88,"")</f>
        <v/>
      </c>
      <c r="BR89" s="177">
        <f>IFERROR(SUM(BR78:BR82)/BR88,"")</f>
        <v/>
      </c>
      <c r="BS89" s="177">
        <f>IFERROR(SUM(BS78:BS82)/BS88,"")</f>
        <v/>
      </c>
      <c r="BT89" s="177">
        <f>IFERROR(SUM(BT78:BT82)/BT88,"")</f>
        <v/>
      </c>
      <c r="BU89" s="177">
        <f>IFERROR(SUM(BU78:BU82)/BU88,"")</f>
        <v/>
      </c>
      <c r="BV89" s="177">
        <f>IFERROR(SUM(BV78:BV82)/BV88,"")</f>
        <v/>
      </c>
      <c r="BW89" s="177">
        <f>IFERROR(SUM(BW78:BW82)/BW88,"")</f>
        <v/>
      </c>
      <c r="BX89" s="177">
        <f>IFERROR(SUM(BX78:BX82)/BX88,"")</f>
        <v/>
      </c>
      <c r="BY89" s="177">
        <f>IFERROR(SUM(BY78:BY82)/BY88,"")</f>
        <v/>
      </c>
      <c r="BZ89" s="177">
        <f>IFERROR(SUM(BZ78:BZ82)/BZ88,"")</f>
        <v/>
      </c>
      <c r="CA89" s="177">
        <f>IFERROR(SUM(CA78:CA82)/CA88,"")</f>
        <v/>
      </c>
      <c r="CB89" s="177">
        <f>IFERROR(SUM(CB78:CB82)/CB88,"")</f>
        <v/>
      </c>
      <c r="CC89" s="177">
        <f>IFERROR(SUM(CC78:CC82)/CC88,"")</f>
        <v/>
      </c>
      <c r="CD89" s="177">
        <f>IFERROR(SUM(CD78:CD82)/CD88,"")</f>
        <v/>
      </c>
      <c r="CE89" s="177">
        <f>IFERROR(SUM(CE78:CE82)/CE88,"")</f>
        <v/>
      </c>
      <c r="CF89" s="177">
        <f>IFERROR(SUM(CF78:CF82)/CF88,"")</f>
        <v/>
      </c>
      <c r="CG89" s="177">
        <f>IFERROR(SUM(CG78:CG82)/CG88,"")</f>
        <v/>
      </c>
      <c r="CH89" s="177" t="n"/>
    </row>
    <row r="90" ht="12.75" customFormat="1" customHeight="1" s="73">
      <c r="A90" s="176" t="inlineStr">
        <is>
          <t>TOP10</t>
        </is>
      </c>
      <c r="B90" s="177">
        <f>IFERROR(SUM(B78:B87)/B88,"")</f>
        <v/>
      </c>
      <c r="C90" s="177">
        <f>IFERROR(SUM(C78:C87)/C88,"")</f>
        <v/>
      </c>
      <c r="D90" s="177">
        <f>IFERROR(SUM(D78:D87)/D88,"")</f>
        <v/>
      </c>
      <c r="E90" s="177">
        <f>IFERROR(SUM(E78:E87)/E88,"")</f>
        <v/>
      </c>
      <c r="F90" s="177">
        <f>IFERROR(SUM(F78:F87)/F88,"")</f>
        <v/>
      </c>
      <c r="G90" s="177">
        <f>IFERROR(SUM(G78:G87)/G88,"")</f>
        <v/>
      </c>
      <c r="H90" s="177">
        <f>IFERROR(SUM(H78:H87)/H88,"")</f>
        <v/>
      </c>
      <c r="I90" s="177">
        <f>IFERROR(SUM(I78:I87)/I88,"")</f>
        <v/>
      </c>
      <c r="J90" s="177">
        <f>IFERROR(SUM(J78:J87)/J88,"")</f>
        <v/>
      </c>
      <c r="K90" s="177">
        <f>IFERROR(SUM(K78:K87)/K88,"")</f>
        <v/>
      </c>
      <c r="L90" s="177">
        <f>IFERROR(SUM(L78:L87)/L88,"")</f>
        <v/>
      </c>
      <c r="M90" s="177">
        <f>IFERROR(SUM(M78:M87)/M88,"")</f>
        <v/>
      </c>
      <c r="N90" s="177">
        <f>IFERROR(SUM(N78:N87)/N88,"")</f>
        <v/>
      </c>
      <c r="O90" s="177">
        <f>IFERROR(SUM(O78:O87)/O88,"")</f>
        <v/>
      </c>
      <c r="P90" s="177">
        <f>IFERROR(SUM(P78:P87)/P88,"")</f>
        <v/>
      </c>
      <c r="Q90" s="177">
        <f>IFERROR(SUM(Q78:Q87)/Q88,"")</f>
        <v/>
      </c>
      <c r="R90" s="177">
        <f>IFERROR(SUM(R78:R87)/R88,"")</f>
        <v/>
      </c>
      <c r="S90" s="177">
        <f>IFERROR(SUM(S78:S87)/S88,"")</f>
        <v/>
      </c>
      <c r="T90" s="177">
        <f>IFERROR(SUM(T78:T87)/T88,"")</f>
        <v/>
      </c>
      <c r="U90" s="177">
        <f>IFERROR(SUM(U78:U87)/U88,"")</f>
        <v/>
      </c>
      <c r="V90" s="177">
        <f>IFERROR(SUM(V78:V87)/V88,"")</f>
        <v/>
      </c>
      <c r="W90" s="177">
        <f>IFERROR(SUM(W78:W87)/W88,"")</f>
        <v/>
      </c>
      <c r="X90" s="177">
        <f>IFERROR(SUM(X78:X87)/X88,"")</f>
        <v/>
      </c>
      <c r="Y90" s="177">
        <f>IFERROR(SUM(Y78:Y87)/Y88,"")</f>
        <v/>
      </c>
      <c r="Z90" s="177">
        <f>IFERROR(SUM(Z78:Z87)/Z88,"")</f>
        <v/>
      </c>
      <c r="AA90" s="177">
        <f>IFERROR(SUM(AA78:AA87)/AA88,"")</f>
        <v/>
      </c>
      <c r="AB90" s="177">
        <f>IFERROR(SUM(AB78:AB87)/AB88,"")</f>
        <v/>
      </c>
      <c r="AC90" s="177">
        <f>IFERROR(SUM(AC78:AC87)/AC88,"")</f>
        <v/>
      </c>
      <c r="AD90" s="177">
        <f>IFERROR(SUM(AD78:AD87)/AD88,"")</f>
        <v/>
      </c>
      <c r="AE90" s="177">
        <f>IFERROR(SUM(AE78:AE87)/AE88,"")</f>
        <v/>
      </c>
      <c r="AF90" s="177">
        <f>IFERROR(SUM(AF78:AF87)/AF88,"")</f>
        <v/>
      </c>
      <c r="AG90" s="177">
        <f>IFERROR(SUM(AG78:AG87)/AG88,"")</f>
        <v/>
      </c>
      <c r="AH90" s="177">
        <f>IFERROR(SUM(AH78:AH87)/AH88,"")</f>
        <v/>
      </c>
      <c r="AI90" s="177">
        <f>IFERROR(SUM(AI78:AI87)/AI88,"")</f>
        <v/>
      </c>
      <c r="AJ90" s="177">
        <f>IFERROR(SUM(AJ78:AJ87)/AJ88,"")</f>
        <v/>
      </c>
      <c r="AK90" s="177">
        <f>IFERROR(SUM(AK78:AK87)/AK88,"")</f>
        <v/>
      </c>
      <c r="AL90" s="177">
        <f>IFERROR(SUM(AL78:AL87)/AL88,"")</f>
        <v/>
      </c>
      <c r="AM90" s="177">
        <f>IFERROR(SUM(AM78:AM87)/AM88,"")</f>
        <v/>
      </c>
      <c r="AN90" s="177">
        <f>IFERROR(SUM(AN78:AN87)/AN88,"")</f>
        <v/>
      </c>
      <c r="AO90" s="177">
        <f>IFERROR(SUM(AO78:AO87)/AO88,"")</f>
        <v/>
      </c>
      <c r="AP90" s="177">
        <f>IFERROR(SUM(AP78:AP87)/AP88,"")</f>
        <v/>
      </c>
      <c r="AQ90" s="177">
        <f>IFERROR(SUM(AQ78:AQ87)/AQ88,"")</f>
        <v/>
      </c>
      <c r="AR90" s="177">
        <f>IFERROR(SUM(AR78:AR87)/AR88,"")</f>
        <v/>
      </c>
      <c r="AS90" s="177">
        <f>IFERROR(SUM(AS78:AS87)/AS88,"")</f>
        <v/>
      </c>
      <c r="AT90" s="177">
        <f>IFERROR(SUM(AT78:AT87)/AT88,"")</f>
        <v/>
      </c>
      <c r="AU90" s="177">
        <f>IFERROR(SUM(AU78:AU87)/AU88,"")</f>
        <v/>
      </c>
      <c r="AV90" s="177">
        <f>IFERROR(SUM(AV78:AV87)/AV88,"")</f>
        <v/>
      </c>
      <c r="AW90" s="177">
        <f>IFERROR(SUM(AW78:AW87)/AW88,"")</f>
        <v/>
      </c>
      <c r="AX90" s="177">
        <f>IFERROR(SUM(AX78:AX87)/AX88,"")</f>
        <v/>
      </c>
      <c r="AY90" s="177">
        <f>IFERROR(SUM(AY78:AY87)/AY88,"")</f>
        <v/>
      </c>
      <c r="AZ90" s="177">
        <f>IFERROR(SUM(AZ78:AZ87)/AZ88,"")</f>
        <v/>
      </c>
      <c r="BA90" s="177">
        <f>IFERROR(SUM(BA78:BA87)/BA88,"")</f>
        <v/>
      </c>
      <c r="BB90" s="177">
        <f>IFERROR(SUM(BB78:BB87)/BB88,"")</f>
        <v/>
      </c>
      <c r="BC90" s="177">
        <f>IFERROR(SUM(BC78:BC87)/BC88,"")</f>
        <v/>
      </c>
      <c r="BD90" s="177">
        <f>IFERROR(SUM(BD78:BD87)/BD88,"")</f>
        <v/>
      </c>
      <c r="BE90" s="177">
        <f>IFERROR(SUM(BE78:BE87)/BE88,"")</f>
        <v/>
      </c>
      <c r="BF90" s="177">
        <f>IFERROR(SUM(BF78:BF87)/BF88,"")</f>
        <v/>
      </c>
      <c r="BG90" s="177">
        <f>IFERROR(SUM(BG78:BG87)/BG88,"")</f>
        <v/>
      </c>
      <c r="BH90" s="177">
        <f>IFERROR(SUM(BH78:BH87)/BH88,"")</f>
        <v/>
      </c>
      <c r="BI90" s="177">
        <f>IFERROR(SUM(BI78:BI87)/BI88,"")</f>
        <v/>
      </c>
      <c r="BJ90" s="177">
        <f>IFERROR(SUM(BJ78:BJ87)/BJ88,"")</f>
        <v/>
      </c>
      <c r="BK90" s="177">
        <f>IFERROR(SUM(BK78:BK87)/BK88,"")</f>
        <v/>
      </c>
      <c r="BL90" s="177">
        <f>IFERROR(SUM(BL78:BL87)/BL88,"")</f>
        <v/>
      </c>
      <c r="BM90" s="177">
        <f>IFERROR(SUM(BM78:BM87)/BM88,"")</f>
        <v/>
      </c>
      <c r="BN90" s="177">
        <f>IFERROR(SUM(BN78:BN87)/BN88,"")</f>
        <v/>
      </c>
      <c r="BO90" s="177">
        <f>IFERROR(SUM(BO78:BO87)/BO88,"")</f>
        <v/>
      </c>
      <c r="BP90" s="177">
        <f>IFERROR(SUM(BP78:BP87)/BP88,"")</f>
        <v/>
      </c>
      <c r="BQ90" s="177">
        <f>IFERROR(SUM(BQ78:BQ87)/BQ88,"")</f>
        <v/>
      </c>
      <c r="BR90" s="177">
        <f>IFERROR(SUM(BR78:BR87)/BR88,"")</f>
        <v/>
      </c>
      <c r="BS90" s="177">
        <f>IFERROR(SUM(BS78:BS87)/BS88,"")</f>
        <v/>
      </c>
      <c r="BT90" s="177">
        <f>IFERROR(SUM(BT78:BT87)/BT88,"")</f>
        <v/>
      </c>
      <c r="BU90" s="177">
        <f>IFERROR(SUM(BU78:BU87)/BU88,"")</f>
        <v/>
      </c>
      <c r="BV90" s="177">
        <f>IFERROR(SUM(BV78:BV87)/BV88,"")</f>
        <v/>
      </c>
      <c r="BW90" s="177">
        <f>IFERROR(SUM(BW78:BW87)/BW88,"")</f>
        <v/>
      </c>
      <c r="BX90" s="177">
        <f>IFERROR(SUM(BX78:BX87)/BX88,"")</f>
        <v/>
      </c>
      <c r="BY90" s="177">
        <f>IFERROR(SUM(BY78:BY87)/BY88,"")</f>
        <v/>
      </c>
      <c r="BZ90" s="177">
        <f>IFERROR(SUM(BZ78:BZ87)/BZ88,"")</f>
        <v/>
      </c>
      <c r="CA90" s="177">
        <f>IFERROR(SUM(CA78:CA87)/CA88,"")</f>
        <v/>
      </c>
      <c r="CB90" s="177">
        <f>IFERROR(SUM(CB78:CB87)/CB88,"")</f>
        <v/>
      </c>
      <c r="CC90" s="177">
        <f>IFERROR(SUM(CC78:CC87)/CC88,"")</f>
        <v/>
      </c>
      <c r="CD90" s="177">
        <f>IFERROR(SUM(CD78:CD87)/CD88,"")</f>
        <v/>
      </c>
      <c r="CE90" s="177">
        <f>IFERROR(SUM(CE78:CE87)/CE88,"")</f>
        <v/>
      </c>
      <c r="CF90" s="177">
        <f>IFERROR(SUM(CF78:CF87)/CF88,"")</f>
        <v/>
      </c>
      <c r="CG90" s="177">
        <f>IFERROR(SUM(CG78:CG87)/CG88,"")</f>
        <v/>
      </c>
      <c r="CH90" s="177" t="n"/>
    </row>
    <row r="91" ht="12.75" customFormat="1" customHeight="1" s="73">
      <c r="A91" s="176" t="n"/>
      <c r="B91" s="177" t="n"/>
      <c r="C91" s="177" t="n"/>
      <c r="D91" s="177" t="n"/>
      <c r="E91" s="177" t="n"/>
      <c r="F91" s="177" t="n"/>
      <c r="G91" s="177" t="n"/>
      <c r="H91" s="177" t="n"/>
      <c r="I91" s="177" t="n"/>
      <c r="J91" s="177" t="n"/>
      <c r="K91" s="177" t="n"/>
      <c r="L91" s="177" t="n"/>
      <c r="M91" s="177" t="n"/>
      <c r="N91" s="177" t="n"/>
      <c r="O91" s="177" t="n"/>
      <c r="P91" s="177" t="n"/>
      <c r="Q91" s="177" t="n"/>
      <c r="R91" s="177" t="n"/>
      <c r="S91" s="177" t="n"/>
      <c r="T91" s="177" t="n"/>
      <c r="U91" s="177" t="n"/>
      <c r="V91" s="177" t="n"/>
      <c r="W91" s="177" t="n"/>
      <c r="X91" s="177" t="n"/>
      <c r="Y91" s="177" t="n"/>
      <c r="Z91" s="177" t="n"/>
      <c r="AA91" s="177" t="n"/>
      <c r="AB91" s="177" t="n"/>
      <c r="AC91" s="177" t="n"/>
      <c r="AD91" s="177" t="n"/>
      <c r="AE91" s="177" t="n"/>
      <c r="AF91" s="177" t="n"/>
      <c r="AG91" s="177" t="n"/>
      <c r="AH91" s="177" t="n"/>
      <c r="AI91" s="177" t="n"/>
      <c r="AJ91" s="177" t="n"/>
      <c r="AK91" s="177" t="n"/>
      <c r="AL91" s="177" t="n"/>
      <c r="AM91" s="177" t="n"/>
      <c r="AN91" s="177" t="n"/>
      <c r="AO91" s="177" t="n"/>
      <c r="AP91" s="177" t="n"/>
      <c r="AQ91" s="177" t="n"/>
      <c r="AR91" s="177" t="n"/>
      <c r="AS91" s="177" t="n"/>
      <c r="AT91" s="177" t="n"/>
      <c r="AU91" s="177" t="n"/>
      <c r="AV91" s="177" t="n"/>
      <c r="AW91" s="177" t="n"/>
      <c r="AX91" s="177" t="n"/>
      <c r="AY91" s="177" t="n"/>
      <c r="AZ91" s="177" t="n"/>
      <c r="BA91" s="177" t="n"/>
      <c r="BB91" s="177" t="n"/>
      <c r="BC91" s="177" t="n"/>
      <c r="BD91" s="177" t="n"/>
      <c r="BE91" s="177" t="n"/>
      <c r="BF91" s="177" t="n"/>
      <c r="BG91" s="177" t="n"/>
      <c r="BH91" s="177" t="n"/>
      <c r="BI91" s="177" t="n"/>
      <c r="BJ91" s="177" t="n"/>
      <c r="BK91" s="177" t="n"/>
      <c r="BL91" s="177" t="n"/>
      <c r="BM91" s="177" t="n"/>
      <c r="BN91" s="177" t="n"/>
      <c r="BO91" s="177" t="n"/>
      <c r="BP91" s="177" t="n"/>
      <c r="BQ91" s="177" t="n"/>
      <c r="BR91" s="177" t="n"/>
      <c r="BS91" s="177" t="n"/>
      <c r="BT91" s="177" t="n"/>
      <c r="BU91" s="177" t="n"/>
      <c r="BV91" s="177" t="n"/>
      <c r="BW91" s="177" t="n"/>
      <c r="BX91" s="177" t="n"/>
      <c r="BY91" s="177" t="n"/>
      <c r="BZ91" s="177" t="n"/>
      <c r="CA91" s="177" t="n"/>
      <c r="CB91" s="177" t="n"/>
      <c r="CC91" s="177" t="n"/>
      <c r="CD91" s="177" t="n"/>
      <c r="CE91" s="177" t="n"/>
      <c r="CF91" s="177" t="n"/>
      <c r="CG91" s="177" t="n"/>
      <c r="CH91" s="177" t="n"/>
    </row>
    <row r="92">
      <c r="A92" s="141" t="inlineStr">
        <is>
          <t>簽帳金額(百萬)</t>
        </is>
      </c>
      <c r="B92" s="141">
        <f>B$1</f>
        <v/>
      </c>
      <c r="C92" s="141">
        <f>C$1</f>
        <v/>
      </c>
      <c r="D92" s="141">
        <f>D$1</f>
        <v/>
      </c>
      <c r="E92" s="141">
        <f>E$1</f>
        <v/>
      </c>
      <c r="F92" s="141">
        <f>F$1</f>
        <v/>
      </c>
      <c r="G92" s="141">
        <f>G$1</f>
        <v/>
      </c>
      <c r="H92" s="141">
        <f>H$1</f>
        <v/>
      </c>
      <c r="I92" s="141">
        <f>I$1</f>
        <v/>
      </c>
      <c r="J92" s="141">
        <f>J$1</f>
        <v/>
      </c>
      <c r="K92" s="141">
        <f>K$1</f>
        <v/>
      </c>
      <c r="L92" s="141">
        <f>L$1</f>
        <v/>
      </c>
      <c r="M92" s="141">
        <f>M$1</f>
        <v/>
      </c>
      <c r="N92" s="141">
        <f>N$1</f>
        <v/>
      </c>
      <c r="O92" s="141">
        <f>O$1</f>
        <v/>
      </c>
      <c r="P92" s="141">
        <f>P$1</f>
        <v/>
      </c>
      <c r="Q92" s="141">
        <f>Q$1</f>
        <v/>
      </c>
      <c r="R92" s="141">
        <f>R$1</f>
        <v/>
      </c>
      <c r="S92" s="141">
        <f>S$1</f>
        <v/>
      </c>
      <c r="T92" s="141">
        <f>T$1</f>
        <v/>
      </c>
      <c r="U92" s="141">
        <f>U$1</f>
        <v/>
      </c>
      <c r="V92" s="141">
        <f>V$1</f>
        <v/>
      </c>
      <c r="W92" s="141">
        <f>W$1</f>
        <v/>
      </c>
      <c r="X92" s="141">
        <f>X$1</f>
        <v/>
      </c>
      <c r="Y92" s="141">
        <f>Y$1</f>
        <v/>
      </c>
      <c r="Z92" s="141">
        <f>Z$1</f>
        <v/>
      </c>
      <c r="AA92" s="141">
        <f>AA$1</f>
        <v/>
      </c>
      <c r="AB92" s="141">
        <f>AB$1</f>
        <v/>
      </c>
      <c r="AC92" s="141">
        <f>AC$1</f>
        <v/>
      </c>
      <c r="AD92" s="141">
        <f>AD$1</f>
        <v/>
      </c>
      <c r="AE92" s="141">
        <f>AE$1</f>
        <v/>
      </c>
      <c r="AF92" s="141">
        <f>AF$1</f>
        <v/>
      </c>
      <c r="AG92" s="141">
        <f>AG$1</f>
        <v/>
      </c>
      <c r="AH92" s="141">
        <f>AH$1</f>
        <v/>
      </c>
      <c r="AI92" s="141">
        <f>AI$1</f>
        <v/>
      </c>
      <c r="AJ92" s="141">
        <f>AJ$1</f>
        <v/>
      </c>
      <c r="AK92" s="141">
        <f>AK$1</f>
        <v/>
      </c>
      <c r="AL92" s="141">
        <f>AL$1</f>
        <v/>
      </c>
      <c r="AM92" s="141">
        <f>AM$1</f>
        <v/>
      </c>
      <c r="AN92" s="141">
        <f>AN$1</f>
        <v/>
      </c>
      <c r="AO92" s="141">
        <f>AO$1</f>
        <v/>
      </c>
      <c r="AP92" s="141">
        <f>AP$1</f>
        <v/>
      </c>
      <c r="AQ92" s="141">
        <f>AQ$1</f>
        <v/>
      </c>
      <c r="AR92" s="141">
        <f>AR$1</f>
        <v/>
      </c>
      <c r="AS92" s="141">
        <f>AS$1</f>
        <v/>
      </c>
      <c r="AT92" s="141">
        <f>AT$1</f>
        <v/>
      </c>
      <c r="AU92" s="141">
        <f>AU$1</f>
        <v/>
      </c>
      <c r="AV92" s="141">
        <f>AV$1</f>
        <v/>
      </c>
      <c r="AW92" s="141">
        <f>AW$1</f>
        <v/>
      </c>
      <c r="AX92" s="141">
        <f>AX$1</f>
        <v/>
      </c>
      <c r="AY92" s="141">
        <f>AY$1</f>
        <v/>
      </c>
      <c r="AZ92" s="141">
        <f>AZ$1</f>
        <v/>
      </c>
      <c r="BA92" s="141">
        <f>BA$1</f>
        <v/>
      </c>
      <c r="BB92" s="141">
        <f>BB$1</f>
        <v/>
      </c>
      <c r="BC92" s="141">
        <f>BC$1</f>
        <v/>
      </c>
      <c r="BD92" s="141">
        <f>BD$1</f>
        <v/>
      </c>
      <c r="BE92" s="141">
        <f>BE$1</f>
        <v/>
      </c>
      <c r="BF92" s="141">
        <f>BF$1</f>
        <v/>
      </c>
      <c r="BG92" s="141">
        <f>BG$1</f>
        <v/>
      </c>
      <c r="BH92" s="141">
        <f>BH$1</f>
        <v/>
      </c>
      <c r="BI92" s="141">
        <f>BI$1</f>
        <v/>
      </c>
      <c r="BJ92" s="141">
        <f>BJ$1</f>
        <v/>
      </c>
      <c r="BK92" s="141">
        <f>BK$1</f>
        <v/>
      </c>
      <c r="BL92" s="141">
        <f>BL$1</f>
        <v/>
      </c>
      <c r="BM92" s="141">
        <f>BM$1</f>
        <v/>
      </c>
      <c r="BN92" s="141">
        <f>BN$1</f>
        <v/>
      </c>
      <c r="BO92" s="141">
        <f>BO$1</f>
        <v/>
      </c>
      <c r="BP92" s="141">
        <f>BP$1</f>
        <v/>
      </c>
      <c r="BQ92" s="141">
        <f>BQ$1</f>
        <v/>
      </c>
      <c r="BR92" s="141">
        <f>BR$1</f>
        <v/>
      </c>
      <c r="BS92" s="141">
        <f>BS$1</f>
        <v/>
      </c>
      <c r="BT92" s="141">
        <f>BT$1</f>
        <v/>
      </c>
      <c r="BU92" s="141">
        <f>BU$1</f>
        <v/>
      </c>
      <c r="BV92" s="141">
        <f>BV$1</f>
        <v/>
      </c>
      <c r="BW92" s="141">
        <f>BW$1</f>
        <v/>
      </c>
      <c r="BX92" s="141">
        <f>BX$1</f>
        <v/>
      </c>
      <c r="BY92" s="141">
        <f>BY$1</f>
        <v/>
      </c>
      <c r="BZ92" s="141">
        <f>BZ$1</f>
        <v/>
      </c>
      <c r="CA92" s="141">
        <f>CA$1</f>
        <v/>
      </c>
      <c r="CB92" s="141">
        <f>CB$1</f>
        <v/>
      </c>
      <c r="CC92" s="141">
        <f>CC$1</f>
        <v/>
      </c>
      <c r="CD92" s="141">
        <f>CD$1</f>
        <v/>
      </c>
      <c r="CE92" s="141">
        <f>CE$1</f>
        <v/>
      </c>
      <c r="CF92" s="141">
        <f>CF$1</f>
        <v/>
      </c>
      <c r="CG92" s="141">
        <f>CG$1</f>
        <v/>
      </c>
      <c r="CH92" s="30" t="n"/>
    </row>
    <row r="93">
      <c r="A93" s="174" t="inlineStr">
        <is>
          <t>中信</t>
        </is>
      </c>
      <c r="B93" s="172" t="n">
        <v>39597.956</v>
      </c>
      <c r="C93" s="172" t="n">
        <v>32613.331</v>
      </c>
      <c r="D93" s="172" t="n">
        <v>31596.841</v>
      </c>
      <c r="E93" s="172" t="n">
        <v>29194.813</v>
      </c>
      <c r="F93" s="172" t="n">
        <v>29753.054</v>
      </c>
      <c r="G93" s="172" t="n">
        <v>32645.039</v>
      </c>
      <c r="H93" s="172" t="n">
        <v>69972.084</v>
      </c>
      <c r="I93" s="172" t="n">
        <v>33762.518</v>
      </c>
      <c r="J93" s="172" t="n">
        <v>37004.38</v>
      </c>
      <c r="K93" s="172" t="n">
        <v>34754.039</v>
      </c>
      <c r="L93" s="172" t="n">
        <v>37675.901</v>
      </c>
      <c r="M93" s="172" t="n">
        <v>42029.74</v>
      </c>
      <c r="N93" s="172" t="n">
        <v>36312</v>
      </c>
      <c r="O93" s="172" t="n">
        <v>34224</v>
      </c>
      <c r="P93" s="172" t="n">
        <v>37416</v>
      </c>
      <c r="Q93" s="172" t="n">
        <v>34288</v>
      </c>
      <c r="R93" s="172" t="n">
        <v>34955</v>
      </c>
      <c r="S93" s="172" t="n">
        <v>31163</v>
      </c>
      <c r="T93" s="172" t="n">
        <v>69981.303</v>
      </c>
      <c r="U93" s="172" t="n">
        <v>37779.425</v>
      </c>
      <c r="V93" s="172" t="n">
        <v>38100.348</v>
      </c>
      <c r="W93" s="172" t="n">
        <v>37668</v>
      </c>
      <c r="X93" s="172" t="n">
        <v>44668</v>
      </c>
      <c r="Y93" s="172" t="n">
        <v>43363</v>
      </c>
      <c r="Z93" s="172" t="n">
        <v>40696</v>
      </c>
      <c r="AA93" s="173" t="n">
        <v>36799</v>
      </c>
      <c r="AB93" s="173" t="n">
        <v>44780</v>
      </c>
      <c r="AC93" s="172" t="n">
        <v>37528.241</v>
      </c>
      <c r="AD93" s="172" t="n">
        <v>40416</v>
      </c>
      <c r="AE93" s="172" t="n">
        <v>41111</v>
      </c>
      <c r="AF93" s="172" t="n">
        <v>86002.75199999999</v>
      </c>
      <c r="AG93" s="172" t="n">
        <v>48427.303</v>
      </c>
      <c r="AH93" s="172" t="n">
        <v>45859.374</v>
      </c>
      <c r="AI93" s="172" t="n">
        <v>47876.323</v>
      </c>
      <c r="AJ93" s="172" t="n">
        <v>53097.422</v>
      </c>
      <c r="AK93" s="172" t="n">
        <v>54912.34</v>
      </c>
      <c r="AL93" s="172" t="n">
        <v>51128.314</v>
      </c>
      <c r="AM93" s="172" t="n">
        <v>44285.231</v>
      </c>
      <c r="AN93" s="172" t="n">
        <v>58076.845</v>
      </c>
      <c r="AO93" s="172" t="n">
        <v>47839.22</v>
      </c>
      <c r="AP93" s="172" t="n">
        <v>58039.659</v>
      </c>
      <c r="AQ93" s="172" t="n">
        <v>121793.528</v>
      </c>
      <c r="AR93" s="172" t="n">
        <v>55971.336</v>
      </c>
      <c r="AS93" s="172" t="n">
        <v>60460.178</v>
      </c>
      <c r="AT93" s="172" t="n">
        <v>54208.116</v>
      </c>
      <c r="AU93" s="172" t="n">
        <v>63733.253</v>
      </c>
      <c r="AV93" s="172" t="n">
        <v>61886.475</v>
      </c>
      <c r="AW93" s="172" t="n">
        <v>59474.418</v>
      </c>
      <c r="AX93" s="182" t="n">
        <v>59474.418</v>
      </c>
      <c r="AY93" s="182" t="n">
        <v>53370.095</v>
      </c>
      <c r="AZ93" s="182" t="n">
        <v>56252.705</v>
      </c>
      <c r="BA93" s="182" t="n">
        <v>59554.453</v>
      </c>
      <c r="BB93" s="182" t="n">
        <v>61196</v>
      </c>
      <c r="BC93" s="182" t="n">
        <v>111234</v>
      </c>
      <c r="BD93" s="185" t="n">
        <v>68761.98699999999</v>
      </c>
      <c r="BE93" s="182" t="n">
        <v>60730.43</v>
      </c>
      <c r="BF93" s="185" t="n">
        <v>62705.082</v>
      </c>
      <c r="BG93" s="182" t="n">
        <v>68019.488</v>
      </c>
      <c r="BH93" s="182" t="n">
        <v>67632.399</v>
      </c>
      <c r="BI93" s="182" t="n">
        <v>72117.777</v>
      </c>
      <c r="BJ93" s="185" t="n">
        <v>55509</v>
      </c>
      <c r="BK93" s="185" t="n">
        <v>70550</v>
      </c>
      <c r="BL93" s="185" t="n">
        <v>66880</v>
      </c>
      <c r="BM93" s="182" t="n">
        <v>64104.657</v>
      </c>
      <c r="BN93" s="182" t="n">
        <v>62936.155</v>
      </c>
      <c r="BO93" s="182" t="n">
        <v>67106.145</v>
      </c>
      <c r="BP93" s="182" t="n">
        <v>125976.593</v>
      </c>
      <c r="BQ93" s="182" t="n">
        <v>66950.018</v>
      </c>
      <c r="BR93" s="182" t="n">
        <v>73733.664</v>
      </c>
      <c r="BS93" s="182" t="n">
        <v>80096.712</v>
      </c>
      <c r="BT93" s="182" t="n">
        <v>72454.17</v>
      </c>
      <c r="BU93" s="182" t="n">
        <v>83917.586</v>
      </c>
      <c r="BV93" s="182">
        <f t="array" ref="BV93">_xlfn.XLOOKUP(1,(creditcard[YYYYMM]=BV$4)*(creditcard[Bank]=$A93),creditcard[當月簽帳金額])</f>
        <v/>
      </c>
      <c r="BW93" s="182">
        <f t="array" ref="BW93">_xlfn.XLOOKUP(1,(creditcard[YYYYMM]=BW$4)*(creditcard[Bank]=$A93),creditcard[當月簽帳金額])</f>
        <v/>
      </c>
      <c r="BX93" s="182">
        <f t="array" ref="BX93">_xlfn.XLOOKUP(1,(creditcard[YYYYMM]=BX$4)*(creditcard[Bank]=$A93),creditcard[當月簽帳金額])</f>
        <v/>
      </c>
      <c r="BY93" s="182">
        <f t="array" ref="BY93">_xlfn.XLOOKUP(1,(creditcard[YYYYMM]=BY$4)*(creditcard[Bank]=$A93),creditcard[當月簽帳金額],"")</f>
        <v/>
      </c>
      <c r="BZ93" s="182">
        <f t="array" ref="BZ93">_xlfn.XLOOKUP(1,(creditcard[YYYYMM]=BZ$4)*(creditcard[Bank]=$A93),creditcard[當月簽帳金額],"")</f>
        <v/>
      </c>
      <c r="CA93" s="182">
        <f t="array" ref="CA93">_xlfn.XLOOKUP(1,(creditcard[YYYYMM]=CA$4)*(creditcard[Bank]=$A93),creditcard[當月簽帳金額],"")</f>
        <v/>
      </c>
      <c r="CB93" s="182">
        <f t="array" ref="CB93">_xlfn.XLOOKUP(1,(creditcard[YYYYMM]=CB$4)*(creditcard[Bank]=$A93),creditcard[當月簽帳金額],"")</f>
        <v/>
      </c>
      <c r="CC93" s="182">
        <f t="array" ref="CC93">_xlfn.XLOOKUP(1,(creditcard[YYYYMM]=CC$4)*(creditcard[Bank]=$A93),creditcard[當月簽帳金額],"")</f>
        <v/>
      </c>
      <c r="CD93" s="182">
        <f t="array" ref="CD93">_xlfn.XLOOKUP(1,(creditcard[YYYYMM]=CD$4)*(creditcard[Bank]=$A93),creditcard[當月簽帳金額],"")</f>
        <v/>
      </c>
      <c r="CE93" s="182">
        <f t="array" ref="CE93">_xlfn.XLOOKUP(1,(creditcard[YYYYMM]=CE$4)*(creditcard[Bank]=$A93),creditcard[當月簽帳金額],"")</f>
        <v/>
      </c>
      <c r="CF93" s="182">
        <f t="array" ref="CF93">_xlfn.XLOOKUP(1,(creditcard[YYYYMM]=CF$4)*(creditcard[Bank]=$A93),creditcard[當月簽帳金額],"")</f>
        <v/>
      </c>
      <c r="CG93" s="182">
        <f t="array" ref="CG93">_xlfn.XLOOKUP(1,(creditcard[YYYYMM]=CG$4)*(creditcard[Bank]=$A93),creditcard[當月簽帳金額],"")</f>
        <v/>
      </c>
      <c r="CH93" s="182" t="n"/>
    </row>
    <row r="94">
      <c r="A94" s="174" t="inlineStr">
        <is>
          <t>富邦</t>
        </is>
      </c>
      <c r="B94" s="172" t="n">
        <v>22451.372</v>
      </c>
      <c r="C94" s="172" t="n">
        <v>18196.547</v>
      </c>
      <c r="D94" s="172" t="n">
        <v>23171.847</v>
      </c>
      <c r="E94" s="172" t="n">
        <v>23014.739</v>
      </c>
      <c r="F94" s="172" t="n">
        <v>21371.405</v>
      </c>
      <c r="G94" s="172" t="n">
        <v>21203.655</v>
      </c>
      <c r="H94" s="172" t="n">
        <v>29284.215</v>
      </c>
      <c r="I94" s="172" t="n">
        <v>21360.07</v>
      </c>
      <c r="J94" s="172" t="n">
        <v>21382.167</v>
      </c>
      <c r="K94" s="172" t="n">
        <v>21344.825</v>
      </c>
      <c r="L94" s="172" t="n">
        <v>26157.589</v>
      </c>
      <c r="M94" s="172" t="n">
        <v>31782.209</v>
      </c>
      <c r="N94" s="172" t="n">
        <v>25691</v>
      </c>
      <c r="O94" s="172" t="n">
        <v>19956</v>
      </c>
      <c r="P94" s="172" t="n">
        <v>28347</v>
      </c>
      <c r="Q94" s="172" t="n">
        <v>25194</v>
      </c>
      <c r="R94" s="172" t="n">
        <v>24612</v>
      </c>
      <c r="S94" s="172" t="n">
        <v>24476</v>
      </c>
      <c r="T94" s="172" t="n">
        <v>27628.118</v>
      </c>
      <c r="U94" s="172" t="n">
        <v>24554.278</v>
      </c>
      <c r="V94" s="172" t="n">
        <v>23963.091</v>
      </c>
      <c r="W94" s="172" t="n">
        <v>23218</v>
      </c>
      <c r="X94" s="172" t="n">
        <v>28910</v>
      </c>
      <c r="Y94" s="172" t="n">
        <v>32061</v>
      </c>
      <c r="Z94" s="172" t="n">
        <v>28015</v>
      </c>
      <c r="AA94" s="173" t="n">
        <v>21464</v>
      </c>
      <c r="AB94" s="173" t="n">
        <v>28719</v>
      </c>
      <c r="AC94" s="172" t="n">
        <v>25223.085</v>
      </c>
      <c r="AD94" s="172" t="n">
        <v>28477</v>
      </c>
      <c r="AE94" s="172" t="n">
        <v>29092</v>
      </c>
      <c r="AF94" s="172" t="n">
        <v>31642.03</v>
      </c>
      <c r="AG94" s="172" t="n">
        <v>30773.485</v>
      </c>
      <c r="AH94" s="172" t="n">
        <v>27977.625</v>
      </c>
      <c r="AI94" s="172" t="n">
        <v>27935.107</v>
      </c>
      <c r="AJ94" s="172" t="n">
        <v>35509.8</v>
      </c>
      <c r="AK94" s="172" t="n">
        <v>35247.318</v>
      </c>
      <c r="AL94" s="172" t="n">
        <v>30801.191</v>
      </c>
      <c r="AM94" s="172" t="n">
        <v>26780.388</v>
      </c>
      <c r="AN94" s="172" t="n">
        <v>36185.836</v>
      </c>
      <c r="AO94" s="172" t="n">
        <v>30014.746</v>
      </c>
      <c r="AP94" s="172" t="n">
        <v>38045.86</v>
      </c>
      <c r="AQ94" s="172" t="n">
        <v>44406.604</v>
      </c>
      <c r="AR94" s="172" t="n">
        <v>35263.945</v>
      </c>
      <c r="AS94" s="172" t="n">
        <v>46769.887</v>
      </c>
      <c r="AT94" s="172" t="n">
        <v>43800.919</v>
      </c>
      <c r="AU94" s="172" t="n">
        <v>50789.467</v>
      </c>
      <c r="AV94" s="172" t="n">
        <v>53374.677</v>
      </c>
      <c r="AW94" s="172" t="n">
        <v>48807.127</v>
      </c>
      <c r="AX94" s="182" t="n">
        <v>54556.397</v>
      </c>
      <c r="AY94" s="182" t="n">
        <v>42580.2</v>
      </c>
      <c r="AZ94" s="182" t="n">
        <v>45910.163</v>
      </c>
      <c r="BA94" s="182" t="n">
        <v>47625.274</v>
      </c>
      <c r="BB94" s="182" t="n">
        <v>50572</v>
      </c>
      <c r="BC94" s="182" t="n">
        <v>56776</v>
      </c>
      <c r="BD94" s="185" t="n">
        <v>52308.678</v>
      </c>
      <c r="BE94" s="182" t="n">
        <v>47804.193</v>
      </c>
      <c r="BF94" s="185" t="n">
        <v>47514.689</v>
      </c>
      <c r="BG94" s="182" t="n">
        <v>51737.603</v>
      </c>
      <c r="BH94" s="182" t="n">
        <v>53061.111</v>
      </c>
      <c r="BI94" s="182" t="n">
        <v>57021.524</v>
      </c>
      <c r="BJ94" s="185" t="n">
        <v>45728</v>
      </c>
      <c r="BK94" s="185" t="n">
        <v>52266</v>
      </c>
      <c r="BL94" s="185" t="n">
        <v>48022</v>
      </c>
      <c r="BM94" s="182" t="n">
        <v>49484.724</v>
      </c>
      <c r="BN94" s="182" t="n">
        <v>48542.045</v>
      </c>
      <c r="BO94" s="182" t="n">
        <v>50976.41</v>
      </c>
      <c r="BP94" s="182" t="n">
        <v>70997.069</v>
      </c>
      <c r="BQ94" s="182" t="n">
        <v>47355.858</v>
      </c>
      <c r="BR94" s="182" t="n">
        <v>48349.084</v>
      </c>
      <c r="BS94" s="182" t="n">
        <v>56553.764</v>
      </c>
      <c r="BT94" s="182" t="n">
        <v>51145.814</v>
      </c>
      <c r="BU94" s="182" t="n">
        <v>58873.591</v>
      </c>
      <c r="BV94" s="182">
        <f t="array" ref="BV94">_xlfn.XLOOKUP(1,(creditcard[YYYYMM]=BV$4)*(creditcard[Bank]=$A94),creditcard[當月簽帳金額])</f>
        <v/>
      </c>
      <c r="BW94" s="182">
        <f t="array" ref="BW94">_xlfn.XLOOKUP(1,(creditcard[YYYYMM]=BW$4)*(creditcard[Bank]=$A94),creditcard[當月簽帳金額])</f>
        <v/>
      </c>
      <c r="BX94" s="182">
        <f t="array" ref="BX94">_xlfn.XLOOKUP(1,(creditcard[YYYYMM]=BX$4)*(creditcard[Bank]=$A94),creditcard[當月簽帳金額])</f>
        <v/>
      </c>
      <c r="BY94" s="182">
        <f t="array" ref="BY94">_xlfn.XLOOKUP(1,(creditcard[YYYYMM]=BY$4)*(creditcard[Bank]=$A94),creditcard[當月簽帳金額],"")</f>
        <v/>
      </c>
      <c r="BZ94" s="182">
        <f t="array" ref="BZ94">_xlfn.XLOOKUP(1,(creditcard[YYYYMM]=BZ$4)*(creditcard[Bank]=$A94),creditcard[當月簽帳金額],"")</f>
        <v/>
      </c>
      <c r="CA94" s="182">
        <f t="array" ref="CA94">_xlfn.XLOOKUP(1,(creditcard[YYYYMM]=CA$4)*(creditcard[Bank]=$A94),creditcard[當月簽帳金額],"")</f>
        <v/>
      </c>
      <c r="CB94" s="182">
        <f t="array" ref="CB94">_xlfn.XLOOKUP(1,(creditcard[YYYYMM]=CB$4)*(creditcard[Bank]=$A94),creditcard[當月簽帳金額],"")</f>
        <v/>
      </c>
      <c r="CC94" s="182">
        <f t="array" ref="CC94">_xlfn.XLOOKUP(1,(creditcard[YYYYMM]=CC$4)*(creditcard[Bank]=$A94),creditcard[當月簽帳金額],"")</f>
        <v/>
      </c>
      <c r="CD94" s="182">
        <f t="array" ref="CD94">_xlfn.XLOOKUP(1,(creditcard[YYYYMM]=CD$4)*(creditcard[Bank]=$A94),creditcard[當月簽帳金額],"")</f>
        <v/>
      </c>
      <c r="CE94" s="182">
        <f t="array" ref="CE94">_xlfn.XLOOKUP(1,(creditcard[YYYYMM]=CE$4)*(creditcard[Bank]=$A94),creditcard[當月簽帳金額],"")</f>
        <v/>
      </c>
      <c r="CF94" s="182">
        <f t="array" ref="CF94">_xlfn.XLOOKUP(1,(creditcard[YYYYMM]=CF$4)*(creditcard[Bank]=$A94),creditcard[當月簽帳金額],"")</f>
        <v/>
      </c>
      <c r="CG94" s="182">
        <f t="array" ref="CG94">_xlfn.XLOOKUP(1,(creditcard[YYYYMM]=CG$4)*(creditcard[Bank]=$A94),creditcard[當月簽帳金額],"")</f>
        <v/>
      </c>
      <c r="CH94" s="182" t="n"/>
    </row>
    <row r="95">
      <c r="A95" s="174" t="inlineStr">
        <is>
          <t>國泰</t>
        </is>
      </c>
      <c r="B95" s="172" t="n">
        <v>43255.54</v>
      </c>
      <c r="C95" s="172" t="n">
        <v>33152.193</v>
      </c>
      <c r="D95" s="172" t="n">
        <v>41690.308</v>
      </c>
      <c r="E95" s="172" t="n">
        <v>38593.35</v>
      </c>
      <c r="F95" s="172" t="n">
        <v>34030.076</v>
      </c>
      <c r="G95" s="172" t="n">
        <v>40044.079</v>
      </c>
      <c r="H95" s="172" t="n">
        <v>50408.071</v>
      </c>
      <c r="I95" s="172" t="n">
        <v>35273.794</v>
      </c>
      <c r="J95" s="172" t="n">
        <v>42402.869</v>
      </c>
      <c r="K95" s="172" t="n">
        <v>37658.519</v>
      </c>
      <c r="L95" s="172" t="n">
        <v>40804.339</v>
      </c>
      <c r="M95" s="172" t="n">
        <v>53623.061</v>
      </c>
      <c r="N95" s="172" t="n">
        <v>37987</v>
      </c>
      <c r="O95" s="172" t="n">
        <v>37854</v>
      </c>
      <c r="P95" s="172" t="n">
        <v>45616</v>
      </c>
      <c r="Q95" s="172" t="n">
        <v>35888</v>
      </c>
      <c r="R95" s="172" t="n">
        <v>40963</v>
      </c>
      <c r="S95" s="172" t="n">
        <v>37006</v>
      </c>
      <c r="T95" s="172" t="n">
        <v>47101.854</v>
      </c>
      <c r="U95" s="172" t="n">
        <v>41471.33</v>
      </c>
      <c r="V95" s="172" t="n">
        <v>41601.878</v>
      </c>
      <c r="W95" s="172" t="n">
        <v>38005</v>
      </c>
      <c r="X95" s="172" t="n">
        <v>50391</v>
      </c>
      <c r="Y95" s="172" t="n">
        <v>50894</v>
      </c>
      <c r="Z95" s="172" t="n">
        <v>42185</v>
      </c>
      <c r="AA95" s="173" t="n">
        <v>37315</v>
      </c>
      <c r="AB95" s="173" t="n">
        <v>47877</v>
      </c>
      <c r="AC95" s="172" t="n">
        <v>38262.3</v>
      </c>
      <c r="AD95" s="172" t="n">
        <v>43961</v>
      </c>
      <c r="AE95" s="172" t="n">
        <v>43740</v>
      </c>
      <c r="AF95" s="172" t="n">
        <v>61155.805</v>
      </c>
      <c r="AG95" s="172" t="n">
        <v>52862.579</v>
      </c>
      <c r="AH95" s="172" t="n">
        <v>48018.047</v>
      </c>
      <c r="AI95" s="172" t="n">
        <v>48062.477</v>
      </c>
      <c r="AJ95" s="172" t="n">
        <v>58970.602</v>
      </c>
      <c r="AK95" s="172" t="n">
        <v>57617.139</v>
      </c>
      <c r="AL95" s="172" t="n">
        <v>54289.017</v>
      </c>
      <c r="AM95" s="172" t="n">
        <v>45846.128</v>
      </c>
      <c r="AN95" s="172" t="n">
        <v>64311.742</v>
      </c>
      <c r="AO95" s="172" t="n">
        <v>49984.137</v>
      </c>
      <c r="AP95" s="172" t="n">
        <v>62874.767</v>
      </c>
      <c r="AQ95" s="172" t="n">
        <v>85481.427</v>
      </c>
      <c r="AR95" s="172" t="n">
        <v>55156.137</v>
      </c>
      <c r="AS95" s="172" t="n">
        <v>55997.945</v>
      </c>
      <c r="AT95" s="172" t="n">
        <v>45150.953</v>
      </c>
      <c r="AU95" s="172" t="n">
        <v>56037.245</v>
      </c>
      <c r="AV95" s="172" t="n">
        <v>56872.096</v>
      </c>
      <c r="AW95" s="172" t="n">
        <v>50460.9</v>
      </c>
      <c r="AX95" s="182" t="n">
        <v>60113.702</v>
      </c>
      <c r="AY95" s="182" t="n">
        <v>50000.91</v>
      </c>
      <c r="AZ95" s="182" t="n">
        <v>53335.214</v>
      </c>
      <c r="BA95" s="182" t="n">
        <v>59773.233</v>
      </c>
      <c r="BB95" s="182" t="n">
        <v>59824</v>
      </c>
      <c r="BC95" s="182" t="n">
        <v>91763</v>
      </c>
      <c r="BD95" s="185" t="n">
        <v>65284.62</v>
      </c>
      <c r="BE95" s="182" t="n">
        <v>60048.847</v>
      </c>
      <c r="BF95" s="185" t="n">
        <v>59101.086</v>
      </c>
      <c r="BG95" s="182" t="n">
        <v>67436.22199999999</v>
      </c>
      <c r="BH95" s="182" t="n">
        <v>64165.939</v>
      </c>
      <c r="BI95" s="182" t="n">
        <v>72207.576</v>
      </c>
      <c r="BJ95" s="185" t="n">
        <v>53155</v>
      </c>
      <c r="BK95" s="185" t="n">
        <v>69749</v>
      </c>
      <c r="BL95" s="185" t="n">
        <v>65888</v>
      </c>
      <c r="BM95" s="182" t="n">
        <v>66827.533</v>
      </c>
      <c r="BN95" s="182" t="n">
        <v>63076.088</v>
      </c>
      <c r="BO95" s="182" t="n">
        <v>68536.269</v>
      </c>
      <c r="BP95" s="182" t="n">
        <v>101706.31</v>
      </c>
      <c r="BQ95" s="182" t="n">
        <v>65055.781</v>
      </c>
      <c r="BR95" s="182" t="n">
        <v>71463.253</v>
      </c>
      <c r="BS95" s="182" t="n">
        <v>79077.303</v>
      </c>
      <c r="BT95" s="182" t="n">
        <v>69309.87300000001</v>
      </c>
      <c r="BU95" s="182" t="n">
        <v>81878.315</v>
      </c>
      <c r="BV95" s="182">
        <f t="array" ref="BV95">_xlfn.XLOOKUP(1,(creditcard[YYYYMM]=BV$4)*(creditcard[Bank]=$A95),creditcard[當月簽帳金額])</f>
        <v/>
      </c>
      <c r="BW95" s="182">
        <f t="array" ref="BW95">_xlfn.XLOOKUP(1,(creditcard[YYYYMM]=BW$4)*(creditcard[Bank]=$A95),creditcard[當月簽帳金額])</f>
        <v/>
      </c>
      <c r="BX95" s="182">
        <f t="array" ref="BX95">_xlfn.XLOOKUP(1,(creditcard[YYYYMM]=BX$4)*(creditcard[Bank]=$A95),creditcard[當月簽帳金額])</f>
        <v/>
      </c>
      <c r="BY95" s="182">
        <f t="array" ref="BY95">_xlfn.XLOOKUP(1,(creditcard[YYYYMM]=BY$4)*(creditcard[Bank]=$A95),creditcard[當月簽帳金額],"")</f>
        <v/>
      </c>
      <c r="BZ95" s="182">
        <f t="array" ref="BZ95">_xlfn.XLOOKUP(1,(creditcard[YYYYMM]=BZ$4)*(creditcard[Bank]=$A95),creditcard[當月簽帳金額],"")</f>
        <v/>
      </c>
      <c r="CA95" s="182">
        <f t="array" ref="CA95">_xlfn.XLOOKUP(1,(creditcard[YYYYMM]=CA$4)*(creditcard[Bank]=$A95),creditcard[當月簽帳金額],"")</f>
        <v/>
      </c>
      <c r="CB95" s="182">
        <f t="array" ref="CB95">_xlfn.XLOOKUP(1,(creditcard[YYYYMM]=CB$4)*(creditcard[Bank]=$A95),creditcard[當月簽帳金額],"")</f>
        <v/>
      </c>
      <c r="CC95" s="182">
        <f t="array" ref="CC95">_xlfn.XLOOKUP(1,(creditcard[YYYYMM]=CC$4)*(creditcard[Bank]=$A95),creditcard[當月簽帳金額],"")</f>
        <v/>
      </c>
      <c r="CD95" s="182">
        <f t="array" ref="CD95">_xlfn.XLOOKUP(1,(creditcard[YYYYMM]=CD$4)*(creditcard[Bank]=$A95),creditcard[當月簽帳金額],"")</f>
        <v/>
      </c>
      <c r="CE95" s="182">
        <f t="array" ref="CE95">_xlfn.XLOOKUP(1,(creditcard[YYYYMM]=CE$4)*(creditcard[Bank]=$A95),creditcard[當月簽帳金額],"")</f>
        <v/>
      </c>
      <c r="CF95" s="182">
        <f t="array" ref="CF95">_xlfn.XLOOKUP(1,(creditcard[YYYYMM]=CF$4)*(creditcard[Bank]=$A95),creditcard[當月簽帳金額],"")</f>
        <v/>
      </c>
      <c r="CG95" s="182">
        <f t="array" ref="CG95">_xlfn.XLOOKUP(1,(creditcard[YYYYMM]=CG$4)*(creditcard[Bank]=$A95),creditcard[當月簽帳金額],"")</f>
        <v/>
      </c>
      <c r="CH95" s="182" t="n"/>
    </row>
    <row r="96">
      <c r="A96" s="174" t="inlineStr">
        <is>
          <t>玉山</t>
        </is>
      </c>
      <c r="B96" s="172" t="n">
        <v>41801.137</v>
      </c>
      <c r="C96" s="172" t="n">
        <v>33815.785</v>
      </c>
      <c r="D96" s="172" t="n">
        <v>35230.568</v>
      </c>
      <c r="E96" s="172" t="n">
        <v>30582.65</v>
      </c>
      <c r="F96" s="172" t="n">
        <v>35346.478</v>
      </c>
      <c r="G96" s="172" t="n">
        <v>40257.834</v>
      </c>
      <c r="H96" s="172" t="n">
        <v>60621.125</v>
      </c>
      <c r="I96" s="172" t="n">
        <v>39059.695</v>
      </c>
      <c r="J96" s="172" t="n">
        <v>36331.076</v>
      </c>
      <c r="K96" s="172" t="n">
        <v>36249.066</v>
      </c>
      <c r="L96" s="172" t="n">
        <v>39026.463</v>
      </c>
      <c r="M96" s="172" t="n">
        <v>41247.881</v>
      </c>
      <c r="N96" s="172" t="n">
        <v>37407</v>
      </c>
      <c r="O96" s="172" t="n">
        <v>34258</v>
      </c>
      <c r="P96" s="172" t="n">
        <v>36482</v>
      </c>
      <c r="Q96" s="172" t="n">
        <v>33643</v>
      </c>
      <c r="R96" s="172" t="n">
        <v>35223</v>
      </c>
      <c r="S96" s="172" t="n">
        <v>31615</v>
      </c>
      <c r="T96" s="172" t="n">
        <v>53650.168</v>
      </c>
      <c r="U96" s="172" t="n">
        <v>37199.186</v>
      </c>
      <c r="V96" s="172" t="n">
        <v>34906.37</v>
      </c>
      <c r="W96" s="172" t="n">
        <v>36834</v>
      </c>
      <c r="X96" s="172" t="n">
        <v>40710</v>
      </c>
      <c r="Y96" s="172" t="n">
        <v>40978</v>
      </c>
      <c r="Z96" s="172" t="n">
        <v>38403</v>
      </c>
      <c r="AA96" s="173" t="n">
        <v>32133</v>
      </c>
      <c r="AB96" s="173" t="n">
        <v>37221</v>
      </c>
      <c r="AC96" s="172" t="n">
        <v>32820.369</v>
      </c>
      <c r="AD96" s="172" t="n">
        <v>35222</v>
      </c>
      <c r="AE96" s="172" t="n">
        <v>36490</v>
      </c>
      <c r="AF96" s="172" t="n">
        <v>66002.99400000001</v>
      </c>
      <c r="AG96" s="172" t="n">
        <v>41348.057</v>
      </c>
      <c r="AH96" s="172" t="n">
        <v>37997.728</v>
      </c>
      <c r="AI96" s="172" t="n">
        <v>39670.535</v>
      </c>
      <c r="AJ96" s="172" t="n">
        <v>40559.654</v>
      </c>
      <c r="AK96" s="172" t="n">
        <v>44642.093</v>
      </c>
      <c r="AL96" s="172" t="n">
        <v>43010.584</v>
      </c>
      <c r="AM96" s="172" t="n">
        <v>34307.227</v>
      </c>
      <c r="AN96" s="172" t="n">
        <v>41944.767</v>
      </c>
      <c r="AO96" s="172" t="n">
        <v>37423.703</v>
      </c>
      <c r="AP96" s="172" t="n">
        <v>44188.915</v>
      </c>
      <c r="AQ96" s="172" t="n">
        <v>83277.53200000001</v>
      </c>
      <c r="AR96" s="172" t="n">
        <v>43156.487</v>
      </c>
      <c r="AS96" s="172" t="n">
        <v>44234.804</v>
      </c>
      <c r="AT96" s="172" t="n">
        <v>40968.327</v>
      </c>
      <c r="AU96" s="172" t="n">
        <v>44643.628</v>
      </c>
      <c r="AV96" s="172" t="n">
        <v>43296.698</v>
      </c>
      <c r="AW96" s="172" t="n">
        <v>43031.114</v>
      </c>
      <c r="AX96" s="182" t="n">
        <v>47055.787</v>
      </c>
      <c r="AY96" s="182" t="n">
        <v>40695.584</v>
      </c>
      <c r="AZ96" s="182" t="n">
        <v>41778.826</v>
      </c>
      <c r="BA96" s="182" t="n">
        <v>43646.854</v>
      </c>
      <c r="BB96" s="182" t="n">
        <v>45859</v>
      </c>
      <c r="BC96" s="182" t="n">
        <v>102532</v>
      </c>
      <c r="BD96" s="185" t="n">
        <v>48429.593</v>
      </c>
      <c r="BE96" s="182" t="n">
        <v>45687.595</v>
      </c>
      <c r="BF96" s="185" t="n">
        <v>46140.112</v>
      </c>
      <c r="BG96" s="182" t="n">
        <v>53364.686</v>
      </c>
      <c r="BH96" s="182" t="n">
        <v>46418.11</v>
      </c>
      <c r="BI96" s="182" t="n">
        <v>51214.901</v>
      </c>
      <c r="BJ96" s="185" t="n">
        <v>45663</v>
      </c>
      <c r="BK96" s="185" t="n">
        <v>44618</v>
      </c>
      <c r="BL96" s="185" t="n">
        <v>45519</v>
      </c>
      <c r="BM96" s="182" t="n">
        <v>43901.586</v>
      </c>
      <c r="BN96" s="182" t="n">
        <v>46983.332</v>
      </c>
      <c r="BO96" s="182" t="n">
        <v>49495.494</v>
      </c>
      <c r="BP96" s="182" t="n">
        <v>121150.605</v>
      </c>
      <c r="BQ96" s="182" t="n">
        <v>47848.33</v>
      </c>
      <c r="BR96" s="182" t="n">
        <v>51251.681</v>
      </c>
      <c r="BS96" s="182" t="n">
        <v>63826.907</v>
      </c>
      <c r="BT96" s="182" t="n">
        <v>48431.125</v>
      </c>
      <c r="BU96" s="182" t="n">
        <v>54299.671</v>
      </c>
      <c r="BV96" s="182">
        <f t="array" ref="BV96">_xlfn.XLOOKUP(1,(creditcard[YYYYMM]=BV$4)*(creditcard[Bank]=$A96),creditcard[當月簽帳金額])</f>
        <v/>
      </c>
      <c r="BW96" s="182">
        <f t="array" ref="BW96">_xlfn.XLOOKUP(1,(creditcard[YYYYMM]=BW$4)*(creditcard[Bank]=$A96),creditcard[當月簽帳金額])</f>
        <v/>
      </c>
      <c r="BX96" s="182">
        <f t="array" ref="BX96">_xlfn.XLOOKUP(1,(creditcard[YYYYMM]=BX$4)*(creditcard[Bank]=$A96),creditcard[當月簽帳金額])</f>
        <v/>
      </c>
      <c r="BY96" s="182">
        <f t="array" ref="BY96">_xlfn.XLOOKUP(1,(creditcard[YYYYMM]=BY$4)*(creditcard[Bank]=$A96),creditcard[當月簽帳金額],"")</f>
        <v/>
      </c>
      <c r="BZ96" s="182">
        <f t="array" ref="BZ96">_xlfn.XLOOKUP(1,(creditcard[YYYYMM]=BZ$4)*(creditcard[Bank]=$A96),creditcard[當月簽帳金額],"")</f>
        <v/>
      </c>
      <c r="CA96" s="182">
        <f t="array" ref="CA96">_xlfn.XLOOKUP(1,(creditcard[YYYYMM]=CA$4)*(creditcard[Bank]=$A96),creditcard[當月簽帳金額],"")</f>
        <v/>
      </c>
      <c r="CB96" s="182">
        <f t="array" ref="CB96">_xlfn.XLOOKUP(1,(creditcard[YYYYMM]=CB$4)*(creditcard[Bank]=$A96),creditcard[當月簽帳金額],"")</f>
        <v/>
      </c>
      <c r="CC96" s="182">
        <f t="array" ref="CC96">_xlfn.XLOOKUP(1,(creditcard[YYYYMM]=CC$4)*(creditcard[Bank]=$A96),creditcard[當月簽帳金額],"")</f>
        <v/>
      </c>
      <c r="CD96" s="182">
        <f t="array" ref="CD96">_xlfn.XLOOKUP(1,(creditcard[YYYYMM]=CD$4)*(creditcard[Bank]=$A96),creditcard[當月簽帳金額],"")</f>
        <v/>
      </c>
      <c r="CE96" s="182">
        <f t="array" ref="CE96">_xlfn.XLOOKUP(1,(creditcard[YYYYMM]=CE$4)*(creditcard[Bank]=$A96),creditcard[當月簽帳金額],"")</f>
        <v/>
      </c>
      <c r="CF96" s="182">
        <f t="array" ref="CF96">_xlfn.XLOOKUP(1,(creditcard[YYYYMM]=CF$4)*(creditcard[Bank]=$A96),creditcard[當月簽帳金額],"")</f>
        <v/>
      </c>
      <c r="CG96" s="182">
        <f t="array" ref="CG96">_xlfn.XLOOKUP(1,(creditcard[YYYYMM]=CG$4)*(creditcard[Bank]=$A96),creditcard[當月簽帳金額],"")</f>
        <v/>
      </c>
      <c r="CH96" s="182" t="n"/>
    </row>
    <row r="97">
      <c r="A97" s="174" t="inlineStr">
        <is>
          <t>台新</t>
        </is>
      </c>
      <c r="B97" s="172" t="n">
        <v>32049.524</v>
      </c>
      <c r="C97" s="172" t="n">
        <v>26463.648</v>
      </c>
      <c r="D97" s="172" t="n">
        <v>24780.338</v>
      </c>
      <c r="E97" s="172" t="n">
        <v>21062.065</v>
      </c>
      <c r="F97" s="172" t="n">
        <v>23255.398</v>
      </c>
      <c r="G97" s="172" t="n">
        <v>26027.237</v>
      </c>
      <c r="H97" s="172" t="n">
        <v>45812.976</v>
      </c>
      <c r="I97" s="172" t="n">
        <v>26696.965</v>
      </c>
      <c r="J97" s="172" t="n">
        <v>27473.056</v>
      </c>
      <c r="K97" s="172" t="n">
        <v>28397.557</v>
      </c>
      <c r="L97" s="172" t="n">
        <v>28839.01</v>
      </c>
      <c r="M97" s="172" t="n">
        <v>30769.489</v>
      </c>
      <c r="N97" s="172" t="n">
        <v>29008</v>
      </c>
      <c r="O97" s="172" t="n">
        <v>26368</v>
      </c>
      <c r="P97" s="172" t="n">
        <v>28814</v>
      </c>
      <c r="Q97" s="172" t="n">
        <v>26166</v>
      </c>
      <c r="R97" s="172" t="n">
        <v>26088</v>
      </c>
      <c r="S97" s="172" t="n">
        <v>23092</v>
      </c>
      <c r="T97" s="172" t="n">
        <v>41518.117</v>
      </c>
      <c r="U97" s="172" t="n">
        <v>28013.897</v>
      </c>
      <c r="V97" s="172" t="n">
        <v>28430.168</v>
      </c>
      <c r="W97" s="172" t="n">
        <v>28381</v>
      </c>
      <c r="X97" s="172" t="n">
        <v>32744</v>
      </c>
      <c r="Y97" s="172" t="n">
        <v>30444</v>
      </c>
      <c r="Z97" s="172" t="n">
        <v>30989</v>
      </c>
      <c r="AA97" s="173" t="n">
        <v>25950</v>
      </c>
      <c r="AB97" s="173" t="n">
        <v>31665</v>
      </c>
      <c r="AC97" s="172" t="n">
        <v>26652.319</v>
      </c>
      <c r="AD97" s="172" t="n">
        <v>27556</v>
      </c>
      <c r="AE97" s="172" t="n">
        <v>28897</v>
      </c>
      <c r="AF97" s="172" t="n">
        <v>48275.022</v>
      </c>
      <c r="AG97" s="172" t="n">
        <v>32582.058</v>
      </c>
      <c r="AH97" s="172" t="n">
        <v>30031.85</v>
      </c>
      <c r="AI97" s="172" t="n">
        <v>31812.279</v>
      </c>
      <c r="AJ97" s="172" t="n">
        <v>34386.347</v>
      </c>
      <c r="AK97" s="172" t="n">
        <v>33671.069</v>
      </c>
      <c r="AL97" s="172" t="n">
        <v>33601.152</v>
      </c>
      <c r="AM97" s="172" t="n">
        <v>28466.695</v>
      </c>
      <c r="AN97" s="172" t="n">
        <v>36018.117</v>
      </c>
      <c r="AO97" s="172" t="n">
        <v>30282.705</v>
      </c>
      <c r="AP97" s="172" t="n">
        <v>37865.377</v>
      </c>
      <c r="AQ97" s="172" t="n">
        <v>61015.306</v>
      </c>
      <c r="AR97" s="172" t="n">
        <v>35623.004</v>
      </c>
      <c r="AS97" s="172" t="n">
        <v>38792.215</v>
      </c>
      <c r="AT97" s="172" t="n">
        <v>35476.018</v>
      </c>
      <c r="AU97" s="172" t="n">
        <v>42514.318</v>
      </c>
      <c r="AV97" s="172" t="n">
        <v>40810.812</v>
      </c>
      <c r="AW97" s="172" t="n">
        <v>36643.26</v>
      </c>
      <c r="AX97" s="182" t="n">
        <v>42771.048</v>
      </c>
      <c r="AY97" s="182" t="n">
        <v>36870.328</v>
      </c>
      <c r="AZ97" s="182" t="n">
        <v>37210.947</v>
      </c>
      <c r="BA97" s="182" t="n">
        <v>40311.405</v>
      </c>
      <c r="BB97" s="182" t="n">
        <v>41624</v>
      </c>
      <c r="BC97" s="182" t="n">
        <v>56710</v>
      </c>
      <c r="BD97" s="185" t="n">
        <v>44354.956</v>
      </c>
      <c r="BE97" s="182" t="n">
        <v>41255.457</v>
      </c>
      <c r="BF97" s="185" t="n">
        <v>42608.008</v>
      </c>
      <c r="BG97" s="182" t="n">
        <v>47003.705</v>
      </c>
      <c r="BH97" s="182" t="n">
        <v>42809.078</v>
      </c>
      <c r="BI97" s="182" t="n">
        <v>44332.846</v>
      </c>
      <c r="BJ97" s="185" t="n">
        <v>35422</v>
      </c>
      <c r="BK97" s="185" t="n">
        <v>42846</v>
      </c>
      <c r="BL97" s="185" t="n">
        <v>39655</v>
      </c>
      <c r="BM97" s="182" t="n">
        <v>40295.422</v>
      </c>
      <c r="BN97" s="182" t="n">
        <v>40658.409</v>
      </c>
      <c r="BO97" s="182" t="n">
        <v>43848.944</v>
      </c>
      <c r="BP97" s="182" t="n">
        <v>63003.868</v>
      </c>
      <c r="BQ97" s="182" t="n">
        <v>39021.829</v>
      </c>
      <c r="BR97" s="182" t="n">
        <v>43935.514</v>
      </c>
      <c r="BS97" s="182" t="n">
        <v>48769.248</v>
      </c>
      <c r="BT97" s="182" t="n">
        <v>43360.054</v>
      </c>
      <c r="BU97" s="182" t="n">
        <v>48399.932</v>
      </c>
      <c r="BV97" s="182">
        <f t="array" ref="BV97">_xlfn.XLOOKUP(1,(creditcard[YYYYMM]=BV$4)*(creditcard[Bank]=$A97),creditcard[當月簽帳金額])</f>
        <v/>
      </c>
      <c r="BW97" s="182">
        <f t="array" ref="BW97">_xlfn.XLOOKUP(1,(creditcard[YYYYMM]=BW$4)*(creditcard[Bank]=$A97),creditcard[當月簽帳金額])</f>
        <v/>
      </c>
      <c r="BX97" s="182">
        <f t="array" ref="BX97">_xlfn.XLOOKUP(1,(creditcard[YYYYMM]=BX$4)*(creditcard[Bank]=$A97),creditcard[當月簽帳金額])</f>
        <v/>
      </c>
      <c r="BY97" s="182">
        <f t="array" ref="BY97">_xlfn.XLOOKUP(1,(creditcard[YYYYMM]=BY$4)*(creditcard[Bank]=$A97),creditcard[當月簽帳金額],"")</f>
        <v/>
      </c>
      <c r="BZ97" s="182">
        <f t="array" ref="BZ97">_xlfn.XLOOKUP(1,(creditcard[YYYYMM]=BZ$4)*(creditcard[Bank]=$A97),creditcard[當月簽帳金額],"")</f>
        <v/>
      </c>
      <c r="CA97" s="182">
        <f t="array" ref="CA97">_xlfn.XLOOKUP(1,(creditcard[YYYYMM]=CA$4)*(creditcard[Bank]=$A97),creditcard[當月簽帳金額],"")</f>
        <v/>
      </c>
      <c r="CB97" s="182">
        <f t="array" ref="CB97">_xlfn.XLOOKUP(1,(creditcard[YYYYMM]=CB$4)*(creditcard[Bank]=$A97),creditcard[當月簽帳金額],"")</f>
        <v/>
      </c>
      <c r="CC97" s="182">
        <f t="array" ref="CC97">_xlfn.XLOOKUP(1,(creditcard[YYYYMM]=CC$4)*(creditcard[Bank]=$A97),creditcard[當月簽帳金額],"")</f>
        <v/>
      </c>
      <c r="CD97" s="182">
        <f t="array" ref="CD97">_xlfn.XLOOKUP(1,(creditcard[YYYYMM]=CD$4)*(creditcard[Bank]=$A97),creditcard[當月簽帳金額],"")</f>
        <v/>
      </c>
      <c r="CE97" s="182">
        <f t="array" ref="CE97">_xlfn.XLOOKUP(1,(creditcard[YYYYMM]=CE$4)*(creditcard[Bank]=$A97),creditcard[當月簽帳金額],"")</f>
        <v/>
      </c>
      <c r="CF97" s="182">
        <f t="array" ref="CF97">_xlfn.XLOOKUP(1,(creditcard[YYYYMM]=CF$4)*(creditcard[Bank]=$A97),creditcard[當月簽帳金額],"")</f>
        <v/>
      </c>
      <c r="CG97" s="182">
        <f t="array" ref="CG97">_xlfn.XLOOKUP(1,(creditcard[YYYYMM]=CG$4)*(creditcard[Bank]=$A97),creditcard[當月簽帳金額],"")</f>
        <v/>
      </c>
      <c r="CH97" s="182" t="n"/>
    </row>
    <row r="98">
      <c r="A98" s="174" t="inlineStr">
        <is>
          <t>星展</t>
        </is>
      </c>
      <c r="B98" s="172" t="n">
        <v>3378</v>
      </c>
      <c r="C98" s="172" t="n">
        <v>2843</v>
      </c>
      <c r="D98" s="172" t="n">
        <v>2486</v>
      </c>
      <c r="E98" s="172" t="n">
        <v>2223</v>
      </c>
      <c r="F98" s="172" t="n">
        <v>2471</v>
      </c>
      <c r="G98" s="172" t="n">
        <v>2521</v>
      </c>
      <c r="H98" s="172" t="n">
        <v>3834</v>
      </c>
      <c r="I98" s="172" t="n">
        <v>2634</v>
      </c>
      <c r="J98" s="172" t="n">
        <v>3057</v>
      </c>
      <c r="K98" s="172" t="n">
        <v>2907</v>
      </c>
      <c r="L98" s="172" t="n">
        <v>3041</v>
      </c>
      <c r="M98" s="172" t="n">
        <v>3356</v>
      </c>
      <c r="N98" s="172" t="n">
        <v>2987</v>
      </c>
      <c r="O98" s="172" t="n">
        <v>2629</v>
      </c>
      <c r="P98" s="172" t="n">
        <v>2997</v>
      </c>
      <c r="Q98" s="172" t="n">
        <v>2727</v>
      </c>
      <c r="R98" s="172" t="n">
        <v>2626</v>
      </c>
      <c r="S98" s="172" t="n">
        <v>2289</v>
      </c>
      <c r="T98" s="172" t="n">
        <v>3142</v>
      </c>
      <c r="U98" s="172" t="n">
        <v>2663</v>
      </c>
      <c r="V98" s="172" t="n">
        <v>2956</v>
      </c>
      <c r="W98" s="172" t="n">
        <v>2956</v>
      </c>
      <c r="X98" s="172" t="n">
        <v>3445</v>
      </c>
      <c r="Y98" s="172" t="n">
        <v>3325</v>
      </c>
      <c r="Z98" s="172" t="n">
        <v>3121</v>
      </c>
      <c r="AA98" s="172" t="n">
        <v>2586</v>
      </c>
      <c r="AB98" s="172" t="n">
        <v>3425</v>
      </c>
      <c r="AC98" s="172" t="n">
        <v>2865</v>
      </c>
      <c r="AD98" s="172" t="n">
        <v>2920</v>
      </c>
      <c r="AE98" s="172" t="n">
        <v>3028</v>
      </c>
      <c r="AF98" s="172" t="n">
        <v>3912</v>
      </c>
      <c r="AG98" s="172" t="n">
        <v>3501</v>
      </c>
      <c r="AH98" s="172" t="n">
        <v>3357</v>
      </c>
      <c r="AI98" s="172" t="n">
        <v>3500</v>
      </c>
      <c r="AJ98" s="172" t="n">
        <v>4081</v>
      </c>
      <c r="AK98" s="172" t="n">
        <v>4024</v>
      </c>
      <c r="AL98" s="172" t="n">
        <v>3897</v>
      </c>
      <c r="AM98" s="172" t="n">
        <v>3314</v>
      </c>
      <c r="AN98" s="172" t="n">
        <v>4354</v>
      </c>
      <c r="AO98" s="172" t="n">
        <v>3529</v>
      </c>
      <c r="AP98" s="172" t="n">
        <v>4293</v>
      </c>
      <c r="AQ98" s="172" t="n">
        <v>5326</v>
      </c>
      <c r="AR98" s="172" t="n">
        <v>4104.759</v>
      </c>
      <c r="AS98" s="172" t="n">
        <v>20337.963</v>
      </c>
      <c r="AT98" s="172" t="n">
        <v>18271.218</v>
      </c>
      <c r="AU98" s="172" t="n">
        <v>22802.156</v>
      </c>
      <c r="AV98" s="172" t="n">
        <v>21868.949</v>
      </c>
      <c r="AW98" s="172" t="n">
        <v>20413.62</v>
      </c>
      <c r="AX98" s="182" t="n">
        <v>23505.877</v>
      </c>
      <c r="AY98" s="182" t="n">
        <v>19113.946</v>
      </c>
      <c r="AZ98" s="182" t="n">
        <v>21519.968</v>
      </c>
      <c r="BA98" s="182" t="n">
        <v>22324.04</v>
      </c>
      <c r="BB98" s="182" t="n">
        <v>22652</v>
      </c>
      <c r="BC98" s="182" t="n">
        <v>25885</v>
      </c>
      <c r="BD98" s="185" t="n">
        <v>24060.444</v>
      </c>
      <c r="BE98" s="182" t="n">
        <v>21914.3</v>
      </c>
      <c r="BF98" s="185" t="n">
        <v>22092.059</v>
      </c>
      <c r="BG98" s="182" t="n">
        <v>25494.293</v>
      </c>
      <c r="BH98" s="182" t="n">
        <v>22852.873</v>
      </c>
      <c r="BI98" s="182" t="n">
        <v>25272.608</v>
      </c>
      <c r="BJ98" s="185" t="n">
        <v>19991</v>
      </c>
      <c r="BK98" s="185" t="n">
        <v>23758</v>
      </c>
      <c r="BL98" s="185" t="n">
        <v>21652</v>
      </c>
      <c r="BM98" s="182" t="n">
        <v>21562.684</v>
      </c>
      <c r="BN98" s="182" t="n">
        <v>20489.333</v>
      </c>
      <c r="BO98" s="182" t="n">
        <v>21065.494</v>
      </c>
      <c r="BP98" s="182" t="n">
        <v>31221.428</v>
      </c>
      <c r="BQ98" s="182" t="n">
        <v>20453.867</v>
      </c>
      <c r="BR98" s="182" t="n">
        <v>21394.753</v>
      </c>
      <c r="BS98" s="182" t="n">
        <v>25239.05</v>
      </c>
      <c r="BT98" s="182" t="n">
        <v>21161.538</v>
      </c>
      <c r="BU98" s="182" t="n">
        <v>23990.92</v>
      </c>
      <c r="BV98" s="182">
        <f t="array" ref="BV98">_xlfn.XLOOKUP(1,(creditcard[YYYYMM]=BV$4)*(creditcard[Bank]=$A98),creditcard[當月簽帳金額])</f>
        <v/>
      </c>
      <c r="BW98" s="182">
        <f t="array" ref="BW98">_xlfn.XLOOKUP(1,(creditcard[YYYYMM]=BW$4)*(creditcard[Bank]=$A98),creditcard[當月簽帳金額])</f>
        <v/>
      </c>
      <c r="BX98" s="182">
        <f t="array" ref="BX98">_xlfn.XLOOKUP(1,(creditcard[YYYYMM]=BX$4)*(creditcard[Bank]=$A98),creditcard[當月簽帳金額])</f>
        <v/>
      </c>
      <c r="BY98" s="182">
        <f t="array" ref="BY98">_xlfn.XLOOKUP(1,(creditcard[YYYYMM]=BY$4)*(creditcard[Bank]=$A98),creditcard[當月簽帳金額],"")</f>
        <v/>
      </c>
      <c r="BZ98" s="182">
        <f t="array" ref="BZ98">_xlfn.XLOOKUP(1,(creditcard[YYYYMM]=BZ$4)*(creditcard[Bank]=$A98),creditcard[當月簽帳金額],"")</f>
        <v/>
      </c>
      <c r="CA98" s="182">
        <f t="array" ref="CA98">_xlfn.XLOOKUP(1,(creditcard[YYYYMM]=CA$4)*(creditcard[Bank]=$A98),creditcard[當月簽帳金額],"")</f>
        <v/>
      </c>
      <c r="CB98" s="182">
        <f t="array" ref="CB98">_xlfn.XLOOKUP(1,(creditcard[YYYYMM]=CB$4)*(creditcard[Bank]=$A98),creditcard[當月簽帳金額],"")</f>
        <v/>
      </c>
      <c r="CC98" s="182">
        <f t="array" ref="CC98">_xlfn.XLOOKUP(1,(creditcard[YYYYMM]=CC$4)*(creditcard[Bank]=$A98),creditcard[當月簽帳金額],"")</f>
        <v/>
      </c>
      <c r="CD98" s="182">
        <f t="array" ref="CD98">_xlfn.XLOOKUP(1,(creditcard[YYYYMM]=CD$4)*(creditcard[Bank]=$A98),creditcard[當月簽帳金額],"")</f>
        <v/>
      </c>
      <c r="CE98" s="182">
        <f t="array" ref="CE98">_xlfn.XLOOKUP(1,(creditcard[YYYYMM]=CE$4)*(creditcard[Bank]=$A98),creditcard[當月簽帳金額],"")</f>
        <v/>
      </c>
      <c r="CF98" s="182">
        <f t="array" ref="CF98">_xlfn.XLOOKUP(1,(creditcard[YYYYMM]=CF$4)*(creditcard[Bank]=$A98),creditcard[當月簽帳金額],"")</f>
        <v/>
      </c>
      <c r="CG98" s="182">
        <f t="array" ref="CG98">_xlfn.XLOOKUP(1,(creditcard[YYYYMM]=CG$4)*(creditcard[Bank]=$A98),creditcard[當月簽帳金額],"")</f>
        <v/>
      </c>
      <c r="CH98" s="182" t="n"/>
    </row>
    <row r="99">
      <c r="A99" s="174" t="inlineStr">
        <is>
          <t>聯邦</t>
        </is>
      </c>
      <c r="B99" s="172" t="n">
        <v>8663.333000000001</v>
      </c>
      <c r="C99" s="172" t="n">
        <v>6693.412</v>
      </c>
      <c r="D99" s="172" t="n">
        <v>7186.173</v>
      </c>
      <c r="E99" s="172" t="n">
        <v>6734.42</v>
      </c>
      <c r="F99" s="172" t="n">
        <v>7400.906</v>
      </c>
      <c r="G99" s="172" t="n">
        <v>8306.402</v>
      </c>
      <c r="H99" s="172" t="n">
        <v>9754.617</v>
      </c>
      <c r="I99" s="172" t="n">
        <v>8247.718999999999</v>
      </c>
      <c r="J99" s="172" t="n">
        <v>8315.348</v>
      </c>
      <c r="K99" s="172" t="n">
        <v>8431.519</v>
      </c>
      <c r="L99" s="172" t="n">
        <v>9151.959999999999</v>
      </c>
      <c r="M99" s="172" t="n">
        <v>9897.642</v>
      </c>
      <c r="N99" s="172" t="n">
        <v>8908</v>
      </c>
      <c r="O99" s="172" t="n">
        <v>7919</v>
      </c>
      <c r="P99" s="172" t="n">
        <v>8449</v>
      </c>
      <c r="Q99" s="172" t="n">
        <v>8130</v>
      </c>
      <c r="R99" s="172" t="n">
        <v>8039</v>
      </c>
      <c r="S99" s="172" t="n">
        <v>6896</v>
      </c>
      <c r="T99" s="172" t="n">
        <v>8380.619000000001</v>
      </c>
      <c r="U99" s="172" t="n">
        <v>8439.415999999999</v>
      </c>
      <c r="V99" s="172" t="n">
        <v>8541.815000000001</v>
      </c>
      <c r="W99" s="172" t="n">
        <v>8631</v>
      </c>
      <c r="X99" s="172" t="n">
        <v>9306</v>
      </c>
      <c r="Y99" s="172" t="n">
        <v>9958</v>
      </c>
      <c r="Z99" s="172" t="n">
        <v>9185</v>
      </c>
      <c r="AA99" s="173" t="n">
        <v>7673</v>
      </c>
      <c r="AB99" s="173" t="n">
        <v>8751</v>
      </c>
      <c r="AC99" s="172" t="n">
        <v>8120.55</v>
      </c>
      <c r="AD99" s="172" t="n">
        <v>8332</v>
      </c>
      <c r="AE99" s="172" t="n">
        <v>8501</v>
      </c>
      <c r="AF99" s="172" t="n">
        <v>10810.727</v>
      </c>
      <c r="AG99" s="172" t="n">
        <v>10096.931</v>
      </c>
      <c r="AH99" s="172" t="n">
        <v>9739.172</v>
      </c>
      <c r="AI99" s="172" t="n">
        <v>9917.93</v>
      </c>
      <c r="AJ99" s="172" t="n">
        <v>10199.746</v>
      </c>
      <c r="AK99" s="172" t="n">
        <v>11209.138</v>
      </c>
      <c r="AL99" s="172" t="n">
        <v>11405.604</v>
      </c>
      <c r="AM99" s="172" t="n">
        <v>10767.29</v>
      </c>
      <c r="AN99" s="172" t="n">
        <v>12685.051</v>
      </c>
      <c r="AO99" s="172" t="n">
        <v>11949.762</v>
      </c>
      <c r="AP99" s="172" t="n">
        <v>13711.998</v>
      </c>
      <c r="AQ99" s="172" t="n">
        <v>15143.135</v>
      </c>
      <c r="AR99" s="172" t="n">
        <v>14385.082</v>
      </c>
      <c r="AS99" s="172" t="n">
        <v>15927.985</v>
      </c>
      <c r="AT99" s="172" t="n">
        <v>16189.382</v>
      </c>
      <c r="AU99" s="172" t="n">
        <v>16405.958</v>
      </c>
      <c r="AV99" s="172" t="n">
        <v>16330.023</v>
      </c>
      <c r="AW99" s="172" t="n">
        <v>16678.253</v>
      </c>
      <c r="AX99" s="182" t="n">
        <v>16678.253</v>
      </c>
      <c r="AY99" s="182" t="n">
        <v>15251.488</v>
      </c>
      <c r="AZ99" s="182" t="n">
        <v>15856.564</v>
      </c>
      <c r="BA99" s="182" t="n">
        <v>15673.828</v>
      </c>
      <c r="BB99" s="182" t="n">
        <v>16416</v>
      </c>
      <c r="BC99" s="182" t="n">
        <v>19047</v>
      </c>
      <c r="BD99" s="185" t="n">
        <v>16742.326</v>
      </c>
      <c r="BE99" s="182" t="n">
        <v>15378.409</v>
      </c>
      <c r="BF99" s="185" t="n">
        <v>14967.409</v>
      </c>
      <c r="BG99" s="182" t="n">
        <v>14568.391</v>
      </c>
      <c r="BH99" s="182" t="n">
        <v>14565.652</v>
      </c>
      <c r="BI99" s="182" t="n">
        <v>15579.738</v>
      </c>
      <c r="BJ99" s="185" t="n">
        <v>14598</v>
      </c>
      <c r="BK99" s="185" t="n">
        <v>13373</v>
      </c>
      <c r="BL99" s="185" t="n">
        <v>14086</v>
      </c>
      <c r="BM99" s="182" t="n">
        <v>13283.971</v>
      </c>
      <c r="BN99" s="182" t="n">
        <v>13893.74</v>
      </c>
      <c r="BO99" s="182" t="n">
        <v>14276.318</v>
      </c>
      <c r="BP99" s="182" t="n">
        <v>23142.116</v>
      </c>
      <c r="BQ99" s="182" t="n">
        <v>14375.683</v>
      </c>
      <c r="BR99" s="182" t="n">
        <v>14540.278</v>
      </c>
      <c r="BS99" s="182" t="n">
        <v>14412.897</v>
      </c>
      <c r="BT99" s="182" t="n">
        <v>13967.54</v>
      </c>
      <c r="BU99" s="182" t="n">
        <v>15000.911</v>
      </c>
      <c r="BV99" s="182">
        <f t="array" ref="BV99">_xlfn.XLOOKUP(1,(creditcard[YYYYMM]=BV$4)*(creditcard[Bank]=$A99),creditcard[當月簽帳金額])</f>
        <v/>
      </c>
      <c r="BW99" s="182">
        <f t="array" ref="BW99">_xlfn.XLOOKUP(1,(creditcard[YYYYMM]=BW$4)*(creditcard[Bank]=$A99),creditcard[當月簽帳金額])</f>
        <v/>
      </c>
      <c r="BX99" s="182">
        <f t="array" ref="BX99">_xlfn.XLOOKUP(1,(creditcard[YYYYMM]=BX$4)*(creditcard[Bank]=$A99),creditcard[當月簽帳金額])</f>
        <v/>
      </c>
      <c r="BY99" s="182">
        <f t="array" ref="BY99">_xlfn.XLOOKUP(1,(creditcard[YYYYMM]=BY$4)*(creditcard[Bank]=$A99),creditcard[當月簽帳金額],"")</f>
        <v/>
      </c>
      <c r="BZ99" s="182">
        <f t="array" ref="BZ99">_xlfn.XLOOKUP(1,(creditcard[YYYYMM]=BZ$4)*(creditcard[Bank]=$A99),creditcard[當月簽帳金額],"")</f>
        <v/>
      </c>
      <c r="CA99" s="182">
        <f t="array" ref="CA99">_xlfn.XLOOKUP(1,(creditcard[YYYYMM]=CA$4)*(creditcard[Bank]=$A99),creditcard[當月簽帳金額],"")</f>
        <v/>
      </c>
      <c r="CB99" s="182">
        <f t="array" ref="CB99">_xlfn.XLOOKUP(1,(creditcard[YYYYMM]=CB$4)*(creditcard[Bank]=$A99),creditcard[當月簽帳金額],"")</f>
        <v/>
      </c>
      <c r="CC99" s="182">
        <f t="array" ref="CC99">_xlfn.XLOOKUP(1,(creditcard[YYYYMM]=CC$4)*(creditcard[Bank]=$A99),creditcard[當月簽帳金額],"")</f>
        <v/>
      </c>
      <c r="CD99" s="182">
        <f t="array" ref="CD99">_xlfn.XLOOKUP(1,(creditcard[YYYYMM]=CD$4)*(creditcard[Bank]=$A99),creditcard[當月簽帳金額],"")</f>
        <v/>
      </c>
      <c r="CE99" s="182">
        <f t="array" ref="CE99">_xlfn.XLOOKUP(1,(creditcard[YYYYMM]=CE$4)*(creditcard[Bank]=$A99),creditcard[當月簽帳金額],"")</f>
        <v/>
      </c>
      <c r="CF99" s="182">
        <f t="array" ref="CF99">_xlfn.XLOOKUP(1,(creditcard[YYYYMM]=CF$4)*(creditcard[Bank]=$A99),creditcard[當月簽帳金額],"")</f>
        <v/>
      </c>
      <c r="CG99" s="182">
        <f t="array" ref="CG99">_xlfn.XLOOKUP(1,(creditcard[YYYYMM]=CG$4)*(creditcard[Bank]=$A99),creditcard[當月簽帳金額],"")</f>
        <v/>
      </c>
      <c r="CH99" s="182" t="n"/>
    </row>
    <row r="100">
      <c r="A100" s="174" t="inlineStr">
        <is>
          <t>永豐</t>
        </is>
      </c>
      <c r="B100" s="172" t="n">
        <v>9377.843999999999</v>
      </c>
      <c r="C100" s="172" t="n">
        <v>7896.036</v>
      </c>
      <c r="D100" s="172" t="n">
        <v>8031.37</v>
      </c>
      <c r="E100" s="172" t="n">
        <v>6854.286</v>
      </c>
      <c r="F100" s="172" t="n">
        <v>7188.756</v>
      </c>
      <c r="G100" s="172" t="n">
        <v>8282.860000000001</v>
      </c>
      <c r="H100" s="172" t="n">
        <v>12821.162</v>
      </c>
      <c r="I100" s="172" t="n">
        <v>9041.725</v>
      </c>
      <c r="J100" s="172" t="n">
        <v>10086.408</v>
      </c>
      <c r="K100" s="172" t="n">
        <v>8735.02</v>
      </c>
      <c r="L100" s="172" t="n">
        <v>9180.968000000001</v>
      </c>
      <c r="M100" s="172" t="n">
        <v>11122.72</v>
      </c>
      <c r="N100" s="172" t="n">
        <v>10794</v>
      </c>
      <c r="O100" s="172" t="n">
        <v>8755</v>
      </c>
      <c r="P100" s="172" t="n">
        <v>10055</v>
      </c>
      <c r="Q100" s="172" t="n">
        <v>8900</v>
      </c>
      <c r="R100" s="172" t="n">
        <v>9066</v>
      </c>
      <c r="S100" s="172" t="n">
        <v>8410</v>
      </c>
      <c r="T100" s="172" t="n">
        <v>11785.412</v>
      </c>
      <c r="U100" s="172" t="n">
        <v>9986.424999999999</v>
      </c>
      <c r="V100" s="172" t="n">
        <v>10043.87</v>
      </c>
      <c r="W100" s="172" t="n">
        <v>9244</v>
      </c>
      <c r="X100" s="172" t="n">
        <v>10913</v>
      </c>
      <c r="Y100" s="172" t="n">
        <v>11983</v>
      </c>
      <c r="Z100" s="172" t="n">
        <v>11318</v>
      </c>
      <c r="AA100" s="173" t="n">
        <v>8757</v>
      </c>
      <c r="AB100" s="173" t="n">
        <v>11330</v>
      </c>
      <c r="AC100" s="172" t="n">
        <v>9382.218000000001</v>
      </c>
      <c r="AD100" s="172" t="n">
        <v>9728</v>
      </c>
      <c r="AE100" s="172" t="n">
        <v>10039</v>
      </c>
      <c r="AF100" s="172" t="n">
        <v>13310.478</v>
      </c>
      <c r="AG100" s="172" t="n">
        <v>11190.445</v>
      </c>
      <c r="AH100" s="172" t="n">
        <v>10452.227</v>
      </c>
      <c r="AI100" s="172" t="n">
        <v>10289.067</v>
      </c>
      <c r="AJ100" s="172" t="n">
        <v>11682.277</v>
      </c>
      <c r="AK100" s="172" t="n">
        <v>12022.55</v>
      </c>
      <c r="AL100" s="172" t="n">
        <v>11445.886</v>
      </c>
      <c r="AM100" s="172" t="n">
        <v>9361.928</v>
      </c>
      <c r="AN100" s="172" t="n">
        <v>12136.101</v>
      </c>
      <c r="AO100" s="172" t="n">
        <v>9519.351000000001</v>
      </c>
      <c r="AP100" s="172" t="n">
        <v>11636.877</v>
      </c>
      <c r="AQ100" s="172" t="n">
        <v>13821.374</v>
      </c>
      <c r="AR100" s="172" t="n">
        <v>10649.894</v>
      </c>
      <c r="AS100" s="172" t="n">
        <v>11930.702</v>
      </c>
      <c r="AT100" s="172" t="n">
        <v>10669.788</v>
      </c>
      <c r="AU100" s="172" t="n">
        <v>12075.671</v>
      </c>
      <c r="AV100" s="172" t="n">
        <v>11687.531</v>
      </c>
      <c r="AW100" s="172" t="n">
        <v>11284.524</v>
      </c>
      <c r="AX100" s="182" t="n">
        <v>12451.323</v>
      </c>
      <c r="AY100" s="182" t="n">
        <v>10210.409</v>
      </c>
      <c r="AZ100" s="182" t="n">
        <v>10937.454</v>
      </c>
      <c r="BA100" s="182" t="n">
        <v>11287.146</v>
      </c>
      <c r="BB100" s="182" t="n">
        <v>12062</v>
      </c>
      <c r="BC100" s="182" t="n">
        <v>15608</v>
      </c>
      <c r="BD100" s="185" t="n">
        <v>12750.548</v>
      </c>
      <c r="BE100" s="182" t="n">
        <v>11907.741</v>
      </c>
      <c r="BF100" s="185" t="n">
        <v>11827.95</v>
      </c>
      <c r="BG100" s="182" t="n">
        <v>13113.297</v>
      </c>
      <c r="BH100" s="182" t="n">
        <v>12168.843</v>
      </c>
      <c r="BI100" s="182" t="n">
        <v>1436.372</v>
      </c>
      <c r="BJ100" s="185" t="n">
        <v>12190</v>
      </c>
      <c r="BK100" s="185" t="n">
        <v>15756</v>
      </c>
      <c r="BL100" s="185" t="n">
        <v>14092</v>
      </c>
      <c r="BM100" s="182" t="n">
        <v>14156.078</v>
      </c>
      <c r="BN100" s="182" t="n">
        <v>13911.95</v>
      </c>
      <c r="BO100" s="182" t="n">
        <v>14413.467</v>
      </c>
      <c r="BP100" s="182" t="n">
        <v>21083.593</v>
      </c>
      <c r="BQ100" s="182" t="n">
        <v>13856.226</v>
      </c>
      <c r="BR100" s="182" t="n">
        <v>14139.555</v>
      </c>
      <c r="BS100" s="182" t="n">
        <v>16090.748</v>
      </c>
      <c r="BT100" s="182" t="n">
        <v>13790.779</v>
      </c>
      <c r="BU100" s="182" t="n">
        <v>15837.909</v>
      </c>
      <c r="BV100" s="182">
        <f t="array" ref="BV100">_xlfn.XLOOKUP(1,(creditcard[YYYYMM]=BV$4)*(creditcard[Bank]=$A100),creditcard[當月簽帳金額])</f>
        <v/>
      </c>
      <c r="BW100" s="182">
        <f t="array" ref="BW100">_xlfn.XLOOKUP(1,(creditcard[YYYYMM]=BW$4)*(creditcard[Bank]=$A100),creditcard[當月簽帳金額])</f>
        <v/>
      </c>
      <c r="BX100" s="182">
        <f t="array" ref="BX100">_xlfn.XLOOKUP(1,(creditcard[YYYYMM]=BX$4)*(creditcard[Bank]=$A100),creditcard[當月簽帳金額])</f>
        <v/>
      </c>
      <c r="BY100" s="182">
        <f t="array" ref="BY100">_xlfn.XLOOKUP(1,(creditcard[YYYYMM]=BY$4)*(creditcard[Bank]=$A100),creditcard[當月簽帳金額],"")</f>
        <v/>
      </c>
      <c r="BZ100" s="182">
        <f t="array" ref="BZ100">_xlfn.XLOOKUP(1,(creditcard[YYYYMM]=BZ$4)*(creditcard[Bank]=$A100),creditcard[當月簽帳金額],"")</f>
        <v/>
      </c>
      <c r="CA100" s="182">
        <f t="array" ref="CA100">_xlfn.XLOOKUP(1,(creditcard[YYYYMM]=CA$4)*(creditcard[Bank]=$A100),creditcard[當月簽帳金額],"")</f>
        <v/>
      </c>
      <c r="CB100" s="182">
        <f t="array" ref="CB100">_xlfn.XLOOKUP(1,(creditcard[YYYYMM]=CB$4)*(creditcard[Bank]=$A100),creditcard[當月簽帳金額],"")</f>
        <v/>
      </c>
      <c r="CC100" s="182">
        <f t="array" ref="CC100">_xlfn.XLOOKUP(1,(creditcard[YYYYMM]=CC$4)*(creditcard[Bank]=$A100),creditcard[當月簽帳金額],"")</f>
        <v/>
      </c>
      <c r="CD100" s="182">
        <f t="array" ref="CD100">_xlfn.XLOOKUP(1,(creditcard[YYYYMM]=CD$4)*(creditcard[Bank]=$A100),creditcard[當月簽帳金額],"")</f>
        <v/>
      </c>
      <c r="CE100" s="182">
        <f t="array" ref="CE100">_xlfn.XLOOKUP(1,(creditcard[YYYYMM]=CE$4)*(creditcard[Bank]=$A100),creditcard[當月簽帳金額],"")</f>
        <v/>
      </c>
      <c r="CF100" s="182">
        <f t="array" ref="CF100">_xlfn.XLOOKUP(1,(creditcard[YYYYMM]=CF$4)*(creditcard[Bank]=$A100),creditcard[當月簽帳金額],"")</f>
        <v/>
      </c>
      <c r="CG100" s="182">
        <f t="array" ref="CG100">_xlfn.XLOOKUP(1,(creditcard[YYYYMM]=CG$4)*(creditcard[Bank]=$A100),creditcard[當月簽帳金額],"")</f>
        <v/>
      </c>
      <c r="CH100" s="182" t="n"/>
    </row>
    <row r="101">
      <c r="A101" s="174" t="inlineStr">
        <is>
          <t>第一</t>
        </is>
      </c>
      <c r="B101" s="172" t="n">
        <v>4534</v>
      </c>
      <c r="C101" s="172" t="n">
        <v>3924</v>
      </c>
      <c r="D101" s="172" t="n">
        <v>3869</v>
      </c>
      <c r="E101" s="172" t="n">
        <v>3508</v>
      </c>
      <c r="F101" s="172" t="n">
        <v>3681</v>
      </c>
      <c r="G101" s="172" t="n">
        <v>3850</v>
      </c>
      <c r="H101" s="172" t="n">
        <v>5330</v>
      </c>
      <c r="I101" s="172" t="n">
        <v>4029</v>
      </c>
      <c r="J101" s="172" t="n">
        <v>4469</v>
      </c>
      <c r="K101" s="172" t="n">
        <v>4412</v>
      </c>
      <c r="L101" s="172" t="n">
        <v>4496</v>
      </c>
      <c r="M101" s="172" t="n">
        <v>5090</v>
      </c>
      <c r="N101" s="172" t="n">
        <v>4441</v>
      </c>
      <c r="O101" s="172" t="n">
        <v>4058</v>
      </c>
      <c r="P101" s="172" t="n">
        <v>4802</v>
      </c>
      <c r="Q101" s="172" t="n">
        <v>4353</v>
      </c>
      <c r="R101" s="172" t="n">
        <v>4507</v>
      </c>
      <c r="S101" s="172" t="n">
        <v>3961</v>
      </c>
      <c r="T101" s="172" t="n">
        <v>5230</v>
      </c>
      <c r="U101" s="172" t="n">
        <v>4663</v>
      </c>
      <c r="V101" s="172" t="n">
        <v>4714</v>
      </c>
      <c r="W101" s="172" t="n">
        <v>4822</v>
      </c>
      <c r="X101" s="172" t="n">
        <v>5512</v>
      </c>
      <c r="Y101" s="172" t="n">
        <v>5366</v>
      </c>
      <c r="Z101" s="172" t="n">
        <v>5102</v>
      </c>
      <c r="AA101" s="173" t="n">
        <v>4401</v>
      </c>
      <c r="AB101" s="173" t="n">
        <v>5628</v>
      </c>
      <c r="AC101" s="172" t="n">
        <v>4713</v>
      </c>
      <c r="AD101" s="172" t="n">
        <v>5065</v>
      </c>
      <c r="AE101" s="172" t="n">
        <v>5171</v>
      </c>
      <c r="AF101" s="172" t="n">
        <v>6589</v>
      </c>
      <c r="AG101" s="172" t="n">
        <v>5885</v>
      </c>
      <c r="AH101" s="172" t="n">
        <v>5356</v>
      </c>
      <c r="AI101" s="172" t="n">
        <v>5521</v>
      </c>
      <c r="AJ101" s="172" t="n">
        <v>6198</v>
      </c>
      <c r="AK101" s="172" t="n">
        <v>6135</v>
      </c>
      <c r="AL101" s="172" t="n">
        <v>5079</v>
      </c>
      <c r="AM101" s="172" t="n">
        <v>5765</v>
      </c>
      <c r="AN101" s="172" t="n">
        <v>6555</v>
      </c>
      <c r="AO101" s="172" t="n">
        <v>5276</v>
      </c>
      <c r="AP101" s="172" t="n">
        <v>6560.637</v>
      </c>
      <c r="AQ101" s="172" t="n">
        <v>7559.025</v>
      </c>
      <c r="AR101" s="172" t="n">
        <v>5921.91</v>
      </c>
      <c r="AS101" s="172" t="n">
        <v>6735.511</v>
      </c>
      <c r="AT101" s="172" t="n">
        <v>5896.847</v>
      </c>
      <c r="AU101" s="172" t="n">
        <v>7075.551</v>
      </c>
      <c r="AV101" s="172" t="n">
        <v>6669.709</v>
      </c>
      <c r="AW101" s="172" t="n">
        <v>6372.982</v>
      </c>
      <c r="AX101" s="182" t="n">
        <v>7052.008</v>
      </c>
      <c r="AY101" s="182" t="n">
        <v>5887.991</v>
      </c>
      <c r="AZ101" s="182" t="n">
        <v>6524.366</v>
      </c>
      <c r="BA101" s="182" t="n">
        <v>6774.206</v>
      </c>
      <c r="BB101" s="182" t="n">
        <v>7175</v>
      </c>
      <c r="BC101" s="182" t="n">
        <v>9909</v>
      </c>
      <c r="BD101" s="185" t="n">
        <v>7007.372</v>
      </c>
      <c r="BE101" s="182" t="n">
        <v>6667.574</v>
      </c>
      <c r="BF101" s="185" t="n">
        <v>6455.516</v>
      </c>
      <c r="BG101" s="182" t="n">
        <v>7056.964</v>
      </c>
      <c r="BH101" s="182" t="n">
        <v>6463.55</v>
      </c>
      <c r="BI101" s="182" t="n">
        <v>7203.786</v>
      </c>
      <c r="BJ101" s="185" t="n">
        <v>5585</v>
      </c>
      <c r="BK101" s="185" t="n">
        <v>7043</v>
      </c>
      <c r="BL101" s="185" t="n">
        <v>6326</v>
      </c>
      <c r="BM101" s="182" t="n">
        <v>6469.282</v>
      </c>
      <c r="BN101" s="182" t="n">
        <v>6437.411</v>
      </c>
      <c r="BO101" s="182" t="n">
        <v>6620.35</v>
      </c>
      <c r="BP101" s="182" t="n">
        <v>10410.441</v>
      </c>
      <c r="BQ101" s="182" t="n">
        <v>6450.972</v>
      </c>
      <c r="BR101" s="182" t="n">
        <v>6574.397</v>
      </c>
      <c r="BS101" s="182" t="n">
        <v>7618.009</v>
      </c>
      <c r="BT101" s="182" t="n">
        <v>6556.21</v>
      </c>
      <c r="BU101" s="182" t="n">
        <v>7583.238</v>
      </c>
      <c r="BV101" s="182">
        <f t="array" ref="BV101">_xlfn.XLOOKUP(1,(creditcard[YYYYMM]=BV$4)*(creditcard[Bank]=$A101),creditcard[當月簽帳金額])</f>
        <v/>
      </c>
      <c r="BW101" s="182">
        <f t="array" ref="BW101">_xlfn.XLOOKUP(1,(creditcard[YYYYMM]=BW$4)*(creditcard[Bank]=$A101),creditcard[當月簽帳金額])</f>
        <v/>
      </c>
      <c r="BX101" s="182">
        <f t="array" ref="BX101">_xlfn.XLOOKUP(1,(creditcard[YYYYMM]=BX$4)*(creditcard[Bank]=$A101),creditcard[當月簽帳金額])</f>
        <v/>
      </c>
      <c r="BY101" s="182">
        <f t="array" ref="BY101">_xlfn.XLOOKUP(1,(creditcard[YYYYMM]=BY$4)*(creditcard[Bank]=$A101),creditcard[當月簽帳金額],"")</f>
        <v/>
      </c>
      <c r="BZ101" s="182">
        <f t="array" ref="BZ101">_xlfn.XLOOKUP(1,(creditcard[YYYYMM]=BZ$4)*(creditcard[Bank]=$A101),creditcard[當月簽帳金額],"")</f>
        <v/>
      </c>
      <c r="CA101" s="182">
        <f t="array" ref="CA101">_xlfn.XLOOKUP(1,(creditcard[YYYYMM]=CA$4)*(creditcard[Bank]=$A101),creditcard[當月簽帳金額],"")</f>
        <v/>
      </c>
      <c r="CB101" s="182">
        <f t="array" ref="CB101">_xlfn.XLOOKUP(1,(creditcard[YYYYMM]=CB$4)*(creditcard[Bank]=$A101),creditcard[當月簽帳金額],"")</f>
        <v/>
      </c>
      <c r="CC101" s="182">
        <f t="array" ref="CC101">_xlfn.XLOOKUP(1,(creditcard[YYYYMM]=CC$4)*(creditcard[Bank]=$A101),creditcard[當月簽帳金額],"")</f>
        <v/>
      </c>
      <c r="CD101" s="182">
        <f t="array" ref="CD101">_xlfn.XLOOKUP(1,(creditcard[YYYYMM]=CD$4)*(creditcard[Bank]=$A101),creditcard[當月簽帳金額],"")</f>
        <v/>
      </c>
      <c r="CE101" s="182">
        <f t="array" ref="CE101">_xlfn.XLOOKUP(1,(creditcard[YYYYMM]=CE$4)*(creditcard[Bank]=$A101),creditcard[當月簽帳金額],"")</f>
        <v/>
      </c>
      <c r="CF101" s="182">
        <f t="array" ref="CF101">_xlfn.XLOOKUP(1,(creditcard[YYYYMM]=CF$4)*(creditcard[Bank]=$A101),creditcard[當月簽帳金額],"")</f>
        <v/>
      </c>
      <c r="CG101" s="182">
        <f t="array" ref="CG101">_xlfn.XLOOKUP(1,(creditcard[YYYYMM]=CG$4)*(creditcard[Bank]=$A101),creditcard[當月簽帳金額],"")</f>
        <v/>
      </c>
      <c r="CH101" s="182" t="n"/>
    </row>
    <row r="102">
      <c r="A102" s="174" t="inlineStr">
        <is>
          <t>遠東</t>
        </is>
      </c>
      <c r="B102" s="172" t="n">
        <v>4696.507</v>
      </c>
      <c r="C102" s="172" t="n">
        <v>3507.14</v>
      </c>
      <c r="D102" s="172" t="n">
        <v>3691.996</v>
      </c>
      <c r="E102" s="172" t="n">
        <v>3296.509</v>
      </c>
      <c r="F102" s="172" t="n">
        <v>3694.76</v>
      </c>
      <c r="G102" s="172" t="n">
        <v>3966.303</v>
      </c>
      <c r="H102" s="172" t="n">
        <v>4977.637</v>
      </c>
      <c r="I102" s="172" t="n">
        <v>3908.805</v>
      </c>
      <c r="J102" s="172" t="n">
        <v>4148.644</v>
      </c>
      <c r="K102" s="172" t="n">
        <v>4511.272</v>
      </c>
      <c r="L102" s="172" t="n">
        <v>4996.032</v>
      </c>
      <c r="M102" s="172" t="n">
        <v>4897.955</v>
      </c>
      <c r="N102" s="172" t="n">
        <v>4331</v>
      </c>
      <c r="O102" s="172" t="n">
        <v>3996</v>
      </c>
      <c r="P102" s="172" t="n">
        <v>4402</v>
      </c>
      <c r="Q102" s="172" t="n">
        <v>3940</v>
      </c>
      <c r="R102" s="172" t="n">
        <v>3755</v>
      </c>
      <c r="S102" s="172" t="n">
        <v>2919</v>
      </c>
      <c r="T102" s="172" t="n">
        <v>3835.2</v>
      </c>
      <c r="U102" s="172" t="n">
        <v>3925.084</v>
      </c>
      <c r="V102" s="172" t="n">
        <v>3924.447</v>
      </c>
      <c r="W102" s="172" t="n">
        <v>4063</v>
      </c>
      <c r="X102" s="172" t="n">
        <v>4897</v>
      </c>
      <c r="Y102" s="172" t="n">
        <v>4664</v>
      </c>
      <c r="Z102" s="172" t="n">
        <v>4388</v>
      </c>
      <c r="AA102" s="173" t="n">
        <v>3683</v>
      </c>
      <c r="AB102" s="173" t="n">
        <v>4555</v>
      </c>
      <c r="AC102" s="172" t="n">
        <v>3737.974</v>
      </c>
      <c r="AD102" s="172" t="n">
        <v>3797</v>
      </c>
      <c r="AE102" s="172" t="n">
        <v>3724</v>
      </c>
      <c r="AF102" s="172" t="n">
        <v>4747.441</v>
      </c>
      <c r="AG102" s="172" t="n">
        <v>4513.62</v>
      </c>
      <c r="AH102" s="172" t="n">
        <v>4072.297</v>
      </c>
      <c r="AI102" s="172" t="n">
        <v>4569.619</v>
      </c>
      <c r="AJ102" s="172" t="n">
        <v>4845.407</v>
      </c>
      <c r="AK102" s="172" t="n">
        <v>4919.524</v>
      </c>
      <c r="AL102" s="172" t="n">
        <v>4835.491</v>
      </c>
      <c r="AM102" s="172" t="n">
        <v>3593.927</v>
      </c>
      <c r="AN102" s="172" t="n">
        <v>4727.941</v>
      </c>
      <c r="AO102" s="172" t="n">
        <v>3798.275</v>
      </c>
      <c r="AP102" s="172" t="n">
        <v>4683.91</v>
      </c>
      <c r="AQ102" s="172" t="n">
        <v>4934.734</v>
      </c>
      <c r="AR102" s="172" t="n">
        <v>4341.93</v>
      </c>
      <c r="AS102" s="172" t="n">
        <v>4594.662</v>
      </c>
      <c r="AT102" s="172" t="n">
        <v>4133.814</v>
      </c>
      <c r="AU102" s="172" t="n">
        <v>4948.592</v>
      </c>
      <c r="AV102" s="172" t="n">
        <v>4554.394</v>
      </c>
      <c r="AW102" s="172" t="n">
        <v>4293.244</v>
      </c>
      <c r="AX102" s="182" t="n">
        <v>4750.517</v>
      </c>
      <c r="AY102" s="182" t="n">
        <v>4306.401</v>
      </c>
      <c r="AZ102" s="182" t="n">
        <v>3982.06</v>
      </c>
      <c r="BA102" s="182" t="n">
        <v>4249.246</v>
      </c>
      <c r="BB102" s="182" t="n">
        <v>4330</v>
      </c>
      <c r="BC102" s="182" t="n">
        <v>4984</v>
      </c>
      <c r="BD102" s="185" t="n">
        <v>4582.518</v>
      </c>
      <c r="BE102" s="182" t="n">
        <v>4306.568</v>
      </c>
      <c r="BF102" s="185" t="n">
        <v>4449.328</v>
      </c>
      <c r="BG102" s="182" t="n">
        <v>4716.974</v>
      </c>
      <c r="BH102" s="182" t="n">
        <v>4572.217</v>
      </c>
      <c r="BI102" s="182" t="n">
        <v>4737.848</v>
      </c>
      <c r="BJ102" s="173" t="n">
        <v>3775</v>
      </c>
      <c r="BK102" s="185" t="n">
        <v>4549</v>
      </c>
      <c r="BL102" s="185" t="n">
        <v>4189</v>
      </c>
      <c r="BM102" s="182" t="n">
        <v>3973.876</v>
      </c>
      <c r="BN102" s="182" t="n">
        <v>4074.317</v>
      </c>
      <c r="BO102" s="182" t="n">
        <v>4189.889</v>
      </c>
      <c r="BP102" s="182" t="n">
        <v>5171.054</v>
      </c>
      <c r="BQ102" s="182" t="n">
        <v>3934.188</v>
      </c>
      <c r="BR102" s="182" t="n">
        <v>4252.474</v>
      </c>
      <c r="BS102" s="182" t="n">
        <v>4597.573</v>
      </c>
      <c r="BT102" s="182" t="n">
        <v>4233.68</v>
      </c>
      <c r="BU102" s="182" t="n">
        <v>4517.285</v>
      </c>
      <c r="BV102" s="182">
        <f t="array" ref="BV102">_xlfn.XLOOKUP(1,(creditcard[YYYYMM]=BV$4)*(creditcard[Bank]=$A102),creditcard[當月簽帳金額])</f>
        <v/>
      </c>
      <c r="BW102" s="182">
        <f t="array" ref="BW102">_xlfn.XLOOKUP(1,(creditcard[YYYYMM]=BW$4)*(creditcard[Bank]=$A102),creditcard[當月簽帳金額])</f>
        <v/>
      </c>
      <c r="BX102" s="182">
        <f t="array" ref="BX102">_xlfn.XLOOKUP(1,(creditcard[YYYYMM]=BX$4)*(creditcard[Bank]=$A102),creditcard[當月簽帳金額])</f>
        <v/>
      </c>
      <c r="BY102" s="182">
        <f t="array" ref="BY102">_xlfn.XLOOKUP(1,(creditcard[YYYYMM]=BY$4)*(creditcard[Bank]=$A102),creditcard[當月簽帳金額],"")</f>
        <v/>
      </c>
      <c r="BZ102" s="182">
        <f t="array" ref="BZ102">_xlfn.XLOOKUP(1,(creditcard[YYYYMM]=BZ$4)*(creditcard[Bank]=$A102),creditcard[當月簽帳金額],"")</f>
        <v/>
      </c>
      <c r="CA102" s="182">
        <f t="array" ref="CA102">_xlfn.XLOOKUP(1,(creditcard[YYYYMM]=CA$4)*(creditcard[Bank]=$A102),creditcard[當月簽帳金額],"")</f>
        <v/>
      </c>
      <c r="CB102" s="182">
        <f t="array" ref="CB102">_xlfn.XLOOKUP(1,(creditcard[YYYYMM]=CB$4)*(creditcard[Bank]=$A102),creditcard[當月簽帳金額],"")</f>
        <v/>
      </c>
      <c r="CC102" s="182">
        <f t="array" ref="CC102">_xlfn.XLOOKUP(1,(creditcard[YYYYMM]=CC$4)*(creditcard[Bank]=$A102),creditcard[當月簽帳金額],"")</f>
        <v/>
      </c>
      <c r="CD102" s="182">
        <f t="array" ref="CD102">_xlfn.XLOOKUP(1,(creditcard[YYYYMM]=CD$4)*(creditcard[Bank]=$A102),creditcard[當月簽帳金額],"")</f>
        <v/>
      </c>
      <c r="CE102" s="182">
        <f t="array" ref="CE102">_xlfn.XLOOKUP(1,(creditcard[YYYYMM]=CE$4)*(creditcard[Bank]=$A102),creditcard[當月簽帳金額],"")</f>
        <v/>
      </c>
      <c r="CF102" s="182">
        <f t="array" ref="CF102">_xlfn.XLOOKUP(1,(creditcard[YYYYMM]=CF$4)*(creditcard[Bank]=$A102),creditcard[當月簽帳金額],"")</f>
        <v/>
      </c>
      <c r="CG102" s="182">
        <f t="array" ref="CG102">_xlfn.XLOOKUP(1,(creditcard[YYYYMM]=CG$4)*(creditcard[Bank]=$A102),creditcard[當月簽帳金額],"")</f>
        <v/>
      </c>
      <c r="CH102" s="182" t="n"/>
    </row>
    <row r="103">
      <c r="A103" s="170" t="inlineStr">
        <is>
          <t>市場總計</t>
        </is>
      </c>
      <c r="B103" s="170" t="n">
        <v>273084.436</v>
      </c>
      <c r="C103" s="170" t="n">
        <v>218401.915</v>
      </c>
      <c r="D103" s="170" t="n">
        <v>228233.479</v>
      </c>
      <c r="E103" s="170" t="n">
        <v>206237.587</v>
      </c>
      <c r="F103" s="170" t="n">
        <v>214681.106</v>
      </c>
      <c r="G103" s="170" t="n">
        <v>237050.044</v>
      </c>
      <c r="H103" s="170" t="n">
        <v>362627</v>
      </c>
      <c r="I103" s="170" t="n">
        <v>234672</v>
      </c>
      <c r="J103" s="170" t="n">
        <v>248729.702</v>
      </c>
      <c r="K103" s="170" t="n">
        <v>240657.682</v>
      </c>
      <c r="L103" s="170" t="n">
        <v>259474.64</v>
      </c>
      <c r="M103" s="170" t="n">
        <v>295757.329</v>
      </c>
      <c r="N103" s="170" t="n">
        <v>253009</v>
      </c>
      <c r="O103" s="170" t="n">
        <v>229907</v>
      </c>
      <c r="P103" s="170" t="n">
        <v>263204</v>
      </c>
      <c r="Q103" s="170" t="n">
        <v>234944</v>
      </c>
      <c r="R103" s="170" t="n">
        <v>239603</v>
      </c>
      <c r="S103" s="170" t="n">
        <v>215304</v>
      </c>
      <c r="T103" s="170" t="n">
        <v>335381.804</v>
      </c>
      <c r="U103" s="170" t="n">
        <v>251209.146</v>
      </c>
      <c r="V103" s="170" t="n">
        <v>250925.612</v>
      </c>
      <c r="W103" s="170" t="n">
        <v>247247</v>
      </c>
      <c r="X103" s="170" t="n">
        <v>292065</v>
      </c>
      <c r="Y103" s="170" t="n">
        <v>294906</v>
      </c>
      <c r="Z103" s="175" t="n">
        <v>272108</v>
      </c>
      <c r="AA103" s="175" t="n">
        <v>228355</v>
      </c>
      <c r="AB103" s="175" t="n">
        <v>282198</v>
      </c>
      <c r="AC103" s="175" t="n">
        <v>235292</v>
      </c>
      <c r="AD103" s="175" t="n">
        <v>254309</v>
      </c>
      <c r="AE103" s="175" t="n">
        <v>260532</v>
      </c>
      <c r="AF103" s="175" t="n">
        <v>407863.535</v>
      </c>
      <c r="AG103" s="175" t="n">
        <v>303760.704</v>
      </c>
      <c r="AH103" s="175" t="n">
        <v>282133.992</v>
      </c>
      <c r="AI103" s="175" t="n">
        <v>292685.489</v>
      </c>
      <c r="AJ103" s="175" t="n">
        <v>325750.723</v>
      </c>
      <c r="AK103" s="175" t="n">
        <v>333669.343</v>
      </c>
      <c r="AL103" s="184" t="n">
        <v>316171.015</v>
      </c>
      <c r="AM103" s="175" t="n">
        <v>269598.723</v>
      </c>
      <c r="AN103" s="175" t="n">
        <v>346912.61</v>
      </c>
      <c r="AO103" s="175" t="n">
        <v>288999.489</v>
      </c>
      <c r="AP103" s="175" t="n">
        <v>350716.332</v>
      </c>
      <c r="AQ103" s="175" t="n">
        <v>528135.811</v>
      </c>
      <c r="AR103" s="175" t="n">
        <v>327611.253</v>
      </c>
      <c r="AS103" s="175" t="n">
        <v>353726.819</v>
      </c>
      <c r="AT103" s="175" t="n">
        <v>320345.185</v>
      </c>
      <c r="AU103" s="175" t="n">
        <v>371432.678</v>
      </c>
      <c r="AV103" s="175" t="n">
        <v>366674.79</v>
      </c>
      <c r="AW103" s="188" t="n">
        <v>345668.009</v>
      </c>
      <c r="AX103" s="175" t="n">
        <v>385195.508</v>
      </c>
      <c r="AY103" s="175" t="n">
        <v>321835.011</v>
      </c>
      <c r="AZ103" s="175" t="n">
        <v>340536.007</v>
      </c>
      <c r="BA103" s="175" t="n">
        <v>359655.298</v>
      </c>
      <c r="BB103" s="175" t="n">
        <v>372769</v>
      </c>
      <c r="BC103" s="175" t="n">
        <v>564298</v>
      </c>
      <c r="BD103" s="175" t="n">
        <v>396750.829</v>
      </c>
      <c r="BE103" s="175" t="n">
        <v>365188.821</v>
      </c>
      <c r="BF103" s="175" t="n">
        <v>367656.411</v>
      </c>
      <c r="BG103" s="175" t="n">
        <v>404842.142</v>
      </c>
      <c r="BH103" s="175" t="n">
        <v>385476.992</v>
      </c>
      <c r="BI103" s="175" t="n">
        <v>420176.761</v>
      </c>
      <c r="BJ103" s="175" t="n">
        <v>338561</v>
      </c>
      <c r="BK103" s="187" t="n">
        <v>395295</v>
      </c>
      <c r="BL103" s="187" t="n">
        <v>377173</v>
      </c>
      <c r="BM103" s="175" t="n">
        <v>373344.235</v>
      </c>
      <c r="BN103" s="175" t="n">
        <v>371785.303</v>
      </c>
      <c r="BO103" s="175" t="n">
        <v>393715.829</v>
      </c>
      <c r="BP103" s="175" t="n">
        <v>653264.628</v>
      </c>
      <c r="BQ103" s="175" t="n">
        <v>376250.456</v>
      </c>
      <c r="BR103" s="175" t="n">
        <v>403174.279</v>
      </c>
      <c r="BS103" s="175" t="n">
        <v>453412.126</v>
      </c>
      <c r="BT103" s="175" t="n">
        <v>396704.763</v>
      </c>
      <c r="BU103" s="175" t="n">
        <v>453663.538</v>
      </c>
      <c r="BV103" s="175">
        <f t="array" ref="BV103">_xlfn.XLOOKUP(1,(creditcard[YYYYMM]=BV$4)*(creditcard[Bank]=$A103),creditcard[當月簽帳金額])</f>
        <v/>
      </c>
      <c r="BW103" s="175">
        <f t="array" ref="BW103">_xlfn.XLOOKUP(1,(creditcard[YYYYMM]=BW$4)*(creditcard[Bank]=$A103),creditcard[當月簽帳金額])</f>
        <v/>
      </c>
      <c r="BX103" s="175">
        <f t="array" ref="BX103">_xlfn.XLOOKUP(1,(creditcard[YYYYMM]=BX$4)*(creditcard[Bank]=$A103),creditcard[當月簽帳金額])</f>
        <v/>
      </c>
      <c r="BY103" s="175">
        <f t="array" ref="BY103">_xlfn.XLOOKUP(1,(creditcard[YYYYMM]=BY$4)*(creditcard[Bank]=$A103),creditcard[當月簽帳金額],"")</f>
        <v/>
      </c>
      <c r="BZ103" s="175">
        <f t="array" ref="BZ103">_xlfn.XLOOKUP(1,(creditcard[YYYYMM]=BZ$4)*(creditcard[Bank]=$A103),creditcard[當月簽帳金額],"")</f>
        <v/>
      </c>
      <c r="CA103" s="175">
        <f t="array" ref="CA103">_xlfn.XLOOKUP(1,(creditcard[YYYYMM]=CA$4)*(creditcard[Bank]=$A103),creditcard[當月簽帳金額],"")</f>
        <v/>
      </c>
      <c r="CB103" s="175">
        <f t="array" ref="CB103">_xlfn.XLOOKUP(1,(creditcard[YYYYMM]=CB$4)*(creditcard[Bank]=$A103),creditcard[當月簽帳金額],"")</f>
        <v/>
      </c>
      <c r="CC103" s="175">
        <f t="array" ref="CC103">_xlfn.XLOOKUP(1,(creditcard[YYYYMM]=CC$4)*(creditcard[Bank]=$A103),creditcard[當月簽帳金額],"")</f>
        <v/>
      </c>
      <c r="CD103" s="175">
        <f t="array" ref="CD103">_xlfn.XLOOKUP(1,(creditcard[YYYYMM]=CD$4)*(creditcard[Bank]=$A103),creditcard[當月簽帳金額],"")</f>
        <v/>
      </c>
      <c r="CE103" s="175">
        <f t="array" ref="CE103">_xlfn.XLOOKUP(1,(creditcard[YYYYMM]=CE$4)*(creditcard[Bank]=$A103),creditcard[當月簽帳金額],"")</f>
        <v/>
      </c>
      <c r="CF103" s="175">
        <f t="array" ref="CF103">_xlfn.XLOOKUP(1,(creditcard[YYYYMM]=CF$4)*(creditcard[Bank]=$A103),creditcard[當月簽帳金額],"")</f>
        <v/>
      </c>
      <c r="CG103" s="175">
        <f t="array" ref="CG103">_xlfn.XLOOKUP(1,(creditcard[YYYYMM]=CG$4)*(creditcard[Bank]=$A103),creditcard[當月簽帳金額],"")</f>
        <v/>
      </c>
      <c r="CH103" s="182" t="n"/>
    </row>
    <row r="104" ht="12.75" customFormat="1" customHeight="1" s="73">
      <c r="A104" s="176" t="inlineStr">
        <is>
          <t>TOP5</t>
        </is>
      </c>
      <c r="B104" s="177">
        <f>IFERROR(SUM(B93:B97)/B103,"")</f>
        <v/>
      </c>
      <c r="C104" s="177">
        <f>IFERROR(SUM(C93:C97)/C103,"")</f>
        <v/>
      </c>
      <c r="D104" s="177">
        <f>IFERROR(SUM(D93:D97)/D103,"")</f>
        <v/>
      </c>
      <c r="E104" s="177">
        <f>IFERROR(SUM(E93:E97)/E103,"")</f>
        <v/>
      </c>
      <c r="F104" s="177">
        <f>IFERROR(SUM(F93:F97)/F103,"")</f>
        <v/>
      </c>
      <c r="G104" s="177">
        <f>IFERROR(SUM(G93:G97)/G103,"")</f>
        <v/>
      </c>
      <c r="H104" s="177">
        <f>IFERROR(SUM(H93:H97)/H103,"")</f>
        <v/>
      </c>
      <c r="I104" s="177">
        <f>IFERROR(SUM(I93:I97)/I103,"")</f>
        <v/>
      </c>
      <c r="J104" s="177">
        <f>IFERROR(SUM(J93:J97)/J103,"")</f>
        <v/>
      </c>
      <c r="K104" s="177">
        <f>IFERROR(SUM(K93:K97)/K103,"")</f>
        <v/>
      </c>
      <c r="L104" s="177">
        <f>IFERROR(SUM(L93:L97)/L103,"")</f>
        <v/>
      </c>
      <c r="M104" s="177">
        <f>IFERROR(SUM(M93:M97)/M103,"")</f>
        <v/>
      </c>
      <c r="N104" s="177">
        <f>IFERROR(SUM(N93:N97)/N103,"")</f>
        <v/>
      </c>
      <c r="O104" s="177">
        <f>IFERROR(SUM(O93:O97)/O103,"")</f>
        <v/>
      </c>
      <c r="P104" s="177">
        <f>IFERROR(SUM(P93:P97)/P103,"")</f>
        <v/>
      </c>
      <c r="Q104" s="177">
        <f>IFERROR(SUM(Q93:Q97)/Q103,"")</f>
        <v/>
      </c>
      <c r="R104" s="177">
        <f>IFERROR(SUM(R93:R97)/R103,"")</f>
        <v/>
      </c>
      <c r="S104" s="177">
        <f>IFERROR(SUM(S93:S97)/S103,"")</f>
        <v/>
      </c>
      <c r="T104" s="177">
        <f>IFERROR(SUM(T93:T97)/T103,"")</f>
        <v/>
      </c>
      <c r="U104" s="177">
        <f>IFERROR(SUM(U93:U97)/U103,"")</f>
        <v/>
      </c>
      <c r="V104" s="177">
        <f>IFERROR(SUM(V93:V97)/V103,"")</f>
        <v/>
      </c>
      <c r="W104" s="177">
        <f>IFERROR(SUM(W93:W97)/W103,"")</f>
        <v/>
      </c>
      <c r="X104" s="177">
        <f>IFERROR(SUM(X93:X97)/X103,"")</f>
        <v/>
      </c>
      <c r="Y104" s="177">
        <f>IFERROR(SUM(Y93:Y97)/Y103,"")</f>
        <v/>
      </c>
      <c r="Z104" s="177">
        <f>IFERROR(SUM(Z93:Z97)/Z103,"")</f>
        <v/>
      </c>
      <c r="AA104" s="177">
        <f>IFERROR(SUM(AA93:AA97)/AA103,"")</f>
        <v/>
      </c>
      <c r="AB104" s="177">
        <f>IFERROR(SUM(AB93:AB97)/AB103,"")</f>
        <v/>
      </c>
      <c r="AC104" s="177">
        <f>IFERROR(SUM(AC93:AC97)/AC103,"")</f>
        <v/>
      </c>
      <c r="AD104" s="177">
        <f>IFERROR(SUM(AD93:AD97)/AD103,"")</f>
        <v/>
      </c>
      <c r="AE104" s="177">
        <f>IFERROR(SUM(AE93:AE97)/AE103,"")</f>
        <v/>
      </c>
      <c r="AF104" s="177">
        <f>IFERROR(SUM(AF93:AF97)/AF103,"")</f>
        <v/>
      </c>
      <c r="AG104" s="177">
        <f>IFERROR(SUM(AG93:AG97)/AG103,"")</f>
        <v/>
      </c>
      <c r="AH104" s="177">
        <f>IFERROR(SUM(AH93:AH97)/AH103,"")</f>
        <v/>
      </c>
      <c r="AI104" s="177">
        <f>IFERROR(SUM(AI93:AI97)/AI103,"")</f>
        <v/>
      </c>
      <c r="AJ104" s="177">
        <f>IFERROR(SUM(AJ93:AJ97)/AJ103,"")</f>
        <v/>
      </c>
      <c r="AK104" s="177">
        <f>IFERROR(SUM(AK93:AK97)/AK103,"")</f>
        <v/>
      </c>
      <c r="AL104" s="177">
        <f>IFERROR(SUM(AL93:AL97)/AL103,"")</f>
        <v/>
      </c>
      <c r="AM104" s="177">
        <f>IFERROR(SUM(AM93:AM97)/AM103,"")</f>
        <v/>
      </c>
      <c r="AN104" s="177">
        <f>IFERROR(SUM(AN93:AN97)/AN103,"")</f>
        <v/>
      </c>
      <c r="AO104" s="177">
        <f>IFERROR(SUM(AO93:AO97)/AO103,"")</f>
        <v/>
      </c>
      <c r="AP104" s="177">
        <f>IFERROR(SUM(AP93:AP97)/AP103,"")</f>
        <v/>
      </c>
      <c r="AQ104" s="177">
        <f>IFERROR(SUM(AQ93:AQ97)/AQ103,"")</f>
        <v/>
      </c>
      <c r="AR104" s="177">
        <f>IFERROR(SUM(AR93:AR97)/AR103,"")</f>
        <v/>
      </c>
      <c r="AS104" s="177">
        <f>IFERROR(SUM(AS93:AS97)/AS103,"")</f>
        <v/>
      </c>
      <c r="AT104" s="177">
        <f>IFERROR(SUM(AT93:AT97)/AT103,"")</f>
        <v/>
      </c>
      <c r="AU104" s="177">
        <f>IFERROR(SUM(AU93:AU97)/AU103,"")</f>
        <v/>
      </c>
      <c r="AV104" s="177">
        <f>IFERROR(SUM(AV93:AV97)/AV103,"")</f>
        <v/>
      </c>
      <c r="AW104" s="177">
        <f>IFERROR(SUM(AW93:AW97)/AW103,"")</f>
        <v/>
      </c>
      <c r="AX104" s="177">
        <f>IFERROR(SUM(AX93:AX97)/AX103,"")</f>
        <v/>
      </c>
      <c r="AY104" s="177">
        <f>IFERROR(SUM(AY93:AY97)/AY103,"")</f>
        <v/>
      </c>
      <c r="AZ104" s="177">
        <f>IFERROR(SUM(AZ93:AZ97)/AZ103,"")</f>
        <v/>
      </c>
      <c r="BA104" s="177">
        <f>IFERROR(SUM(BA93:BA97)/BA103,"")</f>
        <v/>
      </c>
      <c r="BB104" s="177">
        <f>IFERROR(SUM(BB93:BB97)/BB103,"")</f>
        <v/>
      </c>
      <c r="BC104" s="177">
        <f>IFERROR(SUM(BC93:BC97)/BC103,"")</f>
        <v/>
      </c>
      <c r="BD104" s="177">
        <f>IFERROR(SUM(BD93:BD97)/BD103,"")</f>
        <v/>
      </c>
      <c r="BE104" s="177">
        <f>IFERROR(SUM(BE93:BE97)/BE103,"")</f>
        <v/>
      </c>
      <c r="BF104" s="177">
        <f>IFERROR(SUM(BF93:BF97)/BF103,"")</f>
        <v/>
      </c>
      <c r="BG104" s="177">
        <f>IFERROR(SUM(BG93:BG97)/BG103,"")</f>
        <v/>
      </c>
      <c r="BH104" s="177">
        <f>IFERROR(SUM(BH93:BH97)/BH103,"")</f>
        <v/>
      </c>
      <c r="BI104" s="177">
        <f>IFERROR(SUM(BI93:BI97)/BI103,"")</f>
        <v/>
      </c>
      <c r="BJ104" s="177">
        <f>IFERROR(SUM(BJ93:BJ97)/BJ103,"")</f>
        <v/>
      </c>
      <c r="BK104" s="177">
        <f>IFERROR(SUM(BK93:BK97)/BK103,"")</f>
        <v/>
      </c>
      <c r="BL104" s="177">
        <f>IFERROR(SUM(BL93:BL97)/BL103,"")</f>
        <v/>
      </c>
      <c r="BM104" s="177">
        <f>IFERROR(SUM(BM93:BM97)/BM103,"")</f>
        <v/>
      </c>
      <c r="BN104" s="177">
        <f>IFERROR(SUM(BN93:BN97)/BN103,"")</f>
        <v/>
      </c>
      <c r="BO104" s="177">
        <f>IFERROR(SUM(BO93:BO97)/BO103,"")</f>
        <v/>
      </c>
      <c r="BP104" s="177">
        <f>IFERROR(SUM(BP93:BP97)/BP103,"")</f>
        <v/>
      </c>
      <c r="BQ104" s="177">
        <f>IFERROR(SUM(BQ93:BQ97)/BQ103,"")</f>
        <v/>
      </c>
      <c r="BR104" s="177">
        <f>IFERROR(SUM(BR93:BR97)/BR103,"")</f>
        <v/>
      </c>
      <c r="BS104" s="177">
        <f>IFERROR(SUM(BS93:BS97)/BS103,"")</f>
        <v/>
      </c>
      <c r="BT104" s="177">
        <f>IFERROR(SUM(BT93:BT97)/BT103,"")</f>
        <v/>
      </c>
      <c r="BU104" s="177">
        <f>IFERROR(SUM(BU93:BU97)/BU103,"")</f>
        <v/>
      </c>
      <c r="BV104" s="177">
        <f>IFERROR(SUM(BV93:BV97)/BV103,"")</f>
        <v/>
      </c>
      <c r="BW104" s="177">
        <f>IFERROR(SUM(BW93:BW97)/BW103,"")</f>
        <v/>
      </c>
      <c r="BX104" s="189">
        <f>IFERROR(SUM(BX93:BX97)/BX103,"")</f>
        <v/>
      </c>
      <c r="BY104" s="189">
        <f>IFERROR(SUM(BY93:BY97)/BY103,"")</f>
        <v/>
      </c>
      <c r="BZ104" s="189">
        <f>IFERROR(SUM(BZ93:BZ97)/BZ103,"")</f>
        <v/>
      </c>
      <c r="CA104" s="70">
        <f>IFERROR(SUM(CA93:CA97)/CA103,"")</f>
        <v/>
      </c>
      <c r="CB104" s="70">
        <f>IFERROR(SUM(CB93:CB97)/CB103,"")</f>
        <v/>
      </c>
      <c r="CC104" s="70">
        <f>IFERROR(SUM(CC93:CC97)/CC103,"")</f>
        <v/>
      </c>
      <c r="CD104" s="70">
        <f>IFERROR(SUM(CD93:CD97)/CD103,"")</f>
        <v/>
      </c>
      <c r="CE104" s="189">
        <f>IFERROR(SUM(CE93:CE97)/CE103,"")</f>
        <v/>
      </c>
      <c r="CF104" s="189">
        <f>IFERROR(SUM(CF93:CF97)/CF103,"")</f>
        <v/>
      </c>
      <c r="CG104" s="189">
        <f>IFERROR(SUM(CG93:CG97)/CG103,"")</f>
        <v/>
      </c>
      <c r="CH104" s="177" t="n"/>
    </row>
    <row r="105" ht="12.75" customFormat="1" customHeight="1" s="73">
      <c r="A105" s="176" t="inlineStr">
        <is>
          <t>TOP10</t>
        </is>
      </c>
      <c r="B105" s="177">
        <f>IFERROR(SUM(B93:B102)/B103,"")</f>
        <v/>
      </c>
      <c r="C105" s="177">
        <f>IFERROR(SUM(C93:C102)/C103,"")</f>
        <v/>
      </c>
      <c r="D105" s="177">
        <f>IFERROR(SUM(D93:D102)/D103,"")</f>
        <v/>
      </c>
      <c r="E105" s="177">
        <f>IFERROR(SUM(E93:E102)/E103,"")</f>
        <v/>
      </c>
      <c r="F105" s="177">
        <f>IFERROR(SUM(F93:F102)/F103,"")</f>
        <v/>
      </c>
      <c r="G105" s="177">
        <f>IFERROR(SUM(G93:G102)/G103,"")</f>
        <v/>
      </c>
      <c r="H105" s="177">
        <f>IFERROR(SUM(H93:H102)/H103,"")</f>
        <v/>
      </c>
      <c r="I105" s="177">
        <f>IFERROR(SUM(I93:I102)/I103,"")</f>
        <v/>
      </c>
      <c r="J105" s="177">
        <f>IFERROR(SUM(J93:J102)/J103,"")</f>
        <v/>
      </c>
      <c r="K105" s="177">
        <f>IFERROR(SUM(K93:K102)/K103,"")</f>
        <v/>
      </c>
      <c r="L105" s="177">
        <f>IFERROR(SUM(L93:L102)/L103,"")</f>
        <v/>
      </c>
      <c r="M105" s="177">
        <f>IFERROR(SUM(M93:M102)/M103,"")</f>
        <v/>
      </c>
      <c r="N105" s="177">
        <f>IFERROR(SUM(N93:N102)/N103,"")</f>
        <v/>
      </c>
      <c r="O105" s="177">
        <f>IFERROR(SUM(O93:O102)/O103,"")</f>
        <v/>
      </c>
      <c r="P105" s="177">
        <f>IFERROR(SUM(P93:P102)/P103,"")</f>
        <v/>
      </c>
      <c r="Q105" s="177">
        <f>IFERROR(SUM(Q93:Q102)/Q103,"")</f>
        <v/>
      </c>
      <c r="R105" s="177">
        <f>IFERROR(SUM(R93:R102)/R103,"")</f>
        <v/>
      </c>
      <c r="S105" s="177">
        <f>IFERROR(SUM(S93:S102)/S103,"")</f>
        <v/>
      </c>
      <c r="T105" s="177">
        <f>IFERROR(SUM(T93:T102)/T103,"")</f>
        <v/>
      </c>
      <c r="U105" s="177">
        <f>IFERROR(SUM(U93:U102)/U103,"")</f>
        <v/>
      </c>
      <c r="V105" s="177">
        <f>IFERROR(SUM(V93:V102)/V103,"")</f>
        <v/>
      </c>
      <c r="W105" s="177">
        <f>IFERROR(SUM(W93:W102)/W103,"")</f>
        <v/>
      </c>
      <c r="X105" s="177">
        <f>IFERROR(SUM(X93:X102)/X103,"")</f>
        <v/>
      </c>
      <c r="Y105" s="177">
        <f>IFERROR(SUM(Y93:Y102)/Y103,"")</f>
        <v/>
      </c>
      <c r="Z105" s="177">
        <f>IFERROR(SUM(Z93:Z102)/Z103,"")</f>
        <v/>
      </c>
      <c r="AA105" s="177">
        <f>IFERROR(SUM(AA93:AA102)/AA103,"")</f>
        <v/>
      </c>
      <c r="AB105" s="177">
        <f>IFERROR(SUM(AB93:AB102)/AB103,"")</f>
        <v/>
      </c>
      <c r="AC105" s="177">
        <f>IFERROR(SUM(AC93:AC102)/AC103,"")</f>
        <v/>
      </c>
      <c r="AD105" s="177">
        <f>IFERROR(SUM(AD93:AD102)/AD103,"")</f>
        <v/>
      </c>
      <c r="AE105" s="177">
        <f>IFERROR(SUM(AE93:AE102)/AE103,"")</f>
        <v/>
      </c>
      <c r="AF105" s="177">
        <f>IFERROR(SUM(AF93:AF102)/AF103,"")</f>
        <v/>
      </c>
      <c r="AG105" s="177">
        <f>IFERROR(SUM(AG93:AG102)/AG103,"")</f>
        <v/>
      </c>
      <c r="AH105" s="177">
        <f>IFERROR(SUM(AH93:AH102)/AH103,"")</f>
        <v/>
      </c>
      <c r="AI105" s="177">
        <f>IFERROR(SUM(AI93:AI102)/AI103,"")</f>
        <v/>
      </c>
      <c r="AJ105" s="177">
        <f>IFERROR(SUM(AJ93:AJ102)/AJ103,"")</f>
        <v/>
      </c>
      <c r="AK105" s="177">
        <f>IFERROR(SUM(AK93:AK102)/AK103,"")</f>
        <v/>
      </c>
      <c r="AL105" s="177">
        <f>IFERROR(SUM(AL93:AL102)/AL103,"")</f>
        <v/>
      </c>
      <c r="AM105" s="177">
        <f>IFERROR(SUM(AM93:AM102)/AM103,"")</f>
        <v/>
      </c>
      <c r="AN105" s="177">
        <f>IFERROR(SUM(AN93:AN102)/AN103,"")</f>
        <v/>
      </c>
      <c r="AO105" s="177">
        <f>IFERROR(SUM(AO93:AO102)/AO103,"")</f>
        <v/>
      </c>
      <c r="AP105" s="177">
        <f>IFERROR(SUM(AP93:AP102)/AP103,"")</f>
        <v/>
      </c>
      <c r="AQ105" s="177">
        <f>IFERROR(SUM(AQ93:AQ102)/AQ103,"")</f>
        <v/>
      </c>
      <c r="AR105" s="177">
        <f>IFERROR(SUM(AR93:AR102)/AR103,"")</f>
        <v/>
      </c>
      <c r="AS105" s="177">
        <f>IFERROR(SUM(AS93:AS102)/AS103,"")</f>
        <v/>
      </c>
      <c r="AT105" s="177">
        <f>IFERROR(SUM(AT93:AT102)/AT103,"")</f>
        <v/>
      </c>
      <c r="AU105" s="177">
        <f>IFERROR(SUM(AU93:AU102)/AU103,"")</f>
        <v/>
      </c>
      <c r="AV105" s="177">
        <f>IFERROR(SUM(AV93:AV102)/AV103,"")</f>
        <v/>
      </c>
      <c r="AW105" s="177">
        <f>IFERROR(SUM(AW93:AW102)/AW103,"")</f>
        <v/>
      </c>
      <c r="AX105" s="177">
        <f>IFERROR(SUM(AX93:AX102)/AX103,"")</f>
        <v/>
      </c>
      <c r="AY105" s="177">
        <f>IFERROR(SUM(AY93:AY102)/AY103,"")</f>
        <v/>
      </c>
      <c r="AZ105" s="177">
        <f>IFERROR(SUM(AZ93:AZ102)/AZ103,"")</f>
        <v/>
      </c>
      <c r="BA105" s="177">
        <f>IFERROR(SUM(BA93:BA102)/BA103,"")</f>
        <v/>
      </c>
      <c r="BB105" s="177">
        <f>IFERROR(SUM(BB93:BB102)/BB103,"")</f>
        <v/>
      </c>
      <c r="BC105" s="177">
        <f>IFERROR(SUM(BC93:BC102)/BC103,"")</f>
        <v/>
      </c>
      <c r="BD105" s="177">
        <f>IFERROR(SUM(BD93:BD102)/BD103,"")</f>
        <v/>
      </c>
      <c r="BE105" s="177">
        <f>IFERROR(SUM(BE93:BE102)/BE103,"")</f>
        <v/>
      </c>
      <c r="BF105" s="177">
        <f>IFERROR(SUM(BF93:BF102)/BF103,"")</f>
        <v/>
      </c>
      <c r="BG105" s="177">
        <f>IFERROR(SUM(BG93:BG102)/BG103,"")</f>
        <v/>
      </c>
      <c r="BH105" s="177">
        <f>IFERROR(SUM(BH93:BH102)/BH103,"")</f>
        <v/>
      </c>
      <c r="BI105" s="177">
        <f>IFERROR(SUM(BI93:BI102)/BI103,"")</f>
        <v/>
      </c>
      <c r="BJ105" s="177">
        <f>IFERROR(SUM(BJ93:BJ102)/BJ103,"")</f>
        <v/>
      </c>
      <c r="BK105" s="177">
        <f>IFERROR(SUM(BK93:BK102)/BK103,"")</f>
        <v/>
      </c>
      <c r="BL105" s="177">
        <f>IFERROR(SUM(BL93:BL102)/BL103,"")</f>
        <v/>
      </c>
      <c r="BM105" s="177">
        <f>IFERROR(SUM(BM93:BM102)/BM103,"")</f>
        <v/>
      </c>
      <c r="BN105" s="177">
        <f>IFERROR(SUM(BN93:BN102)/BN103,"")</f>
        <v/>
      </c>
      <c r="BO105" s="177">
        <f>IFERROR(SUM(BO93:BO102)/BO103,"")</f>
        <v/>
      </c>
      <c r="BP105" s="177">
        <f>IFERROR(SUM(BP93:BP102)/BP103,"")</f>
        <v/>
      </c>
      <c r="BQ105" s="177">
        <f>IFERROR(SUM(BQ93:BQ102)/BQ103,"")</f>
        <v/>
      </c>
      <c r="BR105" s="177">
        <f>IFERROR(SUM(BR93:BR102)/BR103,"")</f>
        <v/>
      </c>
      <c r="BS105" s="177">
        <f>IFERROR(SUM(BS93:BS102)/BS103,"")</f>
        <v/>
      </c>
      <c r="BT105" s="177">
        <f>IFERROR(SUM(BT93:BT102)/BT103,"")</f>
        <v/>
      </c>
      <c r="BU105" s="177">
        <f>IFERROR(SUM(BU93:BU102)/BU103,"")</f>
        <v/>
      </c>
      <c r="BV105" s="177">
        <f>IFERROR(SUM(BV93:BV102)/BV103,"")</f>
        <v/>
      </c>
      <c r="BW105" s="177">
        <f>IFERROR(SUM(BW93:BW102)/BW103,"")</f>
        <v/>
      </c>
      <c r="BX105" s="177">
        <f>IFERROR(SUM(BX93:BX102)/BX103,"")</f>
        <v/>
      </c>
      <c r="BY105" s="177">
        <f>IFERROR(SUM(BY93:BY102)/BY103,"")</f>
        <v/>
      </c>
      <c r="BZ105" s="177">
        <f>IFERROR(SUM(BZ93:BZ102)/BZ103,"")</f>
        <v/>
      </c>
      <c r="CA105" s="71">
        <f>IFERROR(SUM(CA93:CA102)/CA103,"")</f>
        <v/>
      </c>
      <c r="CB105" s="71">
        <f>IFERROR(SUM(CB93:CB102)/CB103,"")</f>
        <v/>
      </c>
      <c r="CC105" s="71">
        <f>IFERROR(SUM(CC93:CC102)/CC103,"")</f>
        <v/>
      </c>
      <c r="CD105" s="71">
        <f>IFERROR(SUM(CD93:CD102)/CD103,"")</f>
        <v/>
      </c>
      <c r="CE105" s="177">
        <f>IFERROR(SUM(CE93:CE102)/CE103,"")</f>
        <v/>
      </c>
      <c r="CF105" s="177">
        <f>IFERROR(SUM(CF93:CF102)/CF103,"")</f>
        <v/>
      </c>
      <c r="CG105" s="177">
        <f>IFERROR(SUM(CG93:CG102)/CG103,"")</f>
        <v/>
      </c>
      <c r="CH105" s="177" t="n"/>
    </row>
    <row r="106" ht="12.75" customFormat="1" customHeight="1" s="73">
      <c r="A106" s="176" t="n"/>
      <c r="B106" s="177" t="n"/>
      <c r="C106" s="177" t="n"/>
      <c r="D106" s="177" t="n"/>
      <c r="E106" s="177" t="n"/>
      <c r="F106" s="177" t="n"/>
      <c r="G106" s="177" t="n"/>
      <c r="H106" s="177" t="n"/>
      <c r="I106" s="177" t="n"/>
      <c r="J106" s="177" t="n"/>
      <c r="K106" s="177" t="n"/>
      <c r="L106" s="177" t="n"/>
      <c r="M106" s="177" t="n"/>
      <c r="N106" s="177" t="n"/>
      <c r="O106" s="177" t="n"/>
      <c r="P106" s="177" t="n"/>
      <c r="Q106" s="177" t="n"/>
      <c r="R106" s="177" t="n"/>
      <c r="S106" s="177" t="n"/>
      <c r="T106" s="177" t="n"/>
      <c r="U106" s="177" t="n"/>
      <c r="V106" s="177" t="n"/>
      <c r="W106" s="177" t="n"/>
      <c r="X106" s="177" t="n"/>
      <c r="Y106" s="177" t="n"/>
      <c r="Z106" s="177" t="n"/>
      <c r="AA106" s="177" t="n"/>
      <c r="AB106" s="177" t="n"/>
      <c r="AC106" s="177" t="n"/>
      <c r="AD106" s="177" t="n"/>
      <c r="AE106" s="177" t="n"/>
      <c r="AF106" s="177" t="n"/>
      <c r="AG106" s="177" t="n"/>
      <c r="AH106" s="177" t="n"/>
      <c r="AI106" s="177" t="n"/>
      <c r="AJ106" s="177" t="n"/>
      <c r="AK106" s="177" t="n"/>
      <c r="AL106" s="177" t="n"/>
      <c r="AM106" s="177" t="n"/>
      <c r="AN106" s="177" t="n"/>
      <c r="AO106" s="177" t="n"/>
      <c r="AP106" s="177" t="n"/>
      <c r="AQ106" s="177" t="n"/>
      <c r="AR106" s="177" t="n"/>
      <c r="AS106" s="177" t="n"/>
      <c r="AT106" s="177" t="n"/>
      <c r="AU106" s="177" t="n"/>
      <c r="AV106" s="177" t="n"/>
      <c r="AW106" s="177" t="n"/>
      <c r="AX106" s="177" t="n"/>
      <c r="AY106" s="177" t="n"/>
      <c r="AZ106" s="177" t="n"/>
      <c r="BA106" s="177" t="n"/>
      <c r="BB106" s="177" t="n"/>
      <c r="BC106" s="177" t="n"/>
      <c r="BD106" s="177" t="n"/>
      <c r="BE106" s="177" t="n"/>
      <c r="BF106" s="177" t="n"/>
      <c r="BG106" s="177" t="n"/>
      <c r="BH106" s="177" t="n"/>
      <c r="BI106" s="177" t="n"/>
      <c r="BJ106" s="177" t="n"/>
      <c r="BK106" s="177" t="n"/>
      <c r="BL106" s="177" t="n"/>
      <c r="BM106" s="177" t="n"/>
      <c r="BN106" s="177" t="n"/>
      <c r="BO106" s="177" t="n"/>
      <c r="BP106" s="177" t="n"/>
      <c r="BQ106" s="177" t="n"/>
      <c r="BR106" s="177" t="n"/>
      <c r="BS106" s="177" t="n"/>
      <c r="BT106" s="177" t="n"/>
      <c r="BU106" s="177" t="n"/>
      <c r="BV106" s="177" t="n"/>
      <c r="BW106" s="177" t="n"/>
      <c r="BX106" s="177" t="n"/>
      <c r="BY106" s="177" t="n"/>
      <c r="BZ106" s="177" t="n"/>
      <c r="CA106" s="177" t="n"/>
      <c r="CB106" s="177" t="n"/>
      <c r="CC106" s="177" t="n"/>
      <c r="CD106" s="177" t="n"/>
      <c r="CE106" s="177" t="n"/>
      <c r="CF106" s="177" t="n"/>
      <c r="CG106" s="177" t="n"/>
      <c r="CH106" s="177" t="n"/>
    </row>
    <row r="107">
      <c r="A107" s="141" t="inlineStr">
        <is>
          <t>循環餘額(百萬)</t>
        </is>
      </c>
      <c r="B107" s="141">
        <f>B$1</f>
        <v/>
      </c>
      <c r="C107" s="141">
        <f>C$1</f>
        <v/>
      </c>
      <c r="D107" s="141">
        <f>D$1</f>
        <v/>
      </c>
      <c r="E107" s="141">
        <f>E$1</f>
        <v/>
      </c>
      <c r="F107" s="141">
        <f>F$1</f>
        <v/>
      </c>
      <c r="G107" s="141">
        <f>G$1</f>
        <v/>
      </c>
      <c r="H107" s="141">
        <f>H$1</f>
        <v/>
      </c>
      <c r="I107" s="141">
        <f>I$1</f>
        <v/>
      </c>
      <c r="J107" s="141">
        <f>J$1</f>
        <v/>
      </c>
      <c r="K107" s="141">
        <f>K$1</f>
        <v/>
      </c>
      <c r="L107" s="141">
        <f>L$1</f>
        <v/>
      </c>
      <c r="M107" s="141">
        <f>M$1</f>
        <v/>
      </c>
      <c r="N107" s="141">
        <f>N$1</f>
        <v/>
      </c>
      <c r="O107" s="141">
        <f>O$1</f>
        <v/>
      </c>
      <c r="P107" s="141">
        <f>P$1</f>
        <v/>
      </c>
      <c r="Q107" s="141">
        <f>Q$1</f>
        <v/>
      </c>
      <c r="R107" s="141">
        <f>R$1</f>
        <v/>
      </c>
      <c r="S107" s="141">
        <f>S$1</f>
        <v/>
      </c>
      <c r="T107" s="141">
        <f>T$1</f>
        <v/>
      </c>
      <c r="U107" s="141">
        <f>U$1</f>
        <v/>
      </c>
      <c r="V107" s="141">
        <f>V$1</f>
        <v/>
      </c>
      <c r="W107" s="141">
        <f>W$1</f>
        <v/>
      </c>
      <c r="X107" s="141">
        <f>X$1</f>
        <v/>
      </c>
      <c r="Y107" s="141">
        <f>Y$1</f>
        <v/>
      </c>
      <c r="Z107" s="141">
        <f>Z$1</f>
        <v/>
      </c>
      <c r="AA107" s="141">
        <f>AA$1</f>
        <v/>
      </c>
      <c r="AB107" s="141">
        <f>AB$1</f>
        <v/>
      </c>
      <c r="AC107" s="141">
        <f>AC$1</f>
        <v/>
      </c>
      <c r="AD107" s="141">
        <f>AD$1</f>
        <v/>
      </c>
      <c r="AE107" s="141">
        <f>AE$1</f>
        <v/>
      </c>
      <c r="AF107" s="141">
        <f>AF$1</f>
        <v/>
      </c>
      <c r="AG107" s="141">
        <f>AG$1</f>
        <v/>
      </c>
      <c r="AH107" s="141">
        <f>AH$1</f>
        <v/>
      </c>
      <c r="AI107" s="141">
        <f>AI$1</f>
        <v/>
      </c>
      <c r="AJ107" s="141">
        <f>AJ$1</f>
        <v/>
      </c>
      <c r="AK107" s="141">
        <f>AK$1</f>
        <v/>
      </c>
      <c r="AL107" s="141">
        <f>AL$1</f>
        <v/>
      </c>
      <c r="AM107" s="141">
        <f>AM$1</f>
        <v/>
      </c>
      <c r="AN107" s="141">
        <f>AN$1</f>
        <v/>
      </c>
      <c r="AO107" s="141">
        <f>AO$1</f>
        <v/>
      </c>
      <c r="AP107" s="141">
        <f>AP$1</f>
        <v/>
      </c>
      <c r="AQ107" s="141">
        <f>AQ$1</f>
        <v/>
      </c>
      <c r="AR107" s="141">
        <f>AR$1</f>
        <v/>
      </c>
      <c r="AS107" s="141">
        <f>AS$1</f>
        <v/>
      </c>
      <c r="AT107" s="141">
        <f>AT$1</f>
        <v/>
      </c>
      <c r="AU107" s="141">
        <f>AU$1</f>
        <v/>
      </c>
      <c r="AV107" s="141">
        <f>AV$1</f>
        <v/>
      </c>
      <c r="AW107" s="141">
        <f>AW$1</f>
        <v/>
      </c>
      <c r="AX107" s="141">
        <f>AX$1</f>
        <v/>
      </c>
      <c r="AY107" s="141">
        <f>AY$1</f>
        <v/>
      </c>
      <c r="AZ107" s="141">
        <f>AZ$1</f>
        <v/>
      </c>
      <c r="BA107" s="141">
        <f>BA$1</f>
        <v/>
      </c>
      <c r="BB107" s="141">
        <f>BB$1</f>
        <v/>
      </c>
      <c r="BC107" s="141">
        <f>BC$1</f>
        <v/>
      </c>
      <c r="BD107" s="141">
        <f>BD$1</f>
        <v/>
      </c>
      <c r="BE107" s="141">
        <f>BE$1</f>
        <v/>
      </c>
      <c r="BF107" s="141">
        <f>BF$1</f>
        <v/>
      </c>
      <c r="BG107" s="141">
        <f>BG$1</f>
        <v/>
      </c>
      <c r="BH107" s="141">
        <f>BH$1</f>
        <v/>
      </c>
      <c r="BI107" s="141">
        <f>BI$1</f>
        <v/>
      </c>
      <c r="BJ107" s="141">
        <f>BJ$1</f>
        <v/>
      </c>
      <c r="BK107" s="141">
        <f>BK$1</f>
        <v/>
      </c>
      <c r="BL107" s="141">
        <f>BL$1</f>
        <v/>
      </c>
      <c r="BM107" s="141">
        <f>BM$1</f>
        <v/>
      </c>
      <c r="BN107" s="141">
        <f>BN$1</f>
        <v/>
      </c>
      <c r="BO107" s="141">
        <f>BO$1</f>
        <v/>
      </c>
      <c r="BP107" s="141">
        <f>BP$1</f>
        <v/>
      </c>
      <c r="BQ107" s="141">
        <f>BQ$1</f>
        <v/>
      </c>
      <c r="BR107" s="141">
        <f>BR$1</f>
        <v/>
      </c>
      <c r="BS107" s="141">
        <f>BS$1</f>
        <v/>
      </c>
      <c r="BT107" s="141">
        <f>BT$1</f>
        <v/>
      </c>
      <c r="BU107" s="141">
        <f>BU$1</f>
        <v/>
      </c>
      <c r="BV107" s="141">
        <f>BV$1</f>
        <v/>
      </c>
      <c r="BW107" s="141">
        <f>BW$1</f>
        <v/>
      </c>
      <c r="BX107" s="141">
        <f>BX$1</f>
        <v/>
      </c>
      <c r="BY107" s="141">
        <f>BY$1</f>
        <v/>
      </c>
      <c r="BZ107" s="141">
        <f>BZ$1</f>
        <v/>
      </c>
      <c r="CA107" s="141">
        <f>CA$1</f>
        <v/>
      </c>
      <c r="CB107" s="141">
        <f>CB$1</f>
        <v/>
      </c>
      <c r="CC107" s="141">
        <f>CC$1</f>
        <v/>
      </c>
      <c r="CD107" s="141">
        <f>CD$1</f>
        <v/>
      </c>
      <c r="CE107" s="141">
        <f>CE$1</f>
        <v/>
      </c>
      <c r="CF107" s="141">
        <f>CF$1</f>
        <v/>
      </c>
      <c r="CG107" s="141">
        <f>CG$1</f>
        <v/>
      </c>
      <c r="CH107" s="30" t="n"/>
    </row>
    <row r="108">
      <c r="A108" s="174" t="inlineStr">
        <is>
          <t>中信</t>
        </is>
      </c>
      <c r="B108" s="172" t="n">
        <v>17851.628</v>
      </c>
      <c r="C108" s="172" t="n">
        <v>17401.582</v>
      </c>
      <c r="D108" s="172" t="n">
        <v>17407.958</v>
      </c>
      <c r="E108" s="172" t="n">
        <v>17108.154</v>
      </c>
      <c r="F108" s="172" t="n">
        <v>16777.183</v>
      </c>
      <c r="G108" s="172" t="n">
        <v>16084.354</v>
      </c>
      <c r="H108" s="172" t="n">
        <v>16020</v>
      </c>
      <c r="I108" s="172" t="n">
        <v>16095.489</v>
      </c>
      <c r="J108" s="172" t="n">
        <v>16261.245</v>
      </c>
      <c r="K108" s="172" t="n">
        <v>16413.279</v>
      </c>
      <c r="L108" s="172" t="n">
        <v>16155.679</v>
      </c>
      <c r="M108" s="172" t="n">
        <v>16341.46</v>
      </c>
      <c r="N108" s="172" t="n">
        <v>16327</v>
      </c>
      <c r="O108" s="172" t="n">
        <v>16223</v>
      </c>
      <c r="P108" s="172" t="n">
        <v>16056</v>
      </c>
      <c r="Q108" s="172" t="n">
        <v>15903</v>
      </c>
      <c r="R108" s="172" t="n">
        <v>15839</v>
      </c>
      <c r="S108" s="172" t="n">
        <v>16062</v>
      </c>
      <c r="T108" s="172" t="n">
        <v>15297.416</v>
      </c>
      <c r="U108" s="172" t="n">
        <v>15100.497</v>
      </c>
      <c r="V108" s="172" t="n">
        <v>15006.257</v>
      </c>
      <c r="W108" s="172" t="n">
        <v>15072</v>
      </c>
      <c r="X108" s="172" t="n">
        <v>15017</v>
      </c>
      <c r="Y108" s="172" t="n">
        <v>15170</v>
      </c>
      <c r="Z108" s="172" t="n">
        <v>15185</v>
      </c>
      <c r="AA108" s="173" t="n">
        <v>15048</v>
      </c>
      <c r="AB108" s="173" t="n">
        <v>15052</v>
      </c>
      <c r="AC108" s="172" t="n">
        <v>14841.286</v>
      </c>
      <c r="AD108" s="173" t="n">
        <v>14939</v>
      </c>
      <c r="AE108" s="173" t="n">
        <v>15109</v>
      </c>
      <c r="AF108" s="172" t="n">
        <v>15102.058</v>
      </c>
      <c r="AG108" s="173" t="n">
        <v>15292.659</v>
      </c>
      <c r="AH108" s="172" t="n">
        <v>15441.695</v>
      </c>
      <c r="AI108" s="172" t="n">
        <v>15536.943</v>
      </c>
      <c r="AJ108" s="172" t="n">
        <v>15631.459</v>
      </c>
      <c r="AK108" s="172" t="n">
        <v>15830.624</v>
      </c>
      <c r="AL108" s="172" t="n">
        <v>15887.082</v>
      </c>
      <c r="AM108" s="172" t="n">
        <v>15544.595</v>
      </c>
      <c r="AN108" s="172" t="n">
        <v>15763.291</v>
      </c>
      <c r="AO108" s="172" t="n">
        <v>15494.155</v>
      </c>
      <c r="AP108" s="172" t="n">
        <v>15642.679</v>
      </c>
      <c r="AQ108" s="172" t="n">
        <v>15618.57</v>
      </c>
      <c r="AR108" s="172" t="n">
        <v>15920.749</v>
      </c>
      <c r="AS108" s="172" t="n">
        <v>15991.838</v>
      </c>
      <c r="AT108" s="172" t="n">
        <v>15990.343</v>
      </c>
      <c r="AU108" s="172" t="n">
        <v>16353.092</v>
      </c>
      <c r="AV108" s="172" t="n">
        <v>16292.482</v>
      </c>
      <c r="AW108" s="172" t="n">
        <v>16514.969</v>
      </c>
      <c r="AX108" s="172" t="n">
        <v>16514.969</v>
      </c>
      <c r="AY108" s="172" t="n">
        <v>16396.791</v>
      </c>
      <c r="AZ108" s="172" t="n">
        <v>16250.142</v>
      </c>
      <c r="BA108" s="172" t="n">
        <v>16218.634</v>
      </c>
      <c r="BB108" s="173" t="n">
        <v>16238</v>
      </c>
      <c r="BC108" s="173" t="n">
        <v>16211</v>
      </c>
      <c r="BD108" s="173" t="n">
        <v>16518.419</v>
      </c>
      <c r="BE108" s="172" t="n">
        <v>16601.456</v>
      </c>
      <c r="BF108" s="173" t="n">
        <v>16689.913</v>
      </c>
      <c r="BG108" s="172" t="n">
        <v>17036.339</v>
      </c>
      <c r="BH108" s="172" t="n">
        <v>17007.853</v>
      </c>
      <c r="BI108" s="172" t="n">
        <v>17409.48</v>
      </c>
      <c r="BJ108" s="173" t="n">
        <v>17336</v>
      </c>
      <c r="BK108" s="173" t="n">
        <v>16935</v>
      </c>
      <c r="BL108" s="173" t="n">
        <v>17185</v>
      </c>
      <c r="BM108" s="172" t="n">
        <v>17064.533</v>
      </c>
      <c r="BN108" s="172" t="n">
        <v>17120.625</v>
      </c>
      <c r="BO108" s="172" t="n">
        <v>17114.879</v>
      </c>
      <c r="BP108" s="172" t="n">
        <v>17294.253</v>
      </c>
      <c r="BQ108" s="172" t="n">
        <v>17382.24</v>
      </c>
      <c r="BR108" s="172" t="n">
        <v>17442.113</v>
      </c>
      <c r="BS108" s="172" t="n">
        <v>17767.469</v>
      </c>
      <c r="BT108" s="172" t="n">
        <v>17601.608</v>
      </c>
      <c r="BU108" s="172" t="n">
        <v>17911.768</v>
      </c>
      <c r="BV108" s="172">
        <f t="array" ref="BV108">_xlfn.XLOOKUP(1,(creditcard[YYYYMM]=BV$4)*(creditcard[Bank]=$A108),creditcard[循環信用餘額])</f>
        <v/>
      </c>
      <c r="BW108" s="172">
        <f t="array" ref="BW108">_xlfn.XLOOKUP(1,(creditcard[YYYYMM]=BW$4)*(creditcard[Bank]=$A108),creditcard[循環信用餘額])</f>
        <v/>
      </c>
      <c r="BX108" s="172">
        <f t="array" ref="BX108">_xlfn.XLOOKUP(1,(creditcard[YYYYMM]=BX$4)*(creditcard[Bank]=$A108),creditcard[循環信用餘額])</f>
        <v/>
      </c>
      <c r="BY108" s="172">
        <f t="array" ref="BY108">_xlfn.XLOOKUP(1,(creditcard[YYYYMM]=BY$4)*(creditcard[Bank]=$A108),creditcard[循環信用餘額],"")</f>
        <v/>
      </c>
      <c r="BZ108" s="172">
        <f t="array" ref="BZ108">_xlfn.XLOOKUP(1,(creditcard[YYYYMM]=BZ$4)*(creditcard[Bank]=$A108),creditcard[循環信用餘額],"")</f>
        <v/>
      </c>
      <c r="CA108" s="172">
        <f t="array" ref="CA108">_xlfn.XLOOKUP(1,(creditcard[YYYYMM]=CA$4)*(creditcard[Bank]=$A108),creditcard[循環信用餘額],"")</f>
        <v/>
      </c>
      <c r="CB108" s="172">
        <f t="array" ref="CB108">_xlfn.XLOOKUP(1,(creditcard[YYYYMM]=CB$4)*(creditcard[Bank]=$A108),creditcard[循環信用餘額],"")</f>
        <v/>
      </c>
      <c r="CC108" s="172">
        <f t="array" ref="CC108">_xlfn.XLOOKUP(1,(creditcard[YYYYMM]=CC$4)*(creditcard[Bank]=$A108),creditcard[循環信用餘額],"")</f>
        <v/>
      </c>
      <c r="CD108" s="172">
        <f t="array" ref="CD108">_xlfn.XLOOKUP(1,(creditcard[YYYYMM]=CD$4)*(creditcard[Bank]=$A108),creditcard[循環信用餘額],"")</f>
        <v/>
      </c>
      <c r="CE108" s="172">
        <f t="array" ref="CE108">_xlfn.XLOOKUP(1,(creditcard[YYYYMM]=CE$4)*(creditcard[Bank]=$A108),creditcard[循環信用餘額],"")</f>
        <v/>
      </c>
      <c r="CF108" s="172">
        <f t="array" ref="CF108">_xlfn.XLOOKUP(1,(creditcard[YYYYMM]=CF$4)*(creditcard[Bank]=$A108),creditcard[循環信用餘額],"")</f>
        <v/>
      </c>
      <c r="CG108" s="172">
        <f t="array" ref="CG108">_xlfn.XLOOKUP(1,(creditcard[YYYYMM]=CG$4)*(creditcard[Bank]=$A108),creditcard[循環信用餘額],"")</f>
        <v/>
      </c>
      <c r="CH108" s="172" t="n"/>
    </row>
    <row r="109">
      <c r="A109" s="174" t="inlineStr">
        <is>
          <t>富邦</t>
        </is>
      </c>
      <c r="B109" s="172" t="n">
        <v>5524.361</v>
      </c>
      <c r="C109" s="172" t="n">
        <v>5471.431</v>
      </c>
      <c r="D109" s="172" t="n">
        <v>5304.567</v>
      </c>
      <c r="E109" s="172" t="n">
        <v>5290.767</v>
      </c>
      <c r="F109" s="172" t="n">
        <v>5220.127</v>
      </c>
      <c r="G109" s="172" t="n">
        <v>5126.269</v>
      </c>
      <c r="H109" s="172" t="n">
        <v>5127.043</v>
      </c>
      <c r="I109" s="172" t="n">
        <v>5286.352</v>
      </c>
      <c r="J109" s="172" t="n">
        <v>5351.509</v>
      </c>
      <c r="K109" s="172" t="n">
        <v>5470.918</v>
      </c>
      <c r="L109" s="172" t="n">
        <v>5566.744</v>
      </c>
      <c r="M109" s="172" t="n">
        <v>5587.439</v>
      </c>
      <c r="N109" s="172" t="n">
        <v>5746</v>
      </c>
      <c r="O109" s="172" t="n">
        <v>5649</v>
      </c>
      <c r="P109" s="172" t="n">
        <v>5497</v>
      </c>
      <c r="Q109" s="172" t="n">
        <v>5591</v>
      </c>
      <c r="R109" s="172" t="n">
        <v>5679</v>
      </c>
      <c r="S109" s="172" t="n">
        <v>5606</v>
      </c>
      <c r="T109" s="172" t="n">
        <v>5493.445</v>
      </c>
      <c r="U109" s="172" t="n">
        <v>5525.758</v>
      </c>
      <c r="V109" s="172" t="n">
        <v>5629.119</v>
      </c>
      <c r="W109" s="172" t="n">
        <v>5712</v>
      </c>
      <c r="X109" s="172" t="n">
        <v>5745</v>
      </c>
      <c r="Y109" s="172" t="n">
        <v>5818</v>
      </c>
      <c r="Z109" s="172" t="n">
        <v>5861</v>
      </c>
      <c r="AA109" s="173" t="n">
        <v>5760</v>
      </c>
      <c r="AB109" s="173" t="n">
        <v>5599</v>
      </c>
      <c r="AC109" s="172" t="n">
        <v>5706.362</v>
      </c>
      <c r="AD109" s="173" t="n">
        <v>5741</v>
      </c>
      <c r="AE109" s="173" t="n">
        <v>5869</v>
      </c>
      <c r="AF109" s="172" t="n">
        <v>6066.079</v>
      </c>
      <c r="AG109" s="173" t="n">
        <v>6091.724</v>
      </c>
      <c r="AH109" s="172" t="n">
        <v>6184.25</v>
      </c>
      <c r="AI109" s="172" t="n">
        <v>6303.836</v>
      </c>
      <c r="AJ109" s="172" t="n">
        <v>6402.426</v>
      </c>
      <c r="AK109" s="172" t="n">
        <v>6561.462</v>
      </c>
      <c r="AL109" s="172" t="n">
        <v>6655.183</v>
      </c>
      <c r="AM109" s="172" t="n">
        <v>6450.565</v>
      </c>
      <c r="AN109" s="172" t="n">
        <v>6400.321</v>
      </c>
      <c r="AO109" s="172" t="n">
        <v>6822.826</v>
      </c>
      <c r="AP109" s="172" t="n">
        <v>6841.493</v>
      </c>
      <c r="AQ109" s="172" t="n">
        <v>7010.94</v>
      </c>
      <c r="AR109" s="172" t="n">
        <v>7268.011</v>
      </c>
      <c r="AS109" s="172" t="n">
        <v>7366.759</v>
      </c>
      <c r="AT109" s="172" t="n">
        <v>7860.561</v>
      </c>
      <c r="AU109" s="172" t="n">
        <v>8208.304</v>
      </c>
      <c r="AV109" s="172" t="n">
        <v>8584.964</v>
      </c>
      <c r="AW109" s="172" t="n">
        <v>9134.105</v>
      </c>
      <c r="AX109" s="172" t="n">
        <v>11153.464</v>
      </c>
      <c r="AY109" s="172" t="n">
        <v>9310.986000000001</v>
      </c>
      <c r="AZ109" s="172" t="n">
        <v>9179.289000000001</v>
      </c>
      <c r="BA109" s="172" t="n">
        <v>9289.494000000001</v>
      </c>
      <c r="BB109" s="173" t="n">
        <v>9418</v>
      </c>
      <c r="BC109" s="173" t="n">
        <v>9854</v>
      </c>
      <c r="BD109" s="173" t="n">
        <v>9862.453</v>
      </c>
      <c r="BE109" s="172" t="n">
        <v>10047.287</v>
      </c>
      <c r="BF109" s="173" t="n">
        <v>10286.009</v>
      </c>
      <c r="BG109" s="172" t="n">
        <v>10345.518</v>
      </c>
      <c r="BH109" s="172" t="n">
        <v>10601.756</v>
      </c>
      <c r="BI109" s="172" t="n">
        <v>10804.962</v>
      </c>
      <c r="BJ109" s="173" t="n">
        <v>10712</v>
      </c>
      <c r="BK109" s="173" t="n">
        <v>10798</v>
      </c>
      <c r="BL109" s="173" t="n">
        <v>10573</v>
      </c>
      <c r="BM109" s="172" t="n">
        <v>10627.867</v>
      </c>
      <c r="BN109" s="172" t="n">
        <v>10739.659</v>
      </c>
      <c r="BO109" s="172" t="n">
        <v>10892.648</v>
      </c>
      <c r="BP109" s="172" t="n">
        <v>10918.708</v>
      </c>
      <c r="BQ109" s="172" t="n">
        <v>11136.559</v>
      </c>
      <c r="BR109" s="172" t="n">
        <v>11389.102</v>
      </c>
      <c r="BS109" s="172" t="n">
        <v>11229.397</v>
      </c>
      <c r="BT109" s="172" t="n">
        <v>11517.715</v>
      </c>
      <c r="BU109" s="172" t="n">
        <v>11468.186</v>
      </c>
      <c r="BV109" s="172">
        <f t="array" ref="BV109">_xlfn.XLOOKUP(1,(creditcard[YYYYMM]=BV$4)*(creditcard[Bank]=$A109),creditcard[循環信用餘額])</f>
        <v/>
      </c>
      <c r="BW109" s="172">
        <f t="array" ref="BW109">_xlfn.XLOOKUP(1,(creditcard[YYYYMM]=BW$4)*(creditcard[Bank]=$A109),creditcard[循環信用餘額])</f>
        <v/>
      </c>
      <c r="BX109" s="172">
        <f t="array" ref="BX109">_xlfn.XLOOKUP(1,(creditcard[YYYYMM]=BX$4)*(creditcard[Bank]=$A109),creditcard[循環信用餘額])</f>
        <v/>
      </c>
      <c r="BY109" s="172">
        <f t="array" ref="BY109">_xlfn.XLOOKUP(1,(creditcard[YYYYMM]=BY$4)*(creditcard[Bank]=$A109),creditcard[循環信用餘額],"")</f>
        <v/>
      </c>
      <c r="BZ109" s="172">
        <f t="array" ref="BZ109">_xlfn.XLOOKUP(1,(creditcard[YYYYMM]=BZ$4)*(creditcard[Bank]=$A109),creditcard[循環信用餘額],"")</f>
        <v/>
      </c>
      <c r="CA109" s="172">
        <f t="array" ref="CA109">_xlfn.XLOOKUP(1,(creditcard[YYYYMM]=CA$4)*(creditcard[Bank]=$A109),creditcard[循環信用餘額],"")</f>
        <v/>
      </c>
      <c r="CB109" s="172">
        <f t="array" ref="CB109">_xlfn.XLOOKUP(1,(creditcard[YYYYMM]=CB$4)*(creditcard[Bank]=$A109),creditcard[循環信用餘額],"")</f>
        <v/>
      </c>
      <c r="CC109" s="172">
        <f t="array" ref="CC109">_xlfn.XLOOKUP(1,(creditcard[YYYYMM]=CC$4)*(creditcard[Bank]=$A109),creditcard[循環信用餘額],"")</f>
        <v/>
      </c>
      <c r="CD109" s="172">
        <f t="array" ref="CD109">_xlfn.XLOOKUP(1,(creditcard[YYYYMM]=CD$4)*(creditcard[Bank]=$A109),creditcard[循環信用餘額],"")</f>
        <v/>
      </c>
      <c r="CE109" s="172">
        <f t="array" ref="CE109">_xlfn.XLOOKUP(1,(creditcard[YYYYMM]=CE$4)*(creditcard[Bank]=$A109),creditcard[循環信用餘額],"")</f>
        <v/>
      </c>
      <c r="CF109" s="172">
        <f t="array" ref="CF109">_xlfn.XLOOKUP(1,(creditcard[YYYYMM]=CF$4)*(creditcard[Bank]=$A109),creditcard[循環信用餘額],"")</f>
        <v/>
      </c>
      <c r="CG109" s="172">
        <f t="array" ref="CG109">_xlfn.XLOOKUP(1,(creditcard[YYYYMM]=CG$4)*(creditcard[Bank]=$A109),creditcard[循環信用餘額],"")</f>
        <v/>
      </c>
      <c r="CH109" s="172" t="n"/>
    </row>
    <row r="110">
      <c r="A110" s="174" t="inlineStr">
        <is>
          <t>國泰</t>
        </is>
      </c>
      <c r="B110" s="172" t="n">
        <v>18431.975</v>
      </c>
      <c r="C110" s="172" t="n">
        <v>18818.752</v>
      </c>
      <c r="D110" s="172" t="n">
        <v>18047.761</v>
      </c>
      <c r="E110" s="172" t="n">
        <v>18070.015</v>
      </c>
      <c r="F110" s="172" t="n">
        <v>17761.445</v>
      </c>
      <c r="G110" s="172" t="n">
        <v>16874.319</v>
      </c>
      <c r="H110" s="172" t="n">
        <v>17536.724</v>
      </c>
      <c r="I110" s="172" t="n">
        <v>17654.746</v>
      </c>
      <c r="J110" s="172" t="n">
        <v>17571.825</v>
      </c>
      <c r="K110" s="172" t="n">
        <v>17795.867</v>
      </c>
      <c r="L110" s="172" t="n">
        <v>18158.575</v>
      </c>
      <c r="M110" s="172" t="n">
        <v>18133.686</v>
      </c>
      <c r="N110" s="172" t="n">
        <v>18445</v>
      </c>
      <c r="O110" s="172" t="n">
        <v>17306</v>
      </c>
      <c r="P110" s="172" t="n">
        <v>17416</v>
      </c>
      <c r="Q110" s="172" t="n">
        <v>17755</v>
      </c>
      <c r="R110" s="172" t="n">
        <v>17862</v>
      </c>
      <c r="S110" s="172" t="n">
        <v>17358</v>
      </c>
      <c r="T110" s="172" t="n">
        <v>16987.349</v>
      </c>
      <c r="U110" s="172" t="n">
        <v>17031.969</v>
      </c>
      <c r="V110" s="172" t="n">
        <v>17471.236</v>
      </c>
      <c r="W110" s="172" t="n">
        <v>17690</v>
      </c>
      <c r="X110" s="172" t="n">
        <v>17784</v>
      </c>
      <c r="Y110" s="172" t="n">
        <v>17985</v>
      </c>
      <c r="Z110" s="172" t="n">
        <v>18304</v>
      </c>
      <c r="AA110" s="173" t="n">
        <v>17766</v>
      </c>
      <c r="AB110" s="173" t="n">
        <v>17107</v>
      </c>
      <c r="AC110" s="172" t="n">
        <v>17407.086</v>
      </c>
      <c r="AD110" s="173" t="n">
        <v>17302</v>
      </c>
      <c r="AE110" s="173" t="n">
        <v>17541</v>
      </c>
      <c r="AF110" s="172" t="n">
        <v>18135.815</v>
      </c>
      <c r="AG110" s="173" t="n">
        <v>18021.224</v>
      </c>
      <c r="AH110" s="172" t="n">
        <v>18145.725</v>
      </c>
      <c r="AI110" s="172" t="n">
        <v>18439.75</v>
      </c>
      <c r="AJ110" s="172" t="n">
        <v>18617.055</v>
      </c>
      <c r="AK110" s="172" t="n">
        <v>18929.343</v>
      </c>
      <c r="AL110" s="172" t="n">
        <v>17748.484</v>
      </c>
      <c r="AM110" s="172" t="n">
        <v>18356.5</v>
      </c>
      <c r="AN110" s="172" t="n">
        <v>18419.236</v>
      </c>
      <c r="AO110" s="172" t="n">
        <v>19312.763</v>
      </c>
      <c r="AP110" s="172" t="n">
        <v>18823.598</v>
      </c>
      <c r="AQ110" s="172" t="n">
        <v>19399.437</v>
      </c>
      <c r="AR110" s="172" t="n">
        <v>19631.096</v>
      </c>
      <c r="AS110" s="172" t="n">
        <v>18994.422</v>
      </c>
      <c r="AT110" s="172" t="n">
        <v>19167.399</v>
      </c>
      <c r="AU110" s="172" t="n">
        <v>19070.715</v>
      </c>
      <c r="AV110" s="172" t="n">
        <v>18883.374</v>
      </c>
      <c r="AW110" s="172" t="n">
        <v>19232.22</v>
      </c>
      <c r="AX110" s="172" t="n">
        <v>19189.589</v>
      </c>
      <c r="AY110" s="172" t="n">
        <v>17347.2</v>
      </c>
      <c r="AZ110" s="172" t="n">
        <v>18592.095</v>
      </c>
      <c r="BA110" s="172" t="n">
        <v>18736</v>
      </c>
      <c r="BB110" s="173" t="n">
        <v>18816</v>
      </c>
      <c r="BC110" s="173" t="n">
        <v>19999</v>
      </c>
      <c r="BD110" s="173" t="n">
        <v>19747.702</v>
      </c>
      <c r="BE110" s="172" t="n">
        <v>19520.173</v>
      </c>
      <c r="BF110" s="173" t="n">
        <v>19444.906</v>
      </c>
      <c r="BG110" s="172" t="n">
        <v>20324.019</v>
      </c>
      <c r="BH110" s="172" t="n">
        <v>20669.232</v>
      </c>
      <c r="BI110" s="172" t="n">
        <v>20736.892</v>
      </c>
      <c r="BJ110" s="173" t="n">
        <v>20217</v>
      </c>
      <c r="BK110" s="173" t="n">
        <v>21244</v>
      </c>
      <c r="BL110" s="173" t="n">
        <v>20424</v>
      </c>
      <c r="BM110" s="172" t="n">
        <v>20546.306</v>
      </c>
      <c r="BN110" s="172" t="n">
        <v>20808.011</v>
      </c>
      <c r="BO110" s="172" t="n">
        <v>21354.513</v>
      </c>
      <c r="BP110" s="172" t="n">
        <v>21498.691</v>
      </c>
      <c r="BQ110" s="172" t="n">
        <v>21731.907</v>
      </c>
      <c r="BR110" s="172" t="n">
        <v>21005.803</v>
      </c>
      <c r="BS110" s="172" t="n">
        <v>22203.076</v>
      </c>
      <c r="BT110" s="172" t="n">
        <v>22402.903</v>
      </c>
      <c r="BU110" s="172" t="n">
        <v>22171.305</v>
      </c>
      <c r="BV110" s="172">
        <f t="array" ref="BV110">_xlfn.XLOOKUP(1,(creditcard[YYYYMM]=BV$4)*(creditcard[Bank]=$A110),creditcard[循環信用餘額])</f>
        <v/>
      </c>
      <c r="BW110" s="172">
        <f t="array" ref="BW110">_xlfn.XLOOKUP(1,(creditcard[YYYYMM]=BW$4)*(creditcard[Bank]=$A110),creditcard[循環信用餘額])</f>
        <v/>
      </c>
      <c r="BX110" s="172">
        <f t="array" ref="BX110">_xlfn.XLOOKUP(1,(creditcard[YYYYMM]=BX$4)*(creditcard[Bank]=$A110),creditcard[循環信用餘額])</f>
        <v/>
      </c>
      <c r="BY110" s="172">
        <f t="array" ref="BY110">_xlfn.XLOOKUP(1,(creditcard[YYYYMM]=BY$4)*(creditcard[Bank]=$A110),creditcard[循環信用餘額],"")</f>
        <v/>
      </c>
      <c r="BZ110" s="172">
        <f t="array" ref="BZ110">_xlfn.XLOOKUP(1,(creditcard[YYYYMM]=BZ$4)*(creditcard[Bank]=$A110),creditcard[循環信用餘額],"")</f>
        <v/>
      </c>
      <c r="CA110" s="172">
        <f t="array" ref="CA110">_xlfn.XLOOKUP(1,(creditcard[YYYYMM]=CA$4)*(creditcard[Bank]=$A110),creditcard[循環信用餘額],"")</f>
        <v/>
      </c>
      <c r="CB110" s="172">
        <f t="array" ref="CB110">_xlfn.XLOOKUP(1,(creditcard[YYYYMM]=CB$4)*(creditcard[Bank]=$A110),creditcard[循環信用餘額],"")</f>
        <v/>
      </c>
      <c r="CC110" s="172">
        <f t="array" ref="CC110">_xlfn.XLOOKUP(1,(creditcard[YYYYMM]=CC$4)*(creditcard[Bank]=$A110),creditcard[循環信用餘額],"")</f>
        <v/>
      </c>
      <c r="CD110" s="172">
        <f t="array" ref="CD110">_xlfn.XLOOKUP(1,(creditcard[YYYYMM]=CD$4)*(creditcard[Bank]=$A110),creditcard[循環信用餘額],"")</f>
        <v/>
      </c>
      <c r="CE110" s="172">
        <f t="array" ref="CE110">_xlfn.XLOOKUP(1,(creditcard[YYYYMM]=CE$4)*(creditcard[Bank]=$A110),creditcard[循環信用餘額],"")</f>
        <v/>
      </c>
      <c r="CF110" s="172">
        <f t="array" ref="CF110">_xlfn.XLOOKUP(1,(creditcard[YYYYMM]=CF$4)*(creditcard[Bank]=$A110),creditcard[循環信用餘額],"")</f>
        <v/>
      </c>
      <c r="CG110" s="172">
        <f t="array" ref="CG110">_xlfn.XLOOKUP(1,(creditcard[YYYYMM]=CG$4)*(creditcard[Bank]=$A110),creditcard[循環信用餘額],"")</f>
        <v/>
      </c>
      <c r="CH110" s="172" t="n"/>
    </row>
    <row r="111">
      <c r="A111" s="174" t="inlineStr">
        <is>
          <t>玉山</t>
        </is>
      </c>
      <c r="B111" s="172" t="n">
        <v>13551.31</v>
      </c>
      <c r="C111" s="172" t="n">
        <v>13066.3</v>
      </c>
      <c r="D111" s="172" t="n">
        <v>13230.454</v>
      </c>
      <c r="E111" s="172" t="n">
        <v>13004.687</v>
      </c>
      <c r="F111" s="172" t="n">
        <v>12741.159</v>
      </c>
      <c r="G111" s="172" t="n">
        <v>12232.317</v>
      </c>
      <c r="H111" s="172" t="n">
        <v>12115.311</v>
      </c>
      <c r="I111" s="172" t="n">
        <v>12382.571</v>
      </c>
      <c r="J111" s="172" t="n">
        <v>12479.6</v>
      </c>
      <c r="K111" s="172" t="n">
        <v>12612.368</v>
      </c>
      <c r="L111" s="172" t="n">
        <v>12645.88</v>
      </c>
      <c r="M111" s="172" t="n">
        <v>12818.988</v>
      </c>
      <c r="N111" s="172" t="n">
        <v>12893</v>
      </c>
      <c r="O111" s="172" t="n">
        <v>12626</v>
      </c>
      <c r="P111" s="172" t="n">
        <v>12398</v>
      </c>
      <c r="Q111" s="172" t="n">
        <v>12426</v>
      </c>
      <c r="R111" s="172" t="n">
        <v>12479</v>
      </c>
      <c r="S111" s="172" t="n">
        <v>12446</v>
      </c>
      <c r="T111" s="172" t="n">
        <v>12282.745</v>
      </c>
      <c r="U111" s="172" t="n">
        <v>12202.876</v>
      </c>
      <c r="V111" s="172" t="n">
        <v>12340.002</v>
      </c>
      <c r="W111" s="172" t="n">
        <v>12470</v>
      </c>
      <c r="X111" s="172" t="n">
        <v>12290</v>
      </c>
      <c r="Y111" s="172" t="n">
        <v>12349</v>
      </c>
      <c r="Z111" s="172" t="n">
        <v>12586</v>
      </c>
      <c r="AA111" s="173" t="n">
        <v>12178</v>
      </c>
      <c r="AB111" s="173" t="n">
        <v>12221</v>
      </c>
      <c r="AC111" s="172" t="n">
        <v>12199.172</v>
      </c>
      <c r="AD111" s="173" t="n">
        <v>12238</v>
      </c>
      <c r="AE111" s="173" t="n">
        <v>12386</v>
      </c>
      <c r="AF111" s="172" t="n">
        <v>12449.952</v>
      </c>
      <c r="AG111" s="173" t="n">
        <v>12649.617</v>
      </c>
      <c r="AH111" s="172" t="n">
        <v>12844.463</v>
      </c>
      <c r="AI111" s="172" t="n">
        <v>12843.988</v>
      </c>
      <c r="AJ111" s="172" t="n">
        <v>12850.785</v>
      </c>
      <c r="AK111" s="172" t="n">
        <v>13302.513</v>
      </c>
      <c r="AL111" s="172" t="n">
        <v>13086.183</v>
      </c>
      <c r="AM111" s="172" t="n">
        <v>12519.493</v>
      </c>
      <c r="AN111" s="172" t="n">
        <v>12696.928</v>
      </c>
      <c r="AO111" s="172" t="n">
        <v>12672.282</v>
      </c>
      <c r="AP111" s="172" t="n">
        <v>12586.339</v>
      </c>
      <c r="AQ111" s="172" t="n">
        <v>12748.001</v>
      </c>
      <c r="AR111" s="172" t="n">
        <v>12921.674</v>
      </c>
      <c r="AS111" s="172" t="n">
        <v>12885.422</v>
      </c>
      <c r="AT111" s="172" t="n">
        <v>13054.955</v>
      </c>
      <c r="AU111" s="172" t="n">
        <v>13020.537</v>
      </c>
      <c r="AV111" s="172" t="n">
        <v>13095.873</v>
      </c>
      <c r="AW111" s="172" t="n">
        <v>13267.691</v>
      </c>
      <c r="AX111" s="172" t="n">
        <v>13296.816</v>
      </c>
      <c r="AY111" s="172" t="n">
        <v>13145.624</v>
      </c>
      <c r="AZ111" s="172" t="n">
        <v>16317.448</v>
      </c>
      <c r="BA111" s="172" t="n">
        <v>18180.789</v>
      </c>
      <c r="BB111" s="173" t="n">
        <v>17038</v>
      </c>
      <c r="BC111" s="173" t="n">
        <v>17020</v>
      </c>
      <c r="BD111" s="173" t="n">
        <v>16438.127</v>
      </c>
      <c r="BE111" s="173" t="n">
        <v>17953.447</v>
      </c>
      <c r="BF111" s="173" t="n">
        <v>18132.415</v>
      </c>
      <c r="BG111" s="172" t="n">
        <v>17307.599</v>
      </c>
      <c r="BH111" s="172" t="n">
        <v>17157.481</v>
      </c>
      <c r="BI111" s="172" t="n">
        <v>18629.094</v>
      </c>
      <c r="BJ111" s="173" t="n">
        <v>15668</v>
      </c>
      <c r="BK111" s="173" t="n">
        <v>15691</v>
      </c>
      <c r="BL111" s="173" t="n">
        <v>17145</v>
      </c>
      <c r="BM111" s="172" t="n">
        <v>18081.515</v>
      </c>
      <c r="BN111" s="172" t="n">
        <v>16798.514</v>
      </c>
      <c r="BO111" s="172" t="n">
        <v>18064.518</v>
      </c>
      <c r="BP111" s="172" t="n">
        <v>16742.064</v>
      </c>
      <c r="BQ111" s="172" t="n">
        <v>16199.399</v>
      </c>
      <c r="BR111" s="172" t="n">
        <v>18455.493</v>
      </c>
      <c r="BS111" s="172" t="n">
        <v>17838.41</v>
      </c>
      <c r="BT111" s="172" t="n">
        <v>16967.594</v>
      </c>
      <c r="BU111" s="172" t="n">
        <v>17957.715</v>
      </c>
      <c r="BV111" s="172">
        <f t="array" ref="BV111">_xlfn.XLOOKUP(1,(creditcard[YYYYMM]=BV$4)*(creditcard[Bank]=$A111),creditcard[循環信用餘額])</f>
        <v/>
      </c>
      <c r="BW111" s="172">
        <f t="array" ref="BW111">_xlfn.XLOOKUP(1,(creditcard[YYYYMM]=BW$4)*(creditcard[Bank]=$A111),creditcard[循環信用餘額])</f>
        <v/>
      </c>
      <c r="BX111" s="172">
        <f t="array" ref="BX111">_xlfn.XLOOKUP(1,(creditcard[YYYYMM]=BX$4)*(creditcard[Bank]=$A111),creditcard[循環信用餘額])</f>
        <v/>
      </c>
      <c r="BY111" s="172">
        <f t="array" ref="BY111">_xlfn.XLOOKUP(1,(creditcard[YYYYMM]=BY$4)*(creditcard[Bank]=$A111),creditcard[循環信用餘額],"")</f>
        <v/>
      </c>
      <c r="BZ111" s="172">
        <f t="array" ref="BZ111">_xlfn.XLOOKUP(1,(creditcard[YYYYMM]=BZ$4)*(creditcard[Bank]=$A111),creditcard[循環信用餘額],"")</f>
        <v/>
      </c>
      <c r="CA111" s="172">
        <f t="array" ref="CA111">_xlfn.XLOOKUP(1,(creditcard[YYYYMM]=CA$4)*(creditcard[Bank]=$A111),creditcard[循環信用餘額],"")</f>
        <v/>
      </c>
      <c r="CB111" s="172">
        <f t="array" ref="CB111">_xlfn.XLOOKUP(1,(creditcard[YYYYMM]=CB$4)*(creditcard[Bank]=$A111),creditcard[循環信用餘額],"")</f>
        <v/>
      </c>
      <c r="CC111" s="172">
        <f t="array" ref="CC111">_xlfn.XLOOKUP(1,(creditcard[YYYYMM]=CC$4)*(creditcard[Bank]=$A111),creditcard[循環信用餘額],"")</f>
        <v/>
      </c>
      <c r="CD111" s="172">
        <f t="array" ref="CD111">_xlfn.XLOOKUP(1,(creditcard[YYYYMM]=CD$4)*(creditcard[Bank]=$A111),creditcard[循環信用餘額],"")</f>
        <v/>
      </c>
      <c r="CE111" s="172">
        <f t="array" ref="CE111">_xlfn.XLOOKUP(1,(creditcard[YYYYMM]=CE$4)*(creditcard[Bank]=$A111),creditcard[循環信用餘額],"")</f>
        <v/>
      </c>
      <c r="CF111" s="172">
        <f t="array" ref="CF111">_xlfn.XLOOKUP(1,(creditcard[YYYYMM]=CF$4)*(creditcard[Bank]=$A111),creditcard[循環信用餘額],"")</f>
        <v/>
      </c>
      <c r="CG111" s="172">
        <f t="array" ref="CG111">_xlfn.XLOOKUP(1,(creditcard[YYYYMM]=CG$4)*(creditcard[Bank]=$A111),creditcard[循環信用餘額],"")</f>
        <v/>
      </c>
      <c r="CH111" s="172" t="n"/>
    </row>
    <row r="112">
      <c r="A112" s="174" t="inlineStr">
        <is>
          <t>台新</t>
        </is>
      </c>
      <c r="B112" s="172" t="n">
        <v>11134.764</v>
      </c>
      <c r="C112" s="172" t="n">
        <v>10913.747</v>
      </c>
      <c r="D112" s="172" t="n">
        <v>10898.071</v>
      </c>
      <c r="E112" s="172" t="n">
        <v>10712.147</v>
      </c>
      <c r="F112" s="172" t="n">
        <v>10546.717</v>
      </c>
      <c r="G112" s="172" t="n">
        <v>10123.348</v>
      </c>
      <c r="H112" s="172" t="n">
        <v>10104.376</v>
      </c>
      <c r="I112" s="172" t="n">
        <v>10283.059</v>
      </c>
      <c r="J112" s="172" t="n">
        <v>10347.773</v>
      </c>
      <c r="K112" s="172" t="n">
        <v>10395.875</v>
      </c>
      <c r="L112" s="172" t="n">
        <v>10324.07</v>
      </c>
      <c r="M112" s="172" t="n">
        <v>10452.764</v>
      </c>
      <c r="N112" s="172" t="n">
        <v>10497</v>
      </c>
      <c r="O112" s="172" t="n">
        <v>10464</v>
      </c>
      <c r="P112" s="172" t="n">
        <v>10209</v>
      </c>
      <c r="Q112" s="172" t="n">
        <v>10200</v>
      </c>
      <c r="R112" s="172" t="n">
        <v>10267</v>
      </c>
      <c r="S112" s="172" t="n">
        <v>10307</v>
      </c>
      <c r="T112" s="172" t="n">
        <v>9898.838</v>
      </c>
      <c r="U112" s="172" t="n">
        <v>9856.174999999999</v>
      </c>
      <c r="V112" s="172" t="n">
        <v>9937.859</v>
      </c>
      <c r="W112" s="172" t="n">
        <v>9997</v>
      </c>
      <c r="X112" s="172" t="n">
        <v>9945</v>
      </c>
      <c r="Y112" s="172" t="n">
        <v>10066</v>
      </c>
      <c r="Z112" s="172" t="n">
        <v>9981</v>
      </c>
      <c r="AA112" s="173" t="n">
        <v>9931</v>
      </c>
      <c r="AB112" s="173" t="n">
        <v>9756</v>
      </c>
      <c r="AC112" s="172" t="n">
        <v>9684.165000000001</v>
      </c>
      <c r="AD112" s="173" t="n">
        <v>9682</v>
      </c>
      <c r="AE112" s="173" t="n">
        <v>9744</v>
      </c>
      <c r="AF112" s="172" t="n">
        <v>9741.804</v>
      </c>
      <c r="AG112" s="173" t="n">
        <v>9814.684999999999</v>
      </c>
      <c r="AH112" s="172" t="n">
        <v>9939.653</v>
      </c>
      <c r="AI112" s="172" t="n">
        <v>9971.923000000001</v>
      </c>
      <c r="AJ112" s="172" t="n">
        <v>10027.273</v>
      </c>
      <c r="AK112" s="172" t="n">
        <v>10185.763</v>
      </c>
      <c r="AL112" s="172" t="n">
        <v>10410.462</v>
      </c>
      <c r="AM112" s="172" t="n">
        <v>10127.156</v>
      </c>
      <c r="AN112" s="172" t="n">
        <v>10014.805</v>
      </c>
      <c r="AO112" s="172" t="n">
        <v>9972.728999999999</v>
      </c>
      <c r="AP112" s="172" t="n">
        <v>9921.106</v>
      </c>
      <c r="AQ112" s="172" t="n">
        <v>10030.617</v>
      </c>
      <c r="AR112" s="172" t="n">
        <v>10174.868</v>
      </c>
      <c r="AS112" s="172" t="n">
        <v>10138.885</v>
      </c>
      <c r="AT112" s="172" t="n">
        <v>10230.614</v>
      </c>
      <c r="AU112" s="172" t="n">
        <v>10312.453</v>
      </c>
      <c r="AV112" s="172" t="n">
        <v>10343.177</v>
      </c>
      <c r="AW112" s="172" t="n">
        <v>10514.032</v>
      </c>
      <c r="AX112" s="172" t="n">
        <v>10524.667</v>
      </c>
      <c r="AY112" s="172" t="n">
        <v>10490.463</v>
      </c>
      <c r="AZ112" s="172" t="n">
        <v>10273.946</v>
      </c>
      <c r="BA112" s="172" t="n">
        <v>10208.851</v>
      </c>
      <c r="BB112" s="173" t="n">
        <v>10257</v>
      </c>
      <c r="BC112" s="173" t="n">
        <v>10316</v>
      </c>
      <c r="BD112" s="173" t="n">
        <v>10483.916</v>
      </c>
      <c r="BE112" s="172" t="n">
        <v>10440.658</v>
      </c>
      <c r="BF112" s="173" t="n">
        <v>10490.867</v>
      </c>
      <c r="BG112" s="172" t="n">
        <v>10612.445</v>
      </c>
      <c r="BH112" s="172" t="n">
        <v>10750.031</v>
      </c>
      <c r="BI112" s="172" t="n">
        <v>10951.497</v>
      </c>
      <c r="BJ112" s="173" t="n">
        <v>11099</v>
      </c>
      <c r="BK112" s="173" t="n">
        <v>10835</v>
      </c>
      <c r="BL112" s="173" t="n">
        <v>10824</v>
      </c>
      <c r="BM112" s="172" t="n">
        <v>10786.591</v>
      </c>
      <c r="BN112" s="172" t="n">
        <v>10862.427</v>
      </c>
      <c r="BO112" s="172" t="n">
        <v>10906.152</v>
      </c>
      <c r="BP112" s="172" t="n">
        <v>10977.018</v>
      </c>
      <c r="BQ112" s="172" t="n">
        <v>11058.63</v>
      </c>
      <c r="BR112" s="172" t="n">
        <v>11120.714</v>
      </c>
      <c r="BS112" s="172" t="n">
        <v>11208.334</v>
      </c>
      <c r="BT112" s="172" t="n">
        <v>11256.633</v>
      </c>
      <c r="BU112" s="172" t="n">
        <v>11314.621</v>
      </c>
      <c r="BV112" s="172">
        <f t="array" ref="BV112">_xlfn.XLOOKUP(1,(creditcard[YYYYMM]=BV$4)*(creditcard[Bank]=$A112),creditcard[循環信用餘額])</f>
        <v/>
      </c>
      <c r="BW112" s="172">
        <f t="array" ref="BW112">_xlfn.XLOOKUP(1,(creditcard[YYYYMM]=BW$4)*(creditcard[Bank]=$A112),creditcard[循環信用餘額])</f>
        <v/>
      </c>
      <c r="BX112" s="172">
        <f t="array" ref="BX112">_xlfn.XLOOKUP(1,(creditcard[YYYYMM]=BX$4)*(creditcard[Bank]=$A112),creditcard[循環信用餘額])</f>
        <v/>
      </c>
      <c r="BY112" s="172">
        <f t="array" ref="BY112">_xlfn.XLOOKUP(1,(creditcard[YYYYMM]=BY$4)*(creditcard[Bank]=$A112),creditcard[循環信用餘額],"")</f>
        <v/>
      </c>
      <c r="BZ112" s="172">
        <f t="array" ref="BZ112">_xlfn.XLOOKUP(1,(creditcard[YYYYMM]=BZ$4)*(creditcard[Bank]=$A112),creditcard[循環信用餘額],"")</f>
        <v/>
      </c>
      <c r="CA112" s="172">
        <f t="array" ref="CA112">_xlfn.XLOOKUP(1,(creditcard[YYYYMM]=CA$4)*(creditcard[Bank]=$A112),creditcard[循環信用餘額],"")</f>
        <v/>
      </c>
      <c r="CB112" s="172">
        <f t="array" ref="CB112">_xlfn.XLOOKUP(1,(creditcard[YYYYMM]=CB$4)*(creditcard[Bank]=$A112),creditcard[循環信用餘額],"")</f>
        <v/>
      </c>
      <c r="CC112" s="172">
        <f t="array" ref="CC112">_xlfn.XLOOKUP(1,(creditcard[YYYYMM]=CC$4)*(creditcard[Bank]=$A112),creditcard[循環信用餘額],"")</f>
        <v/>
      </c>
      <c r="CD112" s="172">
        <f t="array" ref="CD112">_xlfn.XLOOKUP(1,(creditcard[YYYYMM]=CD$4)*(creditcard[Bank]=$A112),creditcard[循環信用餘額],"")</f>
        <v/>
      </c>
      <c r="CE112" s="172">
        <f t="array" ref="CE112">_xlfn.XLOOKUP(1,(creditcard[YYYYMM]=CE$4)*(creditcard[Bank]=$A112),creditcard[循環信用餘額],"")</f>
        <v/>
      </c>
      <c r="CF112" s="172">
        <f t="array" ref="CF112">_xlfn.XLOOKUP(1,(creditcard[YYYYMM]=CF$4)*(creditcard[Bank]=$A112),creditcard[循環信用餘額],"")</f>
        <v/>
      </c>
      <c r="CG112" s="172">
        <f t="array" ref="CG112">_xlfn.XLOOKUP(1,(creditcard[YYYYMM]=CG$4)*(creditcard[Bank]=$A112),creditcard[循環信用餘額],"")</f>
        <v/>
      </c>
      <c r="CH112" s="172" t="n"/>
    </row>
    <row r="113">
      <c r="A113" s="174" t="inlineStr">
        <is>
          <t>星展</t>
        </is>
      </c>
      <c r="B113" s="172" t="n">
        <v>1548</v>
      </c>
      <c r="C113" s="172" t="n">
        <v>1562</v>
      </c>
      <c r="D113" s="172" t="n">
        <v>1540</v>
      </c>
      <c r="E113" s="172" t="n">
        <v>1491</v>
      </c>
      <c r="F113" s="172" t="n">
        <v>1451</v>
      </c>
      <c r="G113" s="172" t="n">
        <v>1408</v>
      </c>
      <c r="H113" s="172" t="n">
        <v>1368</v>
      </c>
      <c r="I113" s="172" t="n">
        <v>1365</v>
      </c>
      <c r="J113" s="172" t="n">
        <v>1365</v>
      </c>
      <c r="K113" s="172" t="n">
        <v>1370</v>
      </c>
      <c r="L113" s="172" t="n">
        <v>1366</v>
      </c>
      <c r="M113" s="172" t="n">
        <v>1361</v>
      </c>
      <c r="N113" s="172" t="n">
        <v>1370</v>
      </c>
      <c r="O113" s="172" t="n">
        <v>1391</v>
      </c>
      <c r="P113" s="172" t="n">
        <v>1360</v>
      </c>
      <c r="Q113" s="172" t="n">
        <v>1358</v>
      </c>
      <c r="R113" s="172" t="n">
        <v>1345</v>
      </c>
      <c r="S113" s="172" t="n">
        <v>1356</v>
      </c>
      <c r="T113" s="172" t="n">
        <v>1315</v>
      </c>
      <c r="U113" s="172" t="n">
        <v>1297</v>
      </c>
      <c r="V113" s="172" t="n">
        <v>1295</v>
      </c>
      <c r="W113" s="172" t="n">
        <v>1300</v>
      </c>
      <c r="X113" s="172" t="n">
        <v>1285</v>
      </c>
      <c r="Y113" s="172" t="n">
        <v>1299</v>
      </c>
      <c r="Z113" s="172" t="n">
        <v>1278</v>
      </c>
      <c r="AA113" s="172" t="n">
        <v>1326</v>
      </c>
      <c r="AB113" s="172" t="n">
        <v>1276</v>
      </c>
      <c r="AC113" s="172" t="n">
        <v>1252</v>
      </c>
      <c r="AD113" s="172" t="n">
        <v>1245</v>
      </c>
      <c r="AE113" s="172" t="n">
        <v>1245</v>
      </c>
      <c r="AF113" s="172" t="n">
        <v>1235</v>
      </c>
      <c r="AG113" s="172" t="n">
        <v>1233</v>
      </c>
      <c r="AH113" s="172" t="n">
        <v>1256</v>
      </c>
      <c r="AI113" s="172" t="n">
        <v>1260</v>
      </c>
      <c r="AJ113" s="172" t="n">
        <v>1266</v>
      </c>
      <c r="AK113" s="172" t="n">
        <v>1289</v>
      </c>
      <c r="AL113" s="172" t="n">
        <v>1287</v>
      </c>
      <c r="AM113" s="172" t="n">
        <v>1329</v>
      </c>
      <c r="AN113" s="172" t="n">
        <v>1291</v>
      </c>
      <c r="AO113" s="172" t="n">
        <v>1295</v>
      </c>
      <c r="AP113" s="172" t="n">
        <v>1281</v>
      </c>
      <c r="AQ113" s="172" t="n">
        <v>1284</v>
      </c>
      <c r="AR113" s="172" t="n">
        <v>1272.891</v>
      </c>
      <c r="AS113" s="172" t="n">
        <v>9213.624</v>
      </c>
      <c r="AT113" s="172" t="n">
        <v>9114.566999999999</v>
      </c>
      <c r="AU113" s="172" t="n">
        <v>8766.32</v>
      </c>
      <c r="AV113" s="172" t="n">
        <v>8517.539000000001</v>
      </c>
      <c r="AW113" s="172" t="n">
        <v>8623.439</v>
      </c>
      <c r="AX113" s="172" t="n">
        <v>8505.093000000001</v>
      </c>
      <c r="AY113" s="172" t="n">
        <v>8504.503000000001</v>
      </c>
      <c r="AZ113" s="172" t="n">
        <v>8422.825999999999</v>
      </c>
      <c r="BA113" s="172" t="n">
        <v>8342.161</v>
      </c>
      <c r="BB113" s="173" t="n">
        <v>8295</v>
      </c>
      <c r="BC113" s="173" t="n">
        <v>8423</v>
      </c>
      <c r="BD113" s="173" t="n">
        <v>8398.307000000001</v>
      </c>
      <c r="BE113" s="172" t="n">
        <v>8395.610000000001</v>
      </c>
      <c r="BF113" s="173" t="n">
        <v>8436.893</v>
      </c>
      <c r="BG113" s="172" t="n">
        <v>8439.361000000001</v>
      </c>
      <c r="BH113" s="172" t="n">
        <v>8513.352999999999</v>
      </c>
      <c r="BI113" s="172" t="n">
        <v>8567.162</v>
      </c>
      <c r="BJ113" s="173" t="n">
        <v>8711</v>
      </c>
      <c r="BK113" s="173" t="n">
        <v>8646</v>
      </c>
      <c r="BL113" s="173" t="n">
        <v>8610</v>
      </c>
      <c r="BM113" s="172" t="n">
        <v>8532.419</v>
      </c>
      <c r="BN113" s="172" t="n">
        <v>8610.588</v>
      </c>
      <c r="BO113" s="172" t="n">
        <v>8606.969999999999</v>
      </c>
      <c r="BP113" s="172" t="n">
        <v>8605.492</v>
      </c>
      <c r="BQ113" s="172" t="n">
        <v>8725.605</v>
      </c>
      <c r="BR113" s="172" t="n">
        <v>8781.277</v>
      </c>
      <c r="BS113" s="172" t="n">
        <v>8828.768</v>
      </c>
      <c r="BT113" s="172" t="n">
        <v>8899.477000000001</v>
      </c>
      <c r="BU113" s="172" t="n">
        <v>8914.937</v>
      </c>
      <c r="BV113" s="172">
        <f t="array" ref="BV113">_xlfn.XLOOKUP(1,(creditcard[YYYYMM]=BV$4)*(creditcard[Bank]=$A113),creditcard[循環信用餘額])</f>
        <v/>
      </c>
      <c r="BW113" s="172">
        <f t="array" ref="BW113">_xlfn.XLOOKUP(1,(creditcard[YYYYMM]=BW$4)*(creditcard[Bank]=$A113),creditcard[循環信用餘額])</f>
        <v/>
      </c>
      <c r="BX113" s="172">
        <f t="array" ref="BX113">_xlfn.XLOOKUP(1,(creditcard[YYYYMM]=BX$4)*(creditcard[Bank]=$A113),creditcard[循環信用餘額])</f>
        <v/>
      </c>
      <c r="BY113" s="172">
        <f t="array" ref="BY113">_xlfn.XLOOKUP(1,(creditcard[YYYYMM]=BY$4)*(creditcard[Bank]=$A113),creditcard[循環信用餘額],"")</f>
        <v/>
      </c>
      <c r="BZ113" s="172">
        <f t="array" ref="BZ113">_xlfn.XLOOKUP(1,(creditcard[YYYYMM]=BZ$4)*(creditcard[Bank]=$A113),creditcard[循環信用餘額],"")</f>
        <v/>
      </c>
      <c r="CA113" s="172">
        <f t="array" ref="CA113">_xlfn.XLOOKUP(1,(creditcard[YYYYMM]=CA$4)*(creditcard[Bank]=$A113),creditcard[循環信用餘額],"")</f>
        <v/>
      </c>
      <c r="CB113" s="172">
        <f t="array" ref="CB113">_xlfn.XLOOKUP(1,(creditcard[YYYYMM]=CB$4)*(creditcard[Bank]=$A113),creditcard[循環信用餘額],"")</f>
        <v/>
      </c>
      <c r="CC113" s="172">
        <f t="array" ref="CC113">_xlfn.XLOOKUP(1,(creditcard[YYYYMM]=CC$4)*(creditcard[Bank]=$A113),creditcard[循環信用餘額],"")</f>
        <v/>
      </c>
      <c r="CD113" s="172">
        <f t="array" ref="CD113">_xlfn.XLOOKUP(1,(creditcard[YYYYMM]=CD$4)*(creditcard[Bank]=$A113),creditcard[循環信用餘額],"")</f>
        <v/>
      </c>
      <c r="CE113" s="172">
        <f t="array" ref="CE113">_xlfn.XLOOKUP(1,(creditcard[YYYYMM]=CE$4)*(creditcard[Bank]=$A113),creditcard[循環信用餘額],"")</f>
        <v/>
      </c>
      <c r="CF113" s="172">
        <f t="array" ref="CF113">_xlfn.XLOOKUP(1,(creditcard[YYYYMM]=CF$4)*(creditcard[Bank]=$A113),creditcard[循環信用餘額],"")</f>
        <v/>
      </c>
      <c r="CG113" s="172">
        <f t="array" ref="CG113">_xlfn.XLOOKUP(1,(creditcard[YYYYMM]=CG$4)*(creditcard[Bank]=$A113),creditcard[循環信用餘額],"")</f>
        <v/>
      </c>
      <c r="CH113" s="172" t="n"/>
    </row>
    <row r="114">
      <c r="A114" s="174" t="inlineStr">
        <is>
          <t>聯邦</t>
        </is>
      </c>
      <c r="B114" s="172" t="n">
        <v>6032.235</v>
      </c>
      <c r="C114" s="172" t="n">
        <v>5948.506</v>
      </c>
      <c r="D114" s="172" t="n">
        <v>5870.05</v>
      </c>
      <c r="E114" s="172" t="n">
        <v>5792.198</v>
      </c>
      <c r="F114" s="172" t="n">
        <v>5610.626</v>
      </c>
      <c r="G114" s="172" t="n">
        <v>5494.402</v>
      </c>
      <c r="H114" s="172" t="n">
        <v>5688.848</v>
      </c>
      <c r="I114" s="172" t="n">
        <v>5646.281</v>
      </c>
      <c r="J114" s="172" t="n">
        <v>5662.484</v>
      </c>
      <c r="K114" s="172" t="n">
        <v>5658.367</v>
      </c>
      <c r="L114" s="172" t="n">
        <v>5675.84</v>
      </c>
      <c r="M114" s="172" t="n">
        <v>5738.451</v>
      </c>
      <c r="N114" s="172" t="n">
        <v>5725</v>
      </c>
      <c r="O114" s="172" t="n">
        <v>5610</v>
      </c>
      <c r="P114" s="172" t="n">
        <v>5550</v>
      </c>
      <c r="Q114" s="172" t="n">
        <v>5508</v>
      </c>
      <c r="R114" s="172" t="n">
        <v>5542</v>
      </c>
      <c r="S114" s="172" t="n">
        <v>5326</v>
      </c>
      <c r="T114" s="172" t="n">
        <v>5160.203</v>
      </c>
      <c r="U114" s="172" t="n">
        <v>5178.588</v>
      </c>
      <c r="V114" s="172" t="n">
        <v>5227.724</v>
      </c>
      <c r="W114" s="172" t="n">
        <v>5186</v>
      </c>
      <c r="X114" s="172" t="n">
        <v>5258</v>
      </c>
      <c r="Y114" s="172" t="n">
        <v>5349</v>
      </c>
      <c r="Z114" s="172" t="n">
        <v>5257</v>
      </c>
      <c r="AA114" s="173" t="n">
        <v>5225</v>
      </c>
      <c r="AB114" s="173" t="n">
        <v>5299</v>
      </c>
      <c r="AC114" s="172" t="n">
        <v>5213.914</v>
      </c>
      <c r="AD114" s="173" t="n">
        <v>5282</v>
      </c>
      <c r="AE114" s="173" t="n">
        <v>5309</v>
      </c>
      <c r="AF114" s="172" t="n">
        <v>5305.483</v>
      </c>
      <c r="AG114" s="173" t="n">
        <v>5421.264</v>
      </c>
      <c r="AH114" s="172" t="n">
        <v>5441.001</v>
      </c>
      <c r="AI114" s="172" t="n">
        <v>5466.912</v>
      </c>
      <c r="AJ114" s="172" t="n">
        <v>5553.513</v>
      </c>
      <c r="AK114" s="172" t="n">
        <v>5649.247</v>
      </c>
      <c r="AL114" s="172" t="n">
        <v>5505.391</v>
      </c>
      <c r="AM114" s="172" t="n">
        <v>5494.849</v>
      </c>
      <c r="AN114" s="172" t="n">
        <v>5578.559</v>
      </c>
      <c r="AO114" s="172" t="n">
        <v>5539.38</v>
      </c>
      <c r="AP114" s="172" t="n">
        <v>5681.802</v>
      </c>
      <c r="AQ114" s="172" t="n">
        <v>5788.711</v>
      </c>
      <c r="AR114" s="172" t="n">
        <v>5848.055</v>
      </c>
      <c r="AS114" s="172" t="n">
        <v>5937.228</v>
      </c>
      <c r="AT114" s="172" t="n">
        <v>5931.042</v>
      </c>
      <c r="AU114" s="172" t="n">
        <v>6124.832</v>
      </c>
      <c r="AV114" s="172" t="n">
        <v>6213.702</v>
      </c>
      <c r="AW114" s="172" t="n">
        <v>6172.079</v>
      </c>
      <c r="AX114" s="172" t="n">
        <v>6172.079</v>
      </c>
      <c r="AY114" s="172" t="n">
        <v>6116.619</v>
      </c>
      <c r="AZ114" s="172" t="n">
        <v>6164.551</v>
      </c>
      <c r="BA114" s="172" t="n">
        <v>6339.974</v>
      </c>
      <c r="BB114" s="173" t="n">
        <v>6414</v>
      </c>
      <c r="BC114" s="173" t="n">
        <v>6438</v>
      </c>
      <c r="BD114" s="173" t="n">
        <v>6768.768</v>
      </c>
      <c r="BE114" s="172" t="n">
        <v>6717.7</v>
      </c>
      <c r="BF114" s="173" t="n">
        <v>6715.448</v>
      </c>
      <c r="BG114" s="172" t="n">
        <v>6807.963</v>
      </c>
      <c r="BH114" s="172" t="n">
        <v>6744.711</v>
      </c>
      <c r="BI114" s="172" t="n">
        <v>6402.796</v>
      </c>
      <c r="BJ114" s="173" t="n">
        <v>6282</v>
      </c>
      <c r="BK114" s="173" t="n">
        <v>6275</v>
      </c>
      <c r="BL114" s="173" t="n">
        <v>6277</v>
      </c>
      <c r="BM114" s="172" t="n">
        <v>6324.953</v>
      </c>
      <c r="BN114" s="172" t="n">
        <v>6310.787</v>
      </c>
      <c r="BO114" s="172" t="n">
        <v>6396.39</v>
      </c>
      <c r="BP114" s="172" t="n">
        <v>6462.121</v>
      </c>
      <c r="BQ114" s="172" t="n">
        <v>6473.412</v>
      </c>
      <c r="BR114" s="172" t="n">
        <v>6529.968</v>
      </c>
      <c r="BS114" s="172" t="n">
        <v>6565.629</v>
      </c>
      <c r="BT114" s="172" t="n">
        <v>6536.915</v>
      </c>
      <c r="BU114" s="172" t="n">
        <v>6592.497</v>
      </c>
      <c r="BV114" s="172">
        <f t="array" ref="BV114">_xlfn.XLOOKUP(1,(creditcard[YYYYMM]=BV$4)*(creditcard[Bank]=$A114),creditcard[循環信用餘額])</f>
        <v/>
      </c>
      <c r="BW114" s="172">
        <f t="array" ref="BW114">_xlfn.XLOOKUP(1,(creditcard[YYYYMM]=BW$4)*(creditcard[Bank]=$A114),creditcard[循環信用餘額])</f>
        <v/>
      </c>
      <c r="BX114" s="172">
        <f t="array" ref="BX114">_xlfn.XLOOKUP(1,(creditcard[YYYYMM]=BX$4)*(creditcard[Bank]=$A114),creditcard[循環信用餘額])</f>
        <v/>
      </c>
      <c r="BY114" s="172">
        <f t="array" ref="BY114">_xlfn.XLOOKUP(1,(creditcard[YYYYMM]=BY$4)*(creditcard[Bank]=$A114),creditcard[循環信用餘額],"")</f>
        <v/>
      </c>
      <c r="BZ114" s="172">
        <f t="array" ref="BZ114">_xlfn.XLOOKUP(1,(creditcard[YYYYMM]=BZ$4)*(creditcard[Bank]=$A114),creditcard[循環信用餘額],"")</f>
        <v/>
      </c>
      <c r="CA114" s="172">
        <f t="array" ref="CA114">_xlfn.XLOOKUP(1,(creditcard[YYYYMM]=CA$4)*(creditcard[Bank]=$A114),creditcard[循環信用餘額],"")</f>
        <v/>
      </c>
      <c r="CB114" s="172">
        <f t="array" ref="CB114">_xlfn.XLOOKUP(1,(creditcard[YYYYMM]=CB$4)*(creditcard[Bank]=$A114),creditcard[循環信用餘額],"")</f>
        <v/>
      </c>
      <c r="CC114" s="172">
        <f t="array" ref="CC114">_xlfn.XLOOKUP(1,(creditcard[YYYYMM]=CC$4)*(creditcard[Bank]=$A114),creditcard[循環信用餘額],"")</f>
        <v/>
      </c>
      <c r="CD114" s="172">
        <f t="array" ref="CD114">_xlfn.XLOOKUP(1,(creditcard[YYYYMM]=CD$4)*(creditcard[Bank]=$A114),creditcard[循環信用餘額],"")</f>
        <v/>
      </c>
      <c r="CE114" s="172">
        <f t="array" ref="CE114">_xlfn.XLOOKUP(1,(creditcard[YYYYMM]=CE$4)*(creditcard[Bank]=$A114),creditcard[循環信用餘額],"")</f>
        <v/>
      </c>
      <c r="CF114" s="172">
        <f t="array" ref="CF114">_xlfn.XLOOKUP(1,(creditcard[YYYYMM]=CF$4)*(creditcard[Bank]=$A114),creditcard[循環信用餘額],"")</f>
        <v/>
      </c>
      <c r="CG114" s="172">
        <f t="array" ref="CG114">_xlfn.XLOOKUP(1,(creditcard[YYYYMM]=CG$4)*(creditcard[Bank]=$A114),creditcard[循環信用餘額],"")</f>
        <v/>
      </c>
      <c r="CH114" s="172" t="n"/>
    </row>
    <row r="115">
      <c r="A115" s="174" t="inlineStr">
        <is>
          <t>永豐</t>
        </is>
      </c>
      <c r="B115" s="172" t="n">
        <v>4456.497</v>
      </c>
      <c r="C115" s="172" t="n">
        <v>4404.887</v>
      </c>
      <c r="D115" s="172" t="n">
        <v>4359.052</v>
      </c>
      <c r="E115" s="172" t="n">
        <v>4316.575</v>
      </c>
      <c r="F115" s="172" t="n">
        <v>4260.632</v>
      </c>
      <c r="G115" s="172" t="n">
        <v>4115.396</v>
      </c>
      <c r="H115" s="172" t="n">
        <v>4072.083</v>
      </c>
      <c r="I115" s="172" t="n">
        <v>4078.17</v>
      </c>
      <c r="J115" s="172" t="n">
        <v>4085.434</v>
      </c>
      <c r="K115" s="172" t="n">
        <v>4116.652</v>
      </c>
      <c r="L115" s="172" t="n">
        <v>4068.256</v>
      </c>
      <c r="M115" s="172" t="n">
        <v>4083.287</v>
      </c>
      <c r="N115" s="172" t="n">
        <v>4120</v>
      </c>
      <c r="O115" s="172" t="n">
        <v>4108</v>
      </c>
      <c r="P115" s="172" t="n">
        <v>4077</v>
      </c>
      <c r="Q115" s="172" t="n">
        <v>4026</v>
      </c>
      <c r="R115" s="172" t="n">
        <v>4052</v>
      </c>
      <c r="S115" s="172" t="n">
        <v>4060</v>
      </c>
      <c r="T115" s="172" t="n">
        <v>3997.599</v>
      </c>
      <c r="U115" s="172" t="n">
        <v>3951.235</v>
      </c>
      <c r="V115" s="172" t="n">
        <v>3951.032</v>
      </c>
      <c r="W115" s="172" t="n">
        <v>4001</v>
      </c>
      <c r="X115" s="172" t="n">
        <v>3994</v>
      </c>
      <c r="Y115" s="172" t="n">
        <v>4003</v>
      </c>
      <c r="Z115" s="172" t="n">
        <v>3996</v>
      </c>
      <c r="AA115" s="173" t="n">
        <v>3955</v>
      </c>
      <c r="AB115" s="173" t="n">
        <v>3911</v>
      </c>
      <c r="AC115" s="172" t="n">
        <v>3871.653</v>
      </c>
      <c r="AD115" s="173" t="n">
        <v>3863</v>
      </c>
      <c r="AE115" s="173" t="n">
        <v>3853</v>
      </c>
      <c r="AF115" s="172" t="n">
        <v>3866.861</v>
      </c>
      <c r="AG115" s="173" t="n">
        <v>3872.216</v>
      </c>
      <c r="AH115" s="172" t="n">
        <v>3896.642</v>
      </c>
      <c r="AI115" s="172" t="n">
        <v>3904.775</v>
      </c>
      <c r="AJ115" s="172" t="n">
        <v>3886.552</v>
      </c>
      <c r="AK115" s="172" t="n">
        <v>3914.663</v>
      </c>
      <c r="AL115" s="172" t="n">
        <v>3898.605</v>
      </c>
      <c r="AM115" s="172" t="n">
        <v>3875.979</v>
      </c>
      <c r="AN115" s="172" t="n">
        <v>3847.72</v>
      </c>
      <c r="AO115" s="172" t="n">
        <v>3778.206</v>
      </c>
      <c r="AP115" s="172" t="n">
        <v>3767.616</v>
      </c>
      <c r="AQ115" s="172" t="n">
        <v>3741.784</v>
      </c>
      <c r="AR115" s="172" t="n">
        <v>3775.389</v>
      </c>
      <c r="AS115" s="172" t="n">
        <v>3762.674</v>
      </c>
      <c r="AT115" s="172" t="n">
        <v>3767.004</v>
      </c>
      <c r="AU115" s="172" t="n">
        <v>3795.814</v>
      </c>
      <c r="AV115" s="172" t="n">
        <v>3771.708</v>
      </c>
      <c r="AW115" s="172" t="n">
        <v>3794.251</v>
      </c>
      <c r="AX115" s="172" t="n">
        <v>3803.923</v>
      </c>
      <c r="AY115" s="172" t="n">
        <v>3781.39</v>
      </c>
      <c r="AZ115" s="172" t="n">
        <v>3707.522</v>
      </c>
      <c r="BA115" s="172" t="n">
        <v>3940.474</v>
      </c>
      <c r="BB115" s="173" t="n">
        <v>3711</v>
      </c>
      <c r="BC115" s="173" t="n">
        <v>3718</v>
      </c>
      <c r="BD115" s="173" t="n">
        <v>3769.708</v>
      </c>
      <c r="BE115" s="172" t="n">
        <v>3748.279</v>
      </c>
      <c r="BF115" s="173" t="n">
        <v>3835.479</v>
      </c>
      <c r="BG115" s="172" t="n">
        <v>3761.743</v>
      </c>
      <c r="BH115" s="172" t="n">
        <v>3900.165</v>
      </c>
      <c r="BI115" s="172" t="n">
        <v>3821.018</v>
      </c>
      <c r="BJ115" s="173" t="n">
        <v>3838</v>
      </c>
      <c r="BK115" s="173" t="n">
        <v>3856</v>
      </c>
      <c r="BL115" s="173" t="n">
        <v>3668</v>
      </c>
      <c r="BM115" s="172" t="n">
        <v>3769.699</v>
      </c>
      <c r="BN115" s="172" t="n">
        <v>3870.754</v>
      </c>
      <c r="BO115" s="172" t="n">
        <v>3868.65</v>
      </c>
      <c r="BP115" s="172" t="n">
        <v>3798.2</v>
      </c>
      <c r="BQ115" s="172" t="n">
        <v>3949.911</v>
      </c>
      <c r="BR115" s="172" t="n">
        <v>4045.805</v>
      </c>
      <c r="BS115" s="172" t="n">
        <v>3865.865</v>
      </c>
      <c r="BT115" s="172" t="n">
        <v>3856.324</v>
      </c>
      <c r="BU115" s="172" t="n">
        <v>3898.214</v>
      </c>
      <c r="BV115" s="172">
        <f t="array" ref="BV115">_xlfn.XLOOKUP(1,(creditcard[YYYYMM]=BV$4)*(creditcard[Bank]=$A115),creditcard[循環信用餘額])</f>
        <v/>
      </c>
      <c r="BW115" s="172">
        <f t="array" ref="BW115">_xlfn.XLOOKUP(1,(creditcard[YYYYMM]=BW$4)*(creditcard[Bank]=$A115),creditcard[循環信用餘額])</f>
        <v/>
      </c>
      <c r="BX115" s="172">
        <f t="array" ref="BX115">_xlfn.XLOOKUP(1,(creditcard[YYYYMM]=BX$4)*(creditcard[Bank]=$A115),creditcard[循環信用餘額])</f>
        <v/>
      </c>
      <c r="BY115" s="172">
        <f t="array" ref="BY115">_xlfn.XLOOKUP(1,(creditcard[YYYYMM]=BY$4)*(creditcard[Bank]=$A115),creditcard[循環信用餘額],"")</f>
        <v/>
      </c>
      <c r="BZ115" s="172">
        <f t="array" ref="BZ115">_xlfn.XLOOKUP(1,(creditcard[YYYYMM]=BZ$4)*(creditcard[Bank]=$A115),creditcard[循環信用餘額],"")</f>
        <v/>
      </c>
      <c r="CA115" s="172">
        <f t="array" ref="CA115">_xlfn.XLOOKUP(1,(creditcard[YYYYMM]=CA$4)*(creditcard[Bank]=$A115),creditcard[循環信用餘額],"")</f>
        <v/>
      </c>
      <c r="CB115" s="172">
        <f t="array" ref="CB115">_xlfn.XLOOKUP(1,(creditcard[YYYYMM]=CB$4)*(creditcard[Bank]=$A115),creditcard[循環信用餘額],"")</f>
        <v/>
      </c>
      <c r="CC115" s="172">
        <f t="array" ref="CC115">_xlfn.XLOOKUP(1,(creditcard[YYYYMM]=CC$4)*(creditcard[Bank]=$A115),creditcard[循環信用餘額],"")</f>
        <v/>
      </c>
      <c r="CD115" s="172">
        <f t="array" ref="CD115">_xlfn.XLOOKUP(1,(creditcard[YYYYMM]=CD$4)*(creditcard[Bank]=$A115),creditcard[循環信用餘額],"")</f>
        <v/>
      </c>
      <c r="CE115" s="172">
        <f t="array" ref="CE115">_xlfn.XLOOKUP(1,(creditcard[YYYYMM]=CE$4)*(creditcard[Bank]=$A115),creditcard[循環信用餘額],"")</f>
        <v/>
      </c>
      <c r="CF115" s="172">
        <f t="array" ref="CF115">_xlfn.XLOOKUP(1,(creditcard[YYYYMM]=CF$4)*(creditcard[Bank]=$A115),creditcard[循環信用餘額],"")</f>
        <v/>
      </c>
      <c r="CG115" s="172">
        <f t="array" ref="CG115">_xlfn.XLOOKUP(1,(creditcard[YYYYMM]=CG$4)*(creditcard[Bank]=$A115),creditcard[循環信用餘額],"")</f>
        <v/>
      </c>
      <c r="CH115" s="172" t="n"/>
    </row>
    <row r="116">
      <c r="A116" s="174" t="inlineStr">
        <is>
          <t>第一</t>
        </is>
      </c>
      <c r="B116" s="172" t="n">
        <v>1511</v>
      </c>
      <c r="C116" s="172" t="n">
        <v>1474</v>
      </c>
      <c r="D116" s="172" t="n">
        <v>1465</v>
      </c>
      <c r="E116" s="172" t="n">
        <v>1445</v>
      </c>
      <c r="F116" s="172" t="n">
        <v>1401</v>
      </c>
      <c r="G116" s="172" t="n">
        <v>1355</v>
      </c>
      <c r="H116" s="172" t="n">
        <v>1367</v>
      </c>
      <c r="I116" s="172" t="n">
        <v>1367</v>
      </c>
      <c r="J116" s="172" t="n">
        <v>1399</v>
      </c>
      <c r="K116" s="172" t="n">
        <v>1418</v>
      </c>
      <c r="L116" s="172" t="n">
        <v>1424</v>
      </c>
      <c r="M116" s="172" t="n">
        <v>1463</v>
      </c>
      <c r="N116" s="172" t="n">
        <v>1470</v>
      </c>
      <c r="O116" s="172" t="n">
        <v>1466</v>
      </c>
      <c r="P116" s="172" t="n">
        <v>1453</v>
      </c>
      <c r="Q116" s="172" t="n">
        <v>1454</v>
      </c>
      <c r="R116" s="172" t="n">
        <v>1465</v>
      </c>
      <c r="S116" s="172" t="n">
        <v>1454</v>
      </c>
      <c r="T116" s="172" t="n">
        <v>1411</v>
      </c>
      <c r="U116" s="172" t="n">
        <v>1401</v>
      </c>
      <c r="V116" s="172" t="n">
        <v>1429</v>
      </c>
      <c r="W116" s="172" t="n">
        <v>1453</v>
      </c>
      <c r="X116" s="172" t="n">
        <v>1474</v>
      </c>
      <c r="Y116" s="172" t="n">
        <v>1503</v>
      </c>
      <c r="Z116" s="172" t="n">
        <v>1496</v>
      </c>
      <c r="AA116" s="173" t="n">
        <v>1488</v>
      </c>
      <c r="AB116" s="173" t="n">
        <v>1489</v>
      </c>
      <c r="AC116" s="172" t="n">
        <v>1487</v>
      </c>
      <c r="AD116" s="173" t="n">
        <v>1497</v>
      </c>
      <c r="AE116" s="173" t="n">
        <v>1516</v>
      </c>
      <c r="AF116" s="172" t="n">
        <v>1525</v>
      </c>
      <c r="AG116" s="173" t="n">
        <v>1535</v>
      </c>
      <c r="AH116" s="172" t="n">
        <v>1541</v>
      </c>
      <c r="AI116" s="172" t="n">
        <v>1557</v>
      </c>
      <c r="AJ116" s="172" t="n">
        <v>1584</v>
      </c>
      <c r="AK116" s="172" t="n">
        <v>1613</v>
      </c>
      <c r="AL116" s="172" t="n">
        <v>1571</v>
      </c>
      <c r="AM116" s="172" t="n">
        <v>1578</v>
      </c>
      <c r="AN116" s="172" t="n">
        <v>1561</v>
      </c>
      <c r="AO116" s="172" t="n">
        <v>1551</v>
      </c>
      <c r="AP116" s="172" t="n">
        <v>1581.534</v>
      </c>
      <c r="AQ116" s="172" t="n">
        <v>1591.176</v>
      </c>
      <c r="AR116" s="172" t="n">
        <v>1593.836</v>
      </c>
      <c r="AS116" s="172" t="n">
        <v>1621.376</v>
      </c>
      <c r="AT116" s="172" t="n">
        <v>1628.395</v>
      </c>
      <c r="AU116" s="172" t="n">
        <v>1605.253</v>
      </c>
      <c r="AV116" s="172" t="n">
        <v>1562.746</v>
      </c>
      <c r="AW116" s="172" t="n">
        <v>1523.827</v>
      </c>
      <c r="AX116" s="172" t="n">
        <v>1480.418</v>
      </c>
      <c r="AY116" s="172" t="n">
        <v>1385.85</v>
      </c>
      <c r="AZ116" s="172" t="n">
        <v>1313.605</v>
      </c>
      <c r="BA116" s="172" t="n">
        <v>1278.092</v>
      </c>
      <c r="BB116" s="173" t="n">
        <v>1299</v>
      </c>
      <c r="BC116" s="173" t="n">
        <v>1236</v>
      </c>
      <c r="BD116" s="173" t="n">
        <v>1240.565</v>
      </c>
      <c r="BE116" s="172" t="n">
        <v>1241.644</v>
      </c>
      <c r="BF116" s="173" t="n">
        <v>1262.601</v>
      </c>
      <c r="BG116" s="172" t="n">
        <v>1275.638</v>
      </c>
      <c r="BH116" s="172" t="n">
        <v>1279.767</v>
      </c>
      <c r="BI116" s="172" t="n">
        <v>1287.115</v>
      </c>
      <c r="BJ116" s="173" t="n">
        <v>1310</v>
      </c>
      <c r="BK116" s="173" t="n">
        <v>1261</v>
      </c>
      <c r="BL116" s="173" t="n">
        <v>1253</v>
      </c>
      <c r="BM116" s="172" t="n">
        <v>1242.255</v>
      </c>
      <c r="BN116" s="172" t="n">
        <v>1729.179</v>
      </c>
      <c r="BO116" s="172" t="n">
        <v>1253.738</v>
      </c>
      <c r="BP116" s="172" t="n">
        <v>1255.89</v>
      </c>
      <c r="BQ116" s="172" t="n">
        <v>1263.947</v>
      </c>
      <c r="BR116" s="172" t="n">
        <v>1293.714</v>
      </c>
      <c r="BS116" s="172" t="n">
        <v>1299.237</v>
      </c>
      <c r="BT116" s="172" t="n">
        <v>1296.845</v>
      </c>
      <c r="BU116" s="172" t="n">
        <v>1297.02</v>
      </c>
      <c r="BV116" s="172">
        <f t="array" ref="BV116">_xlfn.XLOOKUP(1,(creditcard[YYYYMM]=BV$4)*(creditcard[Bank]=$A116),creditcard[循環信用餘額])</f>
        <v/>
      </c>
      <c r="BW116" s="172">
        <f t="array" ref="BW116">_xlfn.XLOOKUP(1,(creditcard[YYYYMM]=BW$4)*(creditcard[Bank]=$A116),creditcard[循環信用餘額])</f>
        <v/>
      </c>
      <c r="BX116" s="172">
        <f t="array" ref="BX116">_xlfn.XLOOKUP(1,(creditcard[YYYYMM]=BX$4)*(creditcard[Bank]=$A116),creditcard[循環信用餘額])</f>
        <v/>
      </c>
      <c r="BY116" s="172">
        <f t="array" ref="BY116">_xlfn.XLOOKUP(1,(creditcard[YYYYMM]=BY$4)*(creditcard[Bank]=$A116),creditcard[循環信用餘額],"")</f>
        <v/>
      </c>
      <c r="BZ116" s="172">
        <f t="array" ref="BZ116">_xlfn.XLOOKUP(1,(creditcard[YYYYMM]=BZ$4)*(creditcard[Bank]=$A116),creditcard[循環信用餘額],"")</f>
        <v/>
      </c>
      <c r="CA116" s="172">
        <f t="array" ref="CA116">_xlfn.XLOOKUP(1,(creditcard[YYYYMM]=CA$4)*(creditcard[Bank]=$A116),creditcard[循環信用餘額],"")</f>
        <v/>
      </c>
      <c r="CB116" s="172">
        <f t="array" ref="CB116">_xlfn.XLOOKUP(1,(creditcard[YYYYMM]=CB$4)*(creditcard[Bank]=$A116),creditcard[循環信用餘額],"")</f>
        <v/>
      </c>
      <c r="CC116" s="172">
        <f t="array" ref="CC116">_xlfn.XLOOKUP(1,(creditcard[YYYYMM]=CC$4)*(creditcard[Bank]=$A116),creditcard[循環信用餘額],"")</f>
        <v/>
      </c>
      <c r="CD116" s="172">
        <f t="array" ref="CD116">_xlfn.XLOOKUP(1,(creditcard[YYYYMM]=CD$4)*(creditcard[Bank]=$A116),creditcard[循環信用餘額],"")</f>
        <v/>
      </c>
      <c r="CE116" s="172">
        <f t="array" ref="CE116">_xlfn.XLOOKUP(1,(creditcard[YYYYMM]=CE$4)*(creditcard[Bank]=$A116),creditcard[循環信用餘額],"")</f>
        <v/>
      </c>
      <c r="CF116" s="172">
        <f t="array" ref="CF116">_xlfn.XLOOKUP(1,(creditcard[YYYYMM]=CF$4)*(creditcard[Bank]=$A116),creditcard[循環信用餘額],"")</f>
        <v/>
      </c>
      <c r="CG116" s="172">
        <f t="array" ref="CG116">_xlfn.XLOOKUP(1,(creditcard[YYYYMM]=CG$4)*(creditcard[Bank]=$A116),creditcard[循環信用餘額],"")</f>
        <v/>
      </c>
      <c r="CH116" s="172" t="n"/>
    </row>
    <row r="117">
      <c r="A117" s="174" t="inlineStr">
        <is>
          <t>遠東</t>
        </is>
      </c>
      <c r="B117" s="172" t="n">
        <v>4330.002</v>
      </c>
      <c r="C117" s="172" t="n">
        <v>4542.339</v>
      </c>
      <c r="D117" s="172" t="n">
        <v>4186.086</v>
      </c>
      <c r="E117" s="172" t="n">
        <v>4132.825</v>
      </c>
      <c r="F117" s="172" t="n">
        <v>4120.758</v>
      </c>
      <c r="G117" s="172" t="n">
        <v>4004.688</v>
      </c>
      <c r="H117" s="172" t="n">
        <v>3952.079</v>
      </c>
      <c r="I117" s="172" t="n">
        <v>4010.534</v>
      </c>
      <c r="J117" s="172" t="n">
        <v>3981.837</v>
      </c>
      <c r="K117" s="172" t="n">
        <v>3965.961</v>
      </c>
      <c r="L117" s="172" t="n">
        <v>4033.894</v>
      </c>
      <c r="M117" s="172" t="n">
        <v>3983.607</v>
      </c>
      <c r="N117" s="172" t="n">
        <v>4101</v>
      </c>
      <c r="O117" s="172" t="n">
        <v>4036</v>
      </c>
      <c r="P117" s="172" t="n">
        <v>3929</v>
      </c>
      <c r="Q117" s="172" t="n">
        <v>4000</v>
      </c>
      <c r="R117" s="172" t="n">
        <v>3968</v>
      </c>
      <c r="S117" s="172" t="n">
        <v>3883</v>
      </c>
      <c r="T117" s="172" t="n">
        <v>3768.115</v>
      </c>
      <c r="U117" s="172" t="n">
        <v>3735.151</v>
      </c>
      <c r="V117" s="172" t="n">
        <v>3746.563</v>
      </c>
      <c r="W117" s="172" t="n">
        <v>3806</v>
      </c>
      <c r="X117" s="172" t="n">
        <v>3766</v>
      </c>
      <c r="Y117" s="172" t="n">
        <v>3775</v>
      </c>
      <c r="Z117" s="172" t="n">
        <v>3984</v>
      </c>
      <c r="AA117" s="173" t="n">
        <v>3794</v>
      </c>
      <c r="AB117" s="173" t="n">
        <v>3670</v>
      </c>
      <c r="AC117" s="172" t="n">
        <v>3716.967</v>
      </c>
      <c r="AD117" s="173" t="n">
        <v>3654</v>
      </c>
      <c r="AE117" s="173" t="n">
        <v>3642</v>
      </c>
      <c r="AF117" s="172" t="n">
        <v>3716.045</v>
      </c>
      <c r="AG117" s="173" t="n">
        <v>3637.126</v>
      </c>
      <c r="AH117" s="172" t="n">
        <v>3638.23</v>
      </c>
      <c r="AI117" s="172" t="n">
        <v>3647.047</v>
      </c>
      <c r="AJ117" s="172" t="n">
        <v>3638.005</v>
      </c>
      <c r="AK117" s="172" t="n">
        <v>3659.902</v>
      </c>
      <c r="AL117" s="172" t="n">
        <v>3743.479</v>
      </c>
      <c r="AM117" s="172" t="n">
        <v>3802.01</v>
      </c>
      <c r="AN117" s="172" t="n">
        <v>3523.537</v>
      </c>
      <c r="AO117" s="172" t="n">
        <v>3809.327</v>
      </c>
      <c r="AP117" s="172" t="n">
        <v>3508.351</v>
      </c>
      <c r="AQ117" s="172" t="n">
        <v>3532.59</v>
      </c>
      <c r="AR117" s="172" t="n">
        <v>3554.331</v>
      </c>
      <c r="AS117" s="172" t="n">
        <v>3489.93</v>
      </c>
      <c r="AT117" s="172" t="n">
        <v>3818.297</v>
      </c>
      <c r="AU117" s="172" t="n">
        <v>3485.533</v>
      </c>
      <c r="AV117" s="172" t="n">
        <v>3484.991</v>
      </c>
      <c r="AW117" s="172" t="n">
        <v>3556.231</v>
      </c>
      <c r="AX117" s="172" t="n">
        <v>3455.246</v>
      </c>
      <c r="AY117" s="172" t="n">
        <v>3510.004</v>
      </c>
      <c r="AZ117" s="172" t="n">
        <v>3437.535</v>
      </c>
      <c r="BA117" s="172" t="n">
        <v>3366.177</v>
      </c>
      <c r="BB117" s="173" t="n">
        <v>3317</v>
      </c>
      <c r="BC117" s="173" t="n">
        <v>3712</v>
      </c>
      <c r="BD117" s="173" t="n">
        <v>3331.135</v>
      </c>
      <c r="BE117" s="172" t="n">
        <v>3314.524</v>
      </c>
      <c r="BF117" s="173" t="n">
        <v>3370.606</v>
      </c>
      <c r="BG117" s="172" t="n">
        <v>3302.147</v>
      </c>
      <c r="BH117" s="172" t="n">
        <v>3364.259</v>
      </c>
      <c r="BI117" s="172" t="n">
        <v>3310.248</v>
      </c>
      <c r="BJ117" s="173" t="n">
        <v>3990</v>
      </c>
      <c r="BK117" s="173" t="n">
        <v>3238</v>
      </c>
      <c r="BL117" s="173" t="n">
        <v>3222</v>
      </c>
      <c r="BM117" s="172" t="n">
        <v>3185.18</v>
      </c>
      <c r="BN117" s="173" t="n">
        <v>3248.175</v>
      </c>
      <c r="BO117" s="172" t="n">
        <v>3218.499</v>
      </c>
      <c r="BP117" s="172" t="n">
        <v>3152.668</v>
      </c>
      <c r="BQ117" s="172" t="n">
        <v>3249.738</v>
      </c>
      <c r="BR117" s="172" t="n">
        <v>3254.115</v>
      </c>
      <c r="BS117" s="172" t="n">
        <v>3177.73</v>
      </c>
      <c r="BT117" s="172" t="n">
        <v>3520.455</v>
      </c>
      <c r="BU117" s="172" t="n">
        <v>3185.712</v>
      </c>
      <c r="BV117" s="172">
        <f t="array" ref="BV117">_xlfn.XLOOKUP(1,(creditcard[YYYYMM]=BV$4)*(creditcard[Bank]=$A117),creditcard[循環信用餘額])</f>
        <v/>
      </c>
      <c r="BW117" s="172">
        <f t="array" ref="BW117">_xlfn.XLOOKUP(1,(creditcard[YYYYMM]=BW$4)*(creditcard[Bank]=$A117),creditcard[循環信用餘額])</f>
        <v/>
      </c>
      <c r="BX117" s="172">
        <f t="array" ref="BX117">_xlfn.XLOOKUP(1,(creditcard[YYYYMM]=BX$4)*(creditcard[Bank]=$A117),creditcard[循環信用餘額])</f>
        <v/>
      </c>
      <c r="BY117" s="172">
        <f t="array" ref="BY117">_xlfn.XLOOKUP(1,(creditcard[YYYYMM]=BY$4)*(creditcard[Bank]=$A117),creditcard[循環信用餘額],"")</f>
        <v/>
      </c>
      <c r="BZ117" s="172">
        <f t="array" ref="BZ117">_xlfn.XLOOKUP(1,(creditcard[YYYYMM]=BZ$4)*(creditcard[Bank]=$A117),creditcard[循環信用餘額],"")</f>
        <v/>
      </c>
      <c r="CA117" s="172">
        <f t="array" ref="CA117">_xlfn.XLOOKUP(1,(creditcard[YYYYMM]=CA$4)*(creditcard[Bank]=$A117),creditcard[循環信用餘額],"")</f>
        <v/>
      </c>
      <c r="CB117" s="172">
        <f t="array" ref="CB117">_xlfn.XLOOKUP(1,(creditcard[YYYYMM]=CB$4)*(creditcard[Bank]=$A117),creditcard[循環信用餘額],"")</f>
        <v/>
      </c>
      <c r="CC117" s="172">
        <f t="array" ref="CC117">_xlfn.XLOOKUP(1,(creditcard[YYYYMM]=CC$4)*(creditcard[Bank]=$A117),creditcard[循環信用餘額],"")</f>
        <v/>
      </c>
      <c r="CD117" s="172">
        <f t="array" ref="CD117">_xlfn.XLOOKUP(1,(creditcard[YYYYMM]=CD$4)*(creditcard[Bank]=$A117),creditcard[循環信用餘額],"")</f>
        <v/>
      </c>
      <c r="CE117" s="172">
        <f t="array" ref="CE117">_xlfn.XLOOKUP(1,(creditcard[YYYYMM]=CE$4)*(creditcard[Bank]=$A117),creditcard[循環信用餘額],"")</f>
        <v/>
      </c>
      <c r="CF117" s="172">
        <f t="array" ref="CF117">_xlfn.XLOOKUP(1,(creditcard[YYYYMM]=CF$4)*(creditcard[Bank]=$A117),creditcard[循環信用餘額],"")</f>
        <v/>
      </c>
      <c r="CG117" s="172">
        <f t="array" ref="CG117">_xlfn.XLOOKUP(1,(creditcard[YYYYMM]=CG$4)*(creditcard[Bank]=$A117),creditcard[循環信用餘額],"")</f>
        <v/>
      </c>
      <c r="CH117" s="172" t="n"/>
    </row>
    <row r="118">
      <c r="A118" s="170" t="inlineStr">
        <is>
          <t>市場總計</t>
        </is>
      </c>
      <c r="B118" s="170" t="n">
        <v>113448.496</v>
      </c>
      <c r="C118" s="170" t="n">
        <v>110847.008</v>
      </c>
      <c r="D118" s="170" t="n">
        <v>109579.408</v>
      </c>
      <c r="E118" s="170" t="n">
        <v>108206.053</v>
      </c>
      <c r="F118" s="170" t="n">
        <v>105961.028</v>
      </c>
      <c r="G118" s="170" t="n">
        <v>101724.492</v>
      </c>
      <c r="H118" s="170" t="n">
        <v>102345</v>
      </c>
      <c r="I118" s="170" t="n">
        <v>103350</v>
      </c>
      <c r="J118" s="170" t="n">
        <v>103711.24</v>
      </c>
      <c r="K118" s="170" t="n">
        <v>104583.252</v>
      </c>
      <c r="L118" s="170" t="n">
        <v>104694.035</v>
      </c>
      <c r="M118" s="170" t="n">
        <v>105615.288</v>
      </c>
      <c r="N118" s="170" t="n">
        <v>106264</v>
      </c>
      <c r="O118" s="170" t="n">
        <v>104154</v>
      </c>
      <c r="P118" s="170" t="n">
        <v>102676</v>
      </c>
      <c r="Q118" s="170" t="n">
        <v>103025</v>
      </c>
      <c r="R118" s="170" t="n">
        <v>102785</v>
      </c>
      <c r="S118" s="170" t="n">
        <v>102214</v>
      </c>
      <c r="T118" s="170" t="n">
        <v>98766.07000000001</v>
      </c>
      <c r="U118" s="170" t="n">
        <v>98194.446</v>
      </c>
      <c r="V118" s="170" t="n">
        <v>99313.76700000001</v>
      </c>
      <c r="W118" s="170" t="n">
        <v>100199</v>
      </c>
      <c r="X118" s="170" t="n">
        <v>99737</v>
      </c>
      <c r="Y118" s="170" t="n">
        <v>101157</v>
      </c>
      <c r="Z118" s="175" t="n">
        <v>101535</v>
      </c>
      <c r="AA118" s="175" t="n">
        <v>99536</v>
      </c>
      <c r="AB118" s="175" t="n">
        <v>98518</v>
      </c>
      <c r="AC118" s="175" t="n">
        <v>97645</v>
      </c>
      <c r="AD118" s="175" t="n">
        <v>97446</v>
      </c>
      <c r="AE118" s="175" t="n">
        <v>98645</v>
      </c>
      <c r="AF118" s="175" t="n">
        <v>100380.726</v>
      </c>
      <c r="AG118" s="175" t="n">
        <v>101010.062</v>
      </c>
      <c r="AH118" s="175" t="n">
        <v>102131.832</v>
      </c>
      <c r="AI118" s="175" t="n">
        <v>102895.215</v>
      </c>
      <c r="AJ118" s="175" t="n">
        <v>103393.594</v>
      </c>
      <c r="AK118" s="175" t="n">
        <v>105389.181</v>
      </c>
      <c r="AL118" s="175" t="n">
        <v>104152.171</v>
      </c>
      <c r="AM118" s="175" t="n">
        <v>102269.231</v>
      </c>
      <c r="AN118" s="175" t="n">
        <v>102770.292</v>
      </c>
      <c r="AO118" s="175" t="n">
        <v>103687.089</v>
      </c>
      <c r="AP118" s="175" t="n">
        <v>102771.763</v>
      </c>
      <c r="AQ118" s="175" t="n">
        <v>104337.859</v>
      </c>
      <c r="AR118" s="175" t="n">
        <v>105472.83</v>
      </c>
      <c r="AS118" s="175" t="n">
        <v>102805.766</v>
      </c>
      <c r="AT118" s="175" t="n">
        <v>104139.583</v>
      </c>
      <c r="AU118" s="175" t="n">
        <v>104360.462</v>
      </c>
      <c r="AV118" s="175" t="n">
        <v>104394.904</v>
      </c>
      <c r="AW118" s="175" t="n">
        <v>106157.05</v>
      </c>
      <c r="AX118" s="175" t="n">
        <v>106507.015</v>
      </c>
      <c r="AY118" s="175" t="n">
        <v>103745.387</v>
      </c>
      <c r="AZ118" s="175" t="n">
        <v>107267.559</v>
      </c>
      <c r="BA118" s="175" t="n">
        <v>109463.059</v>
      </c>
      <c r="BB118" s="175" t="n">
        <v>108454</v>
      </c>
      <c r="BC118" s="175" t="n">
        <v>110782</v>
      </c>
      <c r="BD118" s="175" t="n">
        <v>110400.682</v>
      </c>
      <c r="BE118" s="175" t="n">
        <v>111924.405</v>
      </c>
      <c r="BF118" s="175" t="n">
        <v>112625.201</v>
      </c>
      <c r="BG118" s="175" t="n">
        <v>113320.306</v>
      </c>
      <c r="BH118" s="175" t="n">
        <v>114289.411</v>
      </c>
      <c r="BI118" s="175" t="n">
        <v>116272.761</v>
      </c>
      <c r="BJ118" s="175" t="n">
        <v>113560</v>
      </c>
      <c r="BK118" s="175" t="n">
        <v>112808</v>
      </c>
      <c r="BL118" s="175" t="n">
        <v>113116</v>
      </c>
      <c r="BM118" s="175" t="n">
        <v>113985.72</v>
      </c>
      <c r="BN118" s="175" t="n">
        <v>113422.508</v>
      </c>
      <c r="BO118" s="175" t="n">
        <v>115449.666</v>
      </c>
      <c r="BP118" s="175" t="n">
        <v>114459.143</v>
      </c>
      <c r="BQ118" s="175" t="n">
        <v>115041.324</v>
      </c>
      <c r="BR118" s="175" t="n">
        <v>117177.201</v>
      </c>
      <c r="BS118" s="175" t="n">
        <v>117913.037</v>
      </c>
      <c r="BT118" s="175" t="n">
        <v>117776.62</v>
      </c>
      <c r="BU118" s="175" t="n">
        <v>118588.582</v>
      </c>
      <c r="BV118" s="175">
        <f t="array" ref="BV118">_xlfn.XLOOKUP(1,(creditcard[YYYYMM]=BV$4)*(creditcard[Bank]=$A118),creditcard[循環信用餘額])</f>
        <v/>
      </c>
      <c r="BW118" s="175">
        <f t="array" ref="BW118">_xlfn.XLOOKUP(1,(creditcard[YYYYMM]=BW$4)*(creditcard[Bank]=$A118),creditcard[循環信用餘額])</f>
        <v/>
      </c>
      <c r="BX118" s="175">
        <f t="array" ref="BX118">_xlfn.XLOOKUP(1,(creditcard[YYYYMM]=BX$4)*(creditcard[Bank]=$A118),creditcard[循環信用餘額])</f>
        <v/>
      </c>
      <c r="BY118" s="175">
        <f t="array" ref="BY118">_xlfn.XLOOKUP(1,(creditcard[YYYYMM]=BY$4)*(creditcard[Bank]=$A118),creditcard[循環信用餘額],"")</f>
        <v/>
      </c>
      <c r="BZ118" s="175">
        <f t="array" ref="BZ118">_xlfn.XLOOKUP(1,(creditcard[YYYYMM]=BZ$4)*(creditcard[Bank]=$A118),creditcard[循環信用餘額],"")</f>
        <v/>
      </c>
      <c r="CA118" s="175">
        <f t="array" ref="CA118">_xlfn.XLOOKUP(1,(creditcard[YYYYMM]=CA$4)*(creditcard[Bank]=$A118),creditcard[循環信用餘額],"")</f>
        <v/>
      </c>
      <c r="CB118" s="175">
        <f t="array" ref="CB118">_xlfn.XLOOKUP(1,(creditcard[YYYYMM]=CB$4)*(creditcard[Bank]=$A118),creditcard[循環信用餘額],"")</f>
        <v/>
      </c>
      <c r="CC118" s="175">
        <f t="array" ref="CC118">_xlfn.XLOOKUP(1,(creditcard[YYYYMM]=CC$4)*(creditcard[Bank]=$A118),creditcard[循環信用餘額],"")</f>
        <v/>
      </c>
      <c r="CD118" s="175">
        <f t="array" ref="CD118">_xlfn.XLOOKUP(1,(creditcard[YYYYMM]=CD$4)*(creditcard[Bank]=$A118),creditcard[循環信用餘額],"")</f>
        <v/>
      </c>
      <c r="CE118" s="175">
        <f t="array" ref="CE118">_xlfn.XLOOKUP(1,(creditcard[YYYYMM]=CE$4)*(creditcard[Bank]=$A118),creditcard[循環信用餘額],"")</f>
        <v/>
      </c>
      <c r="CF118" s="175">
        <f t="array" ref="CF118">_xlfn.XLOOKUP(1,(creditcard[YYYYMM]=CF$4)*(creditcard[Bank]=$A118),creditcard[循環信用餘額],"")</f>
        <v/>
      </c>
      <c r="CG118" s="175">
        <f t="array" ref="CG118">_xlfn.XLOOKUP(1,(creditcard[YYYYMM]=CG$4)*(creditcard[Bank]=$A118),creditcard[循環信用餘額],"")</f>
        <v/>
      </c>
      <c r="CH118" s="172" t="n"/>
    </row>
    <row r="119" ht="12.75" customFormat="1" customHeight="1" s="73">
      <c r="A119" s="176" t="inlineStr">
        <is>
          <t>TOP5</t>
        </is>
      </c>
      <c r="B119" s="177">
        <f>IFERROR(SUM(B108:B112)/B118,"")</f>
        <v/>
      </c>
      <c r="C119" s="177">
        <f>IFERROR(SUM(C108:C112)/C118,"")</f>
        <v/>
      </c>
      <c r="D119" s="177">
        <f>IFERROR(SUM(D108:D112)/D118,"")</f>
        <v/>
      </c>
      <c r="E119" s="177">
        <f>IFERROR(SUM(E108:E112)/E118,"")</f>
        <v/>
      </c>
      <c r="F119" s="177">
        <f>IFERROR(SUM(F108:F112)/F118,"")</f>
        <v/>
      </c>
      <c r="G119" s="177">
        <f>IFERROR(SUM(G108:G112)/G118,"")</f>
        <v/>
      </c>
      <c r="H119" s="177">
        <f>IFERROR(SUM(H108:H112)/H118,"")</f>
        <v/>
      </c>
      <c r="I119" s="177">
        <f>IFERROR(SUM(I108:I112)/I118,"")</f>
        <v/>
      </c>
      <c r="J119" s="177">
        <f>IFERROR(SUM(J108:J112)/J118,"")</f>
        <v/>
      </c>
      <c r="K119" s="177">
        <f>IFERROR(SUM(K108:K112)/K118,"")</f>
        <v/>
      </c>
      <c r="L119" s="177">
        <f>IFERROR(SUM(L108:L112)/L118,"")</f>
        <v/>
      </c>
      <c r="M119" s="177">
        <f>IFERROR(SUM(M108:M112)/M118,"")</f>
        <v/>
      </c>
      <c r="N119" s="177">
        <f>IFERROR(SUM(N108:N112)/N118,"")</f>
        <v/>
      </c>
      <c r="O119" s="177">
        <f>IFERROR(SUM(O108:O112)/O118,"")</f>
        <v/>
      </c>
      <c r="P119" s="177">
        <f>IFERROR(SUM(P108:P112)/P118,"")</f>
        <v/>
      </c>
      <c r="Q119" s="177">
        <f>IFERROR(SUM(Q108:Q112)/Q118,"")</f>
        <v/>
      </c>
      <c r="R119" s="177">
        <f>IFERROR(SUM(R108:R112)/R118,"")</f>
        <v/>
      </c>
      <c r="S119" s="177">
        <f>IFERROR(SUM(S108:S112)/S118,"")</f>
        <v/>
      </c>
      <c r="T119" s="177">
        <f>IFERROR(SUM(T108:T112)/T118,"")</f>
        <v/>
      </c>
      <c r="U119" s="177">
        <f>IFERROR(SUM(U108:U112)/U118,"")</f>
        <v/>
      </c>
      <c r="V119" s="177">
        <f>IFERROR(SUM(V108:V112)/V118,"")</f>
        <v/>
      </c>
      <c r="W119" s="177">
        <f>IFERROR(SUM(W108:W112)/W118,"")</f>
        <v/>
      </c>
      <c r="X119" s="177">
        <f>IFERROR(SUM(X108:X112)/X118,"")</f>
        <v/>
      </c>
      <c r="Y119" s="177">
        <f>IFERROR(SUM(Y108:Y112)/Y118,"")</f>
        <v/>
      </c>
      <c r="Z119" s="177">
        <f>IFERROR(SUM(Z108:Z112)/Z118,"")</f>
        <v/>
      </c>
      <c r="AA119" s="177">
        <f>IFERROR(SUM(AA108:AA112)/AA118,"")</f>
        <v/>
      </c>
      <c r="AB119" s="177">
        <f>IFERROR(SUM(AB108:AB112)/AB118,"")</f>
        <v/>
      </c>
      <c r="AC119" s="177">
        <f>IFERROR(SUM(AC108:AC112)/AC118,"")</f>
        <v/>
      </c>
      <c r="AD119" s="177">
        <f>IFERROR(SUM(AD108:AD112)/AD118,"")</f>
        <v/>
      </c>
      <c r="AE119" s="177">
        <f>IFERROR(SUM(AE108:AE112)/AE118,"")</f>
        <v/>
      </c>
      <c r="AF119" s="177">
        <f>IFERROR(SUM(AF108:AF112)/AF118,"")</f>
        <v/>
      </c>
      <c r="AG119" s="177">
        <f>IFERROR(SUM(AG108:AG112)/AG118,"")</f>
        <v/>
      </c>
      <c r="AH119" s="177">
        <f>IFERROR(SUM(AH108:AH112)/AH118,"")</f>
        <v/>
      </c>
      <c r="AI119" s="177">
        <f>IFERROR(SUM(AI108:AI112)/AI118,"")</f>
        <v/>
      </c>
      <c r="AJ119" s="177">
        <f>IFERROR(SUM(AJ108:AJ112)/AJ118,"")</f>
        <v/>
      </c>
      <c r="AK119" s="177">
        <f>IFERROR(SUM(AK108:AK112)/AK118,"")</f>
        <v/>
      </c>
      <c r="AL119" s="177">
        <f>IFERROR(SUM(AL108:AL112)/AL118,"")</f>
        <v/>
      </c>
      <c r="AM119" s="177">
        <f>IFERROR(SUM(AM108:AM112)/AM118,"")</f>
        <v/>
      </c>
      <c r="AN119" s="177">
        <f>IFERROR(SUM(AN108:AN112)/AN118,"")</f>
        <v/>
      </c>
      <c r="AO119" s="177">
        <f>IFERROR(SUM(AO108:AO112)/AO118,"")</f>
        <v/>
      </c>
      <c r="AP119" s="177">
        <f>IFERROR(SUM(AP108:AP112)/AP118,"")</f>
        <v/>
      </c>
      <c r="AQ119" s="177">
        <f>IFERROR(SUM(AQ108:AQ112)/AQ118,"")</f>
        <v/>
      </c>
      <c r="AR119" s="177">
        <f>IFERROR(SUM(AR108:AR112)/AR118,"")</f>
        <v/>
      </c>
      <c r="AS119" s="177">
        <f>IFERROR(SUM(AS108:AS112)/AS118,"")</f>
        <v/>
      </c>
      <c r="AT119" s="177">
        <f>IFERROR(SUM(AT108:AT112)/AT118,"")</f>
        <v/>
      </c>
      <c r="AU119" s="177">
        <f>IFERROR(SUM(AU108:AU112)/AU118,"")</f>
        <v/>
      </c>
      <c r="AV119" s="177">
        <f>IFERROR(SUM(AV108:AV112)/AV118,"")</f>
        <v/>
      </c>
      <c r="AW119" s="177">
        <f>IFERROR(SUM(AW108:AW112)/AW118,"")</f>
        <v/>
      </c>
      <c r="AX119" s="177">
        <f>IFERROR(SUM(AX108:AX112)/AX118,"")</f>
        <v/>
      </c>
      <c r="AY119" s="177">
        <f>IFERROR(SUM(AY108:AY112)/AY118,"")</f>
        <v/>
      </c>
      <c r="AZ119" s="177">
        <f>IFERROR(SUM(AZ108:AZ112)/AZ118,"")</f>
        <v/>
      </c>
      <c r="BA119" s="177">
        <f>IFERROR(SUM(BA108:BA112)/BA118,"")</f>
        <v/>
      </c>
      <c r="BB119" s="177">
        <f>IFERROR(SUM(BB108:BB112)/BB118,"")</f>
        <v/>
      </c>
      <c r="BC119" s="177">
        <f>IFERROR(SUM(BC108:BC112)/BC118,"")</f>
        <v/>
      </c>
      <c r="BD119" s="177">
        <f>IFERROR(SUM(BD108:BD112)/BD118,"")</f>
        <v/>
      </c>
      <c r="BE119" s="177">
        <f>IFERROR(SUM(BE108:BE112)/BE118,"")</f>
        <v/>
      </c>
      <c r="BF119" s="177">
        <f>IFERROR(SUM(BF108:BF112)/BF118,"")</f>
        <v/>
      </c>
      <c r="BG119" s="177">
        <f>IFERROR(SUM(BG108:BG112)/BG118,"")</f>
        <v/>
      </c>
      <c r="BH119" s="177">
        <f>IFERROR(SUM(BH108:BH112)/BH118,"")</f>
        <v/>
      </c>
      <c r="BI119" s="177">
        <f>IFERROR(SUM(BI108:BI112)/BI118,"")</f>
        <v/>
      </c>
      <c r="BJ119" s="177">
        <f>IFERROR(SUM(BJ108:BJ112)/BJ118,"")</f>
        <v/>
      </c>
      <c r="BK119" s="177">
        <f>IFERROR(SUM(BK108:BK112)/BK118,"")</f>
        <v/>
      </c>
      <c r="BL119" s="177">
        <f>IFERROR(SUM(BL108:BL112)/BL118,"")</f>
        <v/>
      </c>
      <c r="BM119" s="177">
        <f>IFERROR(SUM(BM108:BM112)/BM118,"")</f>
        <v/>
      </c>
      <c r="BN119" s="177">
        <f>IFERROR(SUM(BN108:BN112)/BN118,"")</f>
        <v/>
      </c>
      <c r="BO119" s="177">
        <f>IFERROR(SUM(BO108:BO112)/BO118,"")</f>
        <v/>
      </c>
      <c r="BP119" s="177">
        <f>IFERROR(SUM(BP108:BP112)/BP118,"")</f>
        <v/>
      </c>
      <c r="BQ119" s="177">
        <f>IFERROR(SUM(BQ108:BQ112)/BQ118,"")</f>
        <v/>
      </c>
      <c r="BR119" s="177">
        <f>IFERROR(SUM(BR108:BR112)/BR118,"")</f>
        <v/>
      </c>
      <c r="BS119" s="177">
        <f>IFERROR(SUM(BS108:BS112)/BS118,"")</f>
        <v/>
      </c>
      <c r="BT119" s="177">
        <f>IFERROR(SUM(BT108:BT112)/BT118,"")</f>
        <v/>
      </c>
      <c r="BU119" s="177">
        <f>IFERROR(SUM(BU108:BU112)/BU118,"")</f>
        <v/>
      </c>
      <c r="BV119" s="177">
        <f>IFERROR(SUM(BV108:BV112)/BV118,"")</f>
        <v/>
      </c>
      <c r="BW119" s="177">
        <f>IFERROR(SUM(BW108:BW112)/BW118,"")</f>
        <v/>
      </c>
      <c r="BX119" s="177">
        <f>IFERROR(SUM(BX108:BX112)/BX118,"")</f>
        <v/>
      </c>
      <c r="BY119" s="177">
        <f>IFERROR(SUM(BY108:BY112)/BY118,"")</f>
        <v/>
      </c>
      <c r="BZ119" s="177">
        <f>IFERROR(SUM(BZ108:BZ112)/BZ118,"")</f>
        <v/>
      </c>
      <c r="CA119" s="177">
        <f>IFERROR(SUM(CA108:CA112)/CA118,"")</f>
        <v/>
      </c>
      <c r="CB119" s="177">
        <f>IFERROR(SUM(CB108:CB112)/CB118,"")</f>
        <v/>
      </c>
      <c r="CC119" s="177">
        <f>IFERROR(SUM(CC108:CC112)/CC118,"")</f>
        <v/>
      </c>
      <c r="CD119" s="177">
        <f>IFERROR(SUM(CD108:CD112)/CD118,"")</f>
        <v/>
      </c>
      <c r="CE119" s="177">
        <f>IFERROR(SUM(CE108:CE112)/CE118,"")</f>
        <v/>
      </c>
      <c r="CF119" s="177">
        <f>IFERROR(SUM(CF108:CF112)/CF118,"")</f>
        <v/>
      </c>
      <c r="CG119" s="177">
        <f>IFERROR(SUM(CG108:CG112)/CG118,"")</f>
        <v/>
      </c>
      <c r="CH119" s="177" t="n"/>
    </row>
    <row r="120" ht="12.75" customFormat="1" customHeight="1" s="73">
      <c r="A120" s="176" t="inlineStr">
        <is>
          <t>TOP10</t>
        </is>
      </c>
      <c r="B120" s="177">
        <f>IFERROR(SUM(B108:B117)/B118,"")</f>
        <v/>
      </c>
      <c r="C120" s="177">
        <f>IFERROR(SUM(C108:C117)/C118,"")</f>
        <v/>
      </c>
      <c r="D120" s="177">
        <f>IFERROR(SUM(D108:D117)/D118,"")</f>
        <v/>
      </c>
      <c r="E120" s="177">
        <f>IFERROR(SUM(E108:E117)/E118,"")</f>
        <v/>
      </c>
      <c r="F120" s="177">
        <f>IFERROR(SUM(F108:F117)/F118,"")</f>
        <v/>
      </c>
      <c r="G120" s="177">
        <f>IFERROR(SUM(G108:G117)/G118,"")</f>
        <v/>
      </c>
      <c r="H120" s="177">
        <f>IFERROR(SUM(H108:H117)/H118,"")</f>
        <v/>
      </c>
      <c r="I120" s="177">
        <f>IFERROR(SUM(I108:I117)/I118,"")</f>
        <v/>
      </c>
      <c r="J120" s="177">
        <f>IFERROR(SUM(J108:J117)/J118,"")</f>
        <v/>
      </c>
      <c r="K120" s="177">
        <f>IFERROR(SUM(K108:K117)/K118,"")</f>
        <v/>
      </c>
      <c r="L120" s="177">
        <f>IFERROR(SUM(L108:L117)/L118,"")</f>
        <v/>
      </c>
      <c r="M120" s="177">
        <f>IFERROR(SUM(M108:M117)/M118,"")</f>
        <v/>
      </c>
      <c r="N120" s="177">
        <f>IFERROR(SUM(N108:N117)/N118,"")</f>
        <v/>
      </c>
      <c r="O120" s="177">
        <f>IFERROR(SUM(O108:O117)/O118,"")</f>
        <v/>
      </c>
      <c r="P120" s="177">
        <f>IFERROR(SUM(P108:P117)/P118,"")</f>
        <v/>
      </c>
      <c r="Q120" s="177">
        <f>IFERROR(SUM(Q108:Q117)/Q118,"")</f>
        <v/>
      </c>
      <c r="R120" s="177">
        <f>IFERROR(SUM(R108:R117)/R118,"")</f>
        <v/>
      </c>
      <c r="S120" s="177">
        <f>IFERROR(SUM(S108:S117)/S118,"")</f>
        <v/>
      </c>
      <c r="T120" s="177">
        <f>IFERROR(SUM(T108:T117)/T118,"")</f>
        <v/>
      </c>
      <c r="U120" s="177">
        <f>IFERROR(SUM(U108:U117)/U118,"")</f>
        <v/>
      </c>
      <c r="V120" s="177">
        <f>IFERROR(SUM(V108:V117)/V118,"")</f>
        <v/>
      </c>
      <c r="W120" s="177">
        <f>IFERROR(SUM(W108:W117)/W118,"")</f>
        <v/>
      </c>
      <c r="X120" s="177">
        <f>IFERROR(SUM(X108:X117)/X118,"")</f>
        <v/>
      </c>
      <c r="Y120" s="177">
        <f>IFERROR(SUM(Y108:Y117)/Y118,"")</f>
        <v/>
      </c>
      <c r="Z120" s="177">
        <f>IFERROR(SUM(Z108:Z117)/Z118,"")</f>
        <v/>
      </c>
      <c r="AA120" s="177">
        <f>IFERROR(SUM(AA108:AA117)/AA118,"")</f>
        <v/>
      </c>
      <c r="AB120" s="177">
        <f>IFERROR(SUM(AB108:AB117)/AB118,"")</f>
        <v/>
      </c>
      <c r="AC120" s="177">
        <f>IFERROR(SUM(AC108:AC117)/AC118,"")</f>
        <v/>
      </c>
      <c r="AD120" s="177">
        <f>IFERROR(SUM(AD108:AD117)/AD118,"")</f>
        <v/>
      </c>
      <c r="AE120" s="177">
        <f>IFERROR(SUM(AE108:AE117)/AE118,"")</f>
        <v/>
      </c>
      <c r="AF120" s="177">
        <f>IFERROR(SUM(AF108:AF117)/AF118,"")</f>
        <v/>
      </c>
      <c r="AG120" s="177">
        <f>IFERROR(SUM(AG108:AG117)/AG118,"")</f>
        <v/>
      </c>
      <c r="AH120" s="177">
        <f>IFERROR(SUM(AH108:AH117)/AH118,"")</f>
        <v/>
      </c>
      <c r="AI120" s="177">
        <f>IFERROR(SUM(AI108:AI117)/AI118,"")</f>
        <v/>
      </c>
      <c r="AJ120" s="177">
        <f>IFERROR(SUM(AJ108:AJ117)/AJ118,"")</f>
        <v/>
      </c>
      <c r="AK120" s="177">
        <f>IFERROR(SUM(AK108:AK117)/AK118,"")</f>
        <v/>
      </c>
      <c r="AL120" s="177">
        <f>IFERROR(SUM(AL108:AL117)/AL118,"")</f>
        <v/>
      </c>
      <c r="AM120" s="177">
        <f>IFERROR(SUM(AM108:AM117)/AM118,"")</f>
        <v/>
      </c>
      <c r="AN120" s="177">
        <f>IFERROR(SUM(AN108:AN117)/AN118,"")</f>
        <v/>
      </c>
      <c r="AO120" s="177">
        <f>IFERROR(SUM(AO108:AO117)/AO118,"")</f>
        <v/>
      </c>
      <c r="AP120" s="177">
        <f>IFERROR(SUM(AP108:AP117)/AP118,"")</f>
        <v/>
      </c>
      <c r="AQ120" s="177">
        <f>IFERROR(SUM(AQ108:AQ117)/AQ118,"")</f>
        <v/>
      </c>
      <c r="AR120" s="177">
        <f>IFERROR(SUM(AR108:AR117)/AR118,"")</f>
        <v/>
      </c>
      <c r="AS120" s="177">
        <f>IFERROR(SUM(AS108:AS117)/AS118,"")</f>
        <v/>
      </c>
      <c r="AT120" s="177">
        <f>IFERROR(SUM(AT108:AT117)/AT118,"")</f>
        <v/>
      </c>
      <c r="AU120" s="177">
        <f>IFERROR(SUM(AU108:AU117)/AU118,"")</f>
        <v/>
      </c>
      <c r="AV120" s="177">
        <f>IFERROR(SUM(AV108:AV117)/AV118,"")</f>
        <v/>
      </c>
      <c r="AW120" s="177">
        <f>IFERROR(SUM(AW108:AW117)/AW118,"")</f>
        <v/>
      </c>
      <c r="AX120" s="177">
        <f>IFERROR(SUM(AX108:AX117)/AX118,"")</f>
        <v/>
      </c>
      <c r="AY120" s="177">
        <f>IFERROR(SUM(AY108:AY117)/AY118,"")</f>
        <v/>
      </c>
      <c r="AZ120" s="177">
        <f>IFERROR(SUM(AZ108:AZ117)/AZ118,"")</f>
        <v/>
      </c>
      <c r="BA120" s="177">
        <f>IFERROR(SUM(BA108:BA117)/BA118,"")</f>
        <v/>
      </c>
      <c r="BB120" s="177">
        <f>IFERROR(SUM(BB108:BB117)/BB118,"")</f>
        <v/>
      </c>
      <c r="BC120" s="177">
        <f>IFERROR(SUM(BC108:BC117)/BC118,"")</f>
        <v/>
      </c>
      <c r="BD120" s="177">
        <f>IFERROR(SUM(BD108:BD117)/BD118,"")</f>
        <v/>
      </c>
      <c r="BE120" s="177">
        <f>IFERROR(SUM(BE108:BE117)/BE118,"")</f>
        <v/>
      </c>
      <c r="BF120" s="177">
        <f>IFERROR(SUM(BF108:BF117)/BF118,"")</f>
        <v/>
      </c>
      <c r="BG120" s="177">
        <f>IFERROR(SUM(BG108:BG117)/BG118,"")</f>
        <v/>
      </c>
      <c r="BH120" s="177">
        <f>IFERROR(SUM(BH108:BH117)/BH118,"")</f>
        <v/>
      </c>
      <c r="BI120" s="177">
        <f>IFERROR(SUM(BI108:BI117)/BI118,"")</f>
        <v/>
      </c>
      <c r="BJ120" s="177">
        <f>IFERROR(SUM(BJ108:BJ117)/BJ118,"")</f>
        <v/>
      </c>
      <c r="BK120" s="177">
        <f>IFERROR(SUM(BK108:BK117)/BK118,"")</f>
        <v/>
      </c>
      <c r="BL120" s="177">
        <f>IFERROR(SUM(BL108:BL117)/BL118,"")</f>
        <v/>
      </c>
      <c r="BM120" s="177">
        <f>IFERROR(SUM(BM108:BM117)/BM118,"")</f>
        <v/>
      </c>
      <c r="BN120" s="177">
        <f>IFERROR(SUM(BN108:BN117)/BN118,"")</f>
        <v/>
      </c>
      <c r="BO120" s="177">
        <f>IFERROR(SUM(BO108:BO117)/BO118,"")</f>
        <v/>
      </c>
      <c r="BP120" s="177">
        <f>IFERROR(SUM(BP108:BP117)/BP118,"")</f>
        <v/>
      </c>
      <c r="BQ120" s="177">
        <f>IFERROR(SUM(BQ108:BQ117)/BQ118,"")</f>
        <v/>
      </c>
      <c r="BR120" s="177">
        <f>IFERROR(SUM(BR108:BR117)/BR118,"")</f>
        <v/>
      </c>
      <c r="BS120" s="177">
        <f>IFERROR(SUM(BS108:BS117)/BS118,"")</f>
        <v/>
      </c>
      <c r="BT120" s="177">
        <f>IFERROR(SUM(BT108:BT117)/BT118,"")</f>
        <v/>
      </c>
      <c r="BU120" s="177">
        <f>IFERROR(SUM(BU108:BU117)/BU118,"")</f>
        <v/>
      </c>
      <c r="BV120" s="177">
        <f>IFERROR(SUM(BV108:BV117)/BV118,"")</f>
        <v/>
      </c>
      <c r="BW120" s="177">
        <f>IFERROR(SUM(BW108:BW117)/BW118,"")</f>
        <v/>
      </c>
      <c r="BX120" s="177">
        <f>IFERROR(SUM(BX108:BX117)/BX118,"")</f>
        <v/>
      </c>
      <c r="BY120" s="177">
        <f>IFERROR(SUM(BY108:BY117)/BY118,"")</f>
        <v/>
      </c>
      <c r="BZ120" s="177">
        <f>IFERROR(SUM(BZ108:BZ117)/BZ118,"")</f>
        <v/>
      </c>
      <c r="CA120" s="177">
        <f>IFERROR(SUM(CA108:CA117)/CA118,"")</f>
        <v/>
      </c>
      <c r="CB120" s="177">
        <f>IFERROR(SUM(CB108:CB117)/CB118,"")</f>
        <v/>
      </c>
      <c r="CC120" s="177">
        <f>IFERROR(SUM(CC108:CC117)/CC118,"")</f>
        <v/>
      </c>
      <c r="CD120" s="177">
        <f>IFERROR(SUM(CD108:CD117)/CD118,"")</f>
        <v/>
      </c>
      <c r="CE120" s="177">
        <f>IFERROR(SUM(CE108:CE117)/CE118,"")</f>
        <v/>
      </c>
      <c r="CF120" s="177">
        <f>IFERROR(SUM(CF108:CF117)/CF118,"")</f>
        <v/>
      </c>
      <c r="CG120" s="177">
        <f>IFERROR(SUM(CG108:CG117)/CG118,"")</f>
        <v/>
      </c>
      <c r="CH120" s="177" t="n"/>
    </row>
    <row r="121">
      <c r="A121" s="172" t="n"/>
      <c r="B121" s="172" t="n"/>
      <c r="C121" s="172" t="n"/>
      <c r="D121" s="34" t="n"/>
      <c r="E121" s="34" t="n"/>
      <c r="F121" s="190" t="n"/>
      <c r="G121" s="190" t="n"/>
      <c r="H121" s="190" t="n"/>
      <c r="I121" s="190" t="n"/>
      <c r="J121" s="190" t="n"/>
      <c r="K121" s="190" t="n"/>
      <c r="L121" s="190" t="n"/>
      <c r="M121" s="190" t="n"/>
      <c r="N121" s="190" t="n"/>
      <c r="O121" s="190" t="n"/>
      <c r="P121" s="190" t="n"/>
      <c r="Q121" s="190" t="n"/>
      <c r="R121" s="190" t="n"/>
      <c r="S121" s="190" t="n"/>
      <c r="T121" s="190" t="n"/>
      <c r="U121" s="190" t="n"/>
      <c r="V121" s="190" t="n"/>
      <c r="W121" s="190" t="n"/>
      <c r="X121" s="190" t="n"/>
      <c r="Y121" s="190" t="n"/>
      <c r="Z121" s="190" t="n"/>
      <c r="AA121" s="190" t="n"/>
      <c r="AB121" s="190" t="n"/>
      <c r="AC121" s="190" t="n"/>
      <c r="AD121" s="190" t="n"/>
      <c r="AE121" s="190" t="n"/>
      <c r="AF121" s="190" t="n"/>
      <c r="AG121" s="190" t="n"/>
      <c r="AH121" s="190" t="n"/>
      <c r="AI121" s="190" t="n"/>
      <c r="AJ121" s="190" t="n"/>
      <c r="AK121" s="190" t="n"/>
      <c r="AL121" s="190" t="n"/>
      <c r="AM121" s="190" t="n"/>
      <c r="AN121" s="190" t="n"/>
      <c r="AO121" s="190" t="n"/>
      <c r="AP121" s="190" t="n"/>
      <c r="AQ121" s="190" t="n"/>
      <c r="AR121" s="190" t="n"/>
      <c r="AS121" s="190" t="n"/>
      <c r="AT121" s="190" t="n"/>
      <c r="AU121" s="190" t="n"/>
      <c r="AV121" s="190" t="n"/>
      <c r="AW121" s="190" t="n"/>
      <c r="AX121" s="190" t="n"/>
      <c r="AY121" s="190" t="n"/>
      <c r="AZ121" s="190" t="n"/>
      <c r="BA121" s="190" t="n"/>
      <c r="BB121" s="190" t="n"/>
      <c r="BC121" s="190" t="n"/>
      <c r="BD121" s="190" t="n"/>
      <c r="BE121" s="190" t="n"/>
      <c r="BF121" s="190" t="n"/>
      <c r="BG121" s="190" t="n"/>
      <c r="BH121" s="190" t="n"/>
      <c r="BI121" s="190" t="n"/>
      <c r="BJ121" s="190" t="n"/>
      <c r="BK121" s="190" t="n"/>
      <c r="BL121" s="190" t="n"/>
      <c r="BM121" s="190" t="n"/>
      <c r="BN121" s="190" t="n"/>
      <c r="BO121" s="190" t="n"/>
      <c r="BP121" s="190" t="n"/>
      <c r="BQ121" s="190" t="n"/>
      <c r="BR121" s="190" t="n"/>
      <c r="BS121" s="190" t="n"/>
      <c r="BT121" s="190" t="n"/>
      <c r="BU121" s="190" t="n"/>
      <c r="BV121" s="190" t="n"/>
      <c r="BW121" s="190" t="n"/>
      <c r="BX121" s="190" t="n"/>
      <c r="BY121" s="190" t="n"/>
      <c r="BZ121" s="190" t="n"/>
      <c r="CA121" s="190" t="n"/>
      <c r="CB121" s="190" t="n"/>
      <c r="CC121" s="190" t="n"/>
      <c r="CD121" s="190" t="n"/>
      <c r="CE121" s="190" t="n"/>
      <c r="CF121" s="190" t="n"/>
      <c r="CG121" s="190" t="n"/>
      <c r="CH121" s="190" t="n"/>
    </row>
    <row r="122">
      <c r="A122" s="172" t="n"/>
      <c r="B122" s="172" t="n"/>
      <c r="C122" s="172" t="n"/>
      <c r="D122" s="34" t="n"/>
      <c r="E122" s="34" t="n"/>
    </row>
    <row r="123">
      <c r="A123" s="172" t="n"/>
      <c r="B123" s="172" t="n"/>
      <c r="C123" s="172" t="n"/>
      <c r="D123" s="34" t="n"/>
      <c r="E123" s="172" t="n"/>
      <c r="BJ123" s="35" t="n"/>
    </row>
    <row r="124">
      <c r="A124" s="172" t="n"/>
      <c r="B124" s="172" t="n"/>
      <c r="C124" s="172" t="n"/>
      <c r="D124" s="34" t="n"/>
      <c r="E124" s="172" t="n"/>
    </row>
    <row r="125">
      <c r="A125" s="172" t="n"/>
      <c r="B125" s="172" t="n"/>
      <c r="C125" s="172" t="n"/>
      <c r="D125" s="34" t="n"/>
      <c r="E125" s="172" t="n"/>
    </row>
    <row r="126">
      <c r="A126" s="172" t="n"/>
      <c r="B126" s="172" t="n"/>
      <c r="C126" s="172" t="n"/>
      <c r="D126" s="34" t="n"/>
      <c r="E126" s="172" t="n"/>
    </row>
    <row r="127">
      <c r="A127" s="172" t="n"/>
      <c r="B127" s="172" t="n"/>
      <c r="C127" s="172" t="n"/>
      <c r="D127" s="34" t="n"/>
      <c r="E127" s="172" t="n"/>
    </row>
    <row r="128">
      <c r="A128" s="172" t="n"/>
      <c r="B128" s="172" t="n"/>
      <c r="C128" s="172" t="n"/>
      <c r="D128" s="34" t="n"/>
      <c r="E128" s="172" t="n"/>
    </row>
    <row r="129">
      <c r="A129" s="172" t="n"/>
      <c r="B129" s="172" t="n"/>
      <c r="C129" s="172" t="n"/>
      <c r="D129" s="34" t="n"/>
      <c r="E129" s="172" t="n"/>
    </row>
    <row r="130">
      <c r="A130" s="172" t="n"/>
      <c r="B130" s="172" t="n"/>
      <c r="C130" s="172" t="n"/>
      <c r="D130" s="34" t="n"/>
      <c r="E130" s="172" t="n"/>
    </row>
    <row r="131">
      <c r="A131" s="172" t="n"/>
      <c r="B131" s="172" t="n"/>
      <c r="C131" s="172" t="n"/>
      <c r="D131" s="34" t="n"/>
      <c r="E131" s="172" t="n"/>
    </row>
    <row r="132">
      <c r="A132" s="172" t="n"/>
      <c r="B132" s="172" t="n"/>
      <c r="C132" s="172" t="n"/>
      <c r="D132" s="34" t="n"/>
      <c r="E132" s="172" t="n"/>
    </row>
    <row r="133">
      <c r="A133" s="172" t="n"/>
      <c r="B133" s="172" t="n"/>
      <c r="C133" s="172" t="n"/>
      <c r="D133" s="34" t="n"/>
      <c r="E133" s="34" t="n"/>
    </row>
  </sheetData>
  <hyperlinks>
    <hyperlink xmlns:r="http://schemas.openxmlformats.org/officeDocument/2006/relationships" ref="A19" r:id="rId1"/>
  </hyperlinks>
  <pageMargins left="0.7" right="0.7" top="0.75" bottom="0.75" header="0.3" footer="0.3"/>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1:V133"/>
  <sheetViews>
    <sheetView topLeftCell="U12" workbookViewId="0">
      <selection activeCell="M11" sqref="M11"/>
    </sheetView>
  </sheetViews>
  <sheetFormatPr baseColWidth="8" defaultColWidth="8.90625" defaultRowHeight="15.5"/>
  <cols>
    <col width="21.6328125" customWidth="1" style="72" min="1" max="1"/>
    <col width="16" customWidth="1" style="72" min="2" max="5"/>
    <col width="16.453125" customWidth="1" style="72" min="6" max="6"/>
    <col width="16.6328125" customWidth="1" style="72" min="7" max="7"/>
    <col width="15.08984375" customWidth="1" style="72" min="8" max="8"/>
    <col width="15.90625" customWidth="1" style="72" min="9" max="13"/>
    <col width="13.6328125" customWidth="1" style="72" min="14" max="14"/>
    <col hidden="1" outlineLevel="1" width="13.6328125" customWidth="1" style="72" min="15" max="15"/>
    <col hidden="1" outlineLevel="1" width="14.453125" customWidth="1" style="72" min="16" max="20"/>
    <col collapsed="1" width="14.453125" customWidth="1" style="72" min="21" max="21"/>
    <col width="14.453125" customWidth="1" style="72" min="22" max="22"/>
    <col width="8.90625" customWidth="1" style="72" min="23" max="30"/>
    <col width="12" customWidth="1" style="72" min="31" max="31"/>
    <col width="8.90625" customWidth="1" style="72" min="32" max="32"/>
    <col width="8.90625" customWidth="1" style="72" min="33" max="16384"/>
  </cols>
  <sheetData>
    <row r="1">
      <c r="A1" s="143" t="inlineStr">
        <is>
          <t>持卡人數(萬人)</t>
        </is>
      </c>
      <c r="B1" s="141" t="n">
        <v>2015</v>
      </c>
      <c r="C1" s="141" t="n">
        <v>2016</v>
      </c>
      <c r="D1" s="141" t="n">
        <v>2017</v>
      </c>
      <c r="E1" s="141" t="n">
        <v>2018</v>
      </c>
      <c r="F1" s="141" t="n">
        <v>2019</v>
      </c>
      <c r="G1" s="141" t="n">
        <v>2020</v>
      </c>
      <c r="H1" s="141" t="n">
        <v>2021</v>
      </c>
      <c r="I1" s="141" t="n">
        <v>2022</v>
      </c>
      <c r="J1" s="141" t="n">
        <v>2023</v>
      </c>
      <c r="K1" s="141" t="n">
        <v>2024</v>
      </c>
      <c r="L1" s="141" t="n">
        <v>2025</v>
      </c>
      <c r="M1" s="141" t="n">
        <v>2026</v>
      </c>
      <c r="N1" s="191" t="inlineStr">
        <is>
          <t>5yr CAGR</t>
        </is>
      </c>
      <c r="O1" s="191" t="inlineStr">
        <is>
          <t>2019YoY</t>
        </is>
      </c>
      <c r="P1" s="191" t="inlineStr">
        <is>
          <t>2020YoY</t>
        </is>
      </c>
      <c r="Q1" s="191" t="inlineStr">
        <is>
          <t>2021YoY</t>
        </is>
      </c>
      <c r="R1" s="191" t="inlineStr">
        <is>
          <t>2022YoY</t>
        </is>
      </c>
      <c r="S1" s="191" t="inlineStr">
        <is>
          <t>2023YoY</t>
        </is>
      </c>
      <c r="T1" s="191" t="inlineStr">
        <is>
          <t>2024YoY</t>
        </is>
      </c>
      <c r="U1" s="191" t="inlineStr">
        <is>
          <t>2025YoY</t>
        </is>
      </c>
      <c r="V1" s="191" t="inlineStr">
        <is>
          <t>2026YoY</t>
        </is>
      </c>
    </row>
    <row r="2">
      <c r="A2" s="170" t="inlineStr">
        <is>
          <t>市場總計</t>
        </is>
      </c>
      <c r="B2" s="172" t="n">
        <v>998</v>
      </c>
      <c r="C2" s="172" t="n">
        <v>1033</v>
      </c>
      <c r="D2" s="172" t="n">
        <v>1065</v>
      </c>
      <c r="E2" s="172" t="n">
        <v>1101</v>
      </c>
      <c r="F2" s="172" t="n">
        <v>1139</v>
      </c>
      <c r="G2" s="171">
        <f>IFERROR(G15/G18/10000,"")</f>
        <v/>
      </c>
      <c r="H2" s="171">
        <f>IFERROR(H15/H18/10000,"")</f>
        <v/>
      </c>
      <c r="I2" s="171">
        <f>IFERROR(I15/I18/10000,"")</f>
        <v/>
      </c>
      <c r="J2" s="171">
        <f>IFERROR(J15/J18/10000,"")</f>
        <v/>
      </c>
      <c r="K2" s="171">
        <f>IFERROR(K15/K18/10000,"")</f>
        <v/>
      </c>
      <c r="L2" s="74">
        <f>IFERROR(L15/L18/10000,"")</f>
        <v/>
      </c>
      <c r="M2" s="74">
        <f>IFERROR(M15/M18/10000,"")</f>
        <v/>
      </c>
      <c r="N2" s="180">
        <f>IFERROR((L2/H2)^(1/4)-1,"")</f>
        <v/>
      </c>
      <c r="O2" s="180" t="n"/>
      <c r="P2" s="180" t="n"/>
      <c r="Q2" s="180" t="n"/>
      <c r="R2" s="180" t="n"/>
      <c r="S2" s="180" t="n"/>
      <c r="T2" s="180" t="n"/>
      <c r="U2" s="180">
        <f>IFERROR((L2-K2)/K2,"")</f>
        <v/>
      </c>
      <c r="V2" s="180">
        <f>IFERROR((M2-L2)/L2,"")</f>
        <v/>
      </c>
    </row>
    <row r="3">
      <c r="N3" s="192" t="n"/>
      <c r="O3" s="192" t="n"/>
      <c r="P3" s="192" t="n"/>
      <c r="Q3" s="192" t="n"/>
    </row>
    <row r="4">
      <c r="A4" s="69" t="inlineStr">
        <is>
          <t>流通卡(張)</t>
        </is>
      </c>
      <c r="B4" s="141">
        <f>B$1</f>
        <v/>
      </c>
      <c r="C4" s="141">
        <f>C$1</f>
        <v/>
      </c>
      <c r="D4" s="141">
        <f>D$1</f>
        <v/>
      </c>
      <c r="E4" s="141">
        <f>E$1</f>
        <v/>
      </c>
      <c r="F4" s="141">
        <f>F$1</f>
        <v/>
      </c>
      <c r="G4" s="141">
        <f>G$1</f>
        <v/>
      </c>
      <c r="H4" s="141">
        <f>H$1</f>
        <v/>
      </c>
      <c r="I4" s="141">
        <f>I$1</f>
        <v/>
      </c>
      <c r="J4" s="141">
        <f>J$1</f>
        <v/>
      </c>
      <c r="K4" s="141">
        <f>K$1</f>
        <v/>
      </c>
      <c r="L4" s="141">
        <f>L$1</f>
        <v/>
      </c>
      <c r="M4" s="141">
        <f>M$1</f>
        <v/>
      </c>
      <c r="N4" s="141">
        <f>N$1</f>
        <v/>
      </c>
      <c r="O4" s="141">
        <f>O$1</f>
        <v/>
      </c>
      <c r="P4" s="141">
        <f>P$1</f>
        <v/>
      </c>
      <c r="Q4" s="141">
        <f>Q$1</f>
        <v/>
      </c>
      <c r="R4" s="141">
        <f>R$1</f>
        <v/>
      </c>
      <c r="S4" s="141">
        <f>S$1</f>
        <v/>
      </c>
      <c r="T4" s="141">
        <f>T$1</f>
        <v/>
      </c>
      <c r="U4" s="141">
        <f>U$1</f>
        <v/>
      </c>
      <c r="V4" s="141">
        <f>V$1</f>
        <v/>
      </c>
    </row>
    <row r="5">
      <c r="A5" s="172" t="inlineStr">
        <is>
          <t>中信</t>
        </is>
      </c>
      <c r="B5" s="172">
        <f t="array" ref="B5">_xlfn.XLOOKUP(1,(creditcard[YYYYMM]=B$4&amp;"--")*(creditcard[Bank]=$A5),creditcard[流通卡數],"")</f>
        <v/>
      </c>
      <c r="C5" s="172">
        <f t="array" ref="C5">_xlfn.XLOOKUP(1,(creditcard[YYYYMM]=C$4&amp;"--")*(creditcard[Bank]=$A5),creditcard[流通卡數],"")</f>
        <v/>
      </c>
      <c r="D5" s="172">
        <f t="array" ref="D5">_xlfn.XLOOKUP(1,(creditcard[YYYYMM]=D$4&amp;"--")*(creditcard[Bank]=$A5),creditcard[流通卡數],"")</f>
        <v/>
      </c>
      <c r="E5" s="172">
        <f t="array" ref="E5">_xlfn.XLOOKUP(1,(creditcard[YYYYMM]=E$4&amp;"--")*(creditcard[Bank]=$A5),creditcard[流通卡數],"")</f>
        <v/>
      </c>
      <c r="F5" s="172">
        <f t="array" ref="F5">_xlfn.XLOOKUP(1,(creditcard[YYYYMM]=F$4&amp;"--")*(creditcard[Bank]=$A5),creditcard[流通卡數],"")</f>
        <v/>
      </c>
      <c r="G5" s="172">
        <f t="array" ref="G5">_xlfn.XLOOKUP(1,(creditcard[YYYYMM]=G$4&amp;"--")*(creditcard[Bank]=$A5),creditcard[流通卡數],"")</f>
        <v/>
      </c>
      <c r="H5" s="172">
        <f t="array" ref="H5">_xlfn.XLOOKUP(1,(creditcard[YYYYMM]=H$4&amp;"--")*(creditcard[Bank]=$A5),creditcard[流通卡數],"")</f>
        <v/>
      </c>
      <c r="I5" s="172">
        <f t="array" ref="I5">_xlfn.XLOOKUP(1,(creditcard[YYYYMM]=I$4&amp;"--")*(creditcard[Bank]=$A5),creditcard[流通卡數],"")</f>
        <v/>
      </c>
      <c r="J5" s="172">
        <f t="array" ref="J5">_xlfn.XLOOKUP(1,(creditcard[YYYYMM]=J$4&amp;"--")*(creditcard[Bank]=$A5),creditcard[流通卡數],"")</f>
        <v/>
      </c>
      <c r="K5" s="172">
        <f t="array" ref="K5">_xlfn.XLOOKUP(1,(creditcard[YYYYMM]=K$4&amp;"--")*(creditcard[Bank]=$A5),creditcard[流通卡數],"")</f>
        <v/>
      </c>
      <c r="L5" s="172">
        <f t="array" ref="L5">_xlfn.XLOOKUP(1,(creditcard[YYYYMM]=L$4&amp;"--")*(creditcard[Bank]=$A5),creditcard[流通卡數],"")</f>
        <v/>
      </c>
      <c r="M5" s="172">
        <f t="array" ref="M5">_xlfn.XLOOKUP(1,(creditcard[YYYYMM]=M$4&amp;"--")*(creditcard[Bank]=$A5),creditcard[流通卡數],"")</f>
        <v/>
      </c>
      <c r="N5" s="180">
        <f>IFERROR((L5/H5)^(1/4)-1,"")</f>
        <v/>
      </c>
      <c r="O5" s="180">
        <f>IFERROR(F5/E5-1,"")</f>
        <v/>
      </c>
      <c r="P5" s="180">
        <f>IFERROR((G5-F5)/F5,"")</f>
        <v/>
      </c>
      <c r="Q5" s="180">
        <f>IFERROR((H5-G5)/G5,"")</f>
        <v/>
      </c>
      <c r="R5" s="180">
        <f>IFERROR((I5-H5)/H5,"")</f>
        <v/>
      </c>
      <c r="S5" s="180">
        <f>IFERROR((J5-I5)/I5,"")</f>
        <v/>
      </c>
      <c r="T5" s="180">
        <f>IFERROR((K5-J5)/J5,"")</f>
        <v/>
      </c>
      <c r="U5" s="180">
        <f>IFERROR((L5-K5)/K5,"")</f>
        <v/>
      </c>
      <c r="V5" s="180">
        <f>IFERROR((M5-L5)/L5,"")</f>
        <v/>
      </c>
    </row>
    <row r="6">
      <c r="A6" s="174" t="inlineStr">
        <is>
          <t>富邦</t>
        </is>
      </c>
      <c r="B6" s="172">
        <f t="array" ref="B6">_xlfn.XLOOKUP(1,(creditcard[YYYYMM]=B$4&amp;"--")*(creditcard[Bank]=$A6),creditcard[流通卡數],"")</f>
        <v/>
      </c>
      <c r="C6" s="172">
        <f t="array" ref="C6">_xlfn.XLOOKUP(1,(creditcard[YYYYMM]=C$4&amp;"--")*(creditcard[Bank]=$A6),creditcard[流通卡數],"")</f>
        <v/>
      </c>
      <c r="D6" s="172">
        <f t="array" ref="D6">_xlfn.XLOOKUP(1,(creditcard[YYYYMM]=D$4&amp;"--")*(creditcard[Bank]=$A6),creditcard[流通卡數],"")</f>
        <v/>
      </c>
      <c r="E6" s="172">
        <f t="array" ref="E6">_xlfn.XLOOKUP(1,(creditcard[YYYYMM]=E$4&amp;"--")*(creditcard[Bank]=$A6),creditcard[流通卡數],"")</f>
        <v/>
      </c>
      <c r="F6" s="172">
        <f t="array" ref="F6">_xlfn.XLOOKUP(1,(creditcard[YYYYMM]=F$4&amp;"--")*(creditcard[Bank]=$A6),creditcard[流通卡數],"")</f>
        <v/>
      </c>
      <c r="G6" s="172">
        <f t="array" ref="G6">_xlfn.XLOOKUP(1,(creditcard[YYYYMM]=G$4&amp;"--")*(creditcard[Bank]=$A6),creditcard[流通卡數],"")</f>
        <v/>
      </c>
      <c r="H6" s="172">
        <f t="array" ref="H6">_xlfn.XLOOKUP(1,(creditcard[YYYYMM]=H$4&amp;"--")*(creditcard[Bank]=$A6),creditcard[流通卡數],"")</f>
        <v/>
      </c>
      <c r="I6" s="172">
        <f t="array" ref="I6">_xlfn.XLOOKUP(1,(creditcard[YYYYMM]=I$4&amp;"--")*(creditcard[Bank]=$A6),creditcard[流通卡數],"")</f>
        <v/>
      </c>
      <c r="J6" s="172">
        <f t="array" ref="J6">_xlfn.XLOOKUP(1,(creditcard[YYYYMM]=J$4&amp;"--")*(creditcard[Bank]=$A6),creditcard[流通卡數],"")</f>
        <v/>
      </c>
      <c r="K6" s="172">
        <f t="array" ref="K6">_xlfn.XLOOKUP(1,(creditcard[YYYYMM]=K$4&amp;"--")*(creditcard[Bank]=$A6),creditcard[流通卡數],"")</f>
        <v/>
      </c>
      <c r="L6" s="172">
        <f t="array" ref="L6">_xlfn.XLOOKUP(1,(creditcard[YYYYMM]=L$4&amp;"--")*(creditcard[Bank]=$A6),creditcard[流通卡數],"")</f>
        <v/>
      </c>
      <c r="M6" s="172">
        <f t="array" ref="M6">_xlfn.XLOOKUP(1,(creditcard[YYYYMM]=M$4&amp;"--")*(creditcard[Bank]=$A6),creditcard[流通卡數],"")</f>
        <v/>
      </c>
      <c r="N6" s="180">
        <f>IFERROR((L6/H6)^(1/4)-1,"")</f>
        <v/>
      </c>
      <c r="O6" s="180">
        <f>IFERROR(F6/E6-1,"")</f>
        <v/>
      </c>
      <c r="P6" s="180">
        <f>IFERROR((G6-F6)/F6,"")</f>
        <v/>
      </c>
      <c r="Q6" s="180">
        <f>IFERROR((H6-G6)/G6,"")</f>
        <v/>
      </c>
      <c r="R6" s="180">
        <f>IFERROR((I6-H6)/H6,"")</f>
        <v/>
      </c>
      <c r="S6" s="180">
        <f>IFERROR((J6-I6)/I6,"")</f>
        <v/>
      </c>
      <c r="T6" s="180">
        <f>IFERROR((K6-J6)/J6,"")</f>
        <v/>
      </c>
      <c r="U6" s="180">
        <f>IFERROR((L6-K6)/K6,"")</f>
        <v/>
      </c>
      <c r="V6" s="180">
        <f>IFERROR((M6-L6)/L6,"")</f>
        <v/>
      </c>
    </row>
    <row r="7">
      <c r="A7" s="174" t="inlineStr">
        <is>
          <t>國泰</t>
        </is>
      </c>
      <c r="B7" s="172">
        <f t="array" ref="B7">_xlfn.XLOOKUP(1,(creditcard[YYYYMM]=B$4&amp;"--")*(creditcard[Bank]=$A7),creditcard[流通卡數],"")</f>
        <v/>
      </c>
      <c r="C7" s="172">
        <f t="array" ref="C7">_xlfn.XLOOKUP(1,(creditcard[YYYYMM]=C$4&amp;"--")*(creditcard[Bank]=$A7),creditcard[流通卡數],"")</f>
        <v/>
      </c>
      <c r="D7" s="172">
        <f t="array" ref="D7">_xlfn.XLOOKUP(1,(creditcard[YYYYMM]=D$4&amp;"--")*(creditcard[Bank]=$A7),creditcard[流通卡數],"")</f>
        <v/>
      </c>
      <c r="E7" s="172">
        <f t="array" ref="E7">_xlfn.XLOOKUP(1,(creditcard[YYYYMM]=E$4&amp;"--")*(creditcard[Bank]=$A7),creditcard[流通卡數],"")</f>
        <v/>
      </c>
      <c r="F7" s="172">
        <f t="array" ref="F7">_xlfn.XLOOKUP(1,(creditcard[YYYYMM]=F$4&amp;"--")*(creditcard[Bank]=$A7),creditcard[流通卡數],"")</f>
        <v/>
      </c>
      <c r="G7" s="172">
        <f t="array" ref="G7">_xlfn.XLOOKUP(1,(creditcard[YYYYMM]=G$4&amp;"--")*(creditcard[Bank]=$A7),creditcard[流通卡數],"")</f>
        <v/>
      </c>
      <c r="H7" s="172">
        <f t="array" ref="H7">_xlfn.XLOOKUP(1,(creditcard[YYYYMM]=H$4&amp;"--")*(creditcard[Bank]=$A7),creditcard[流通卡數],"")</f>
        <v/>
      </c>
      <c r="I7" s="172">
        <f t="array" ref="I7">_xlfn.XLOOKUP(1,(creditcard[YYYYMM]=I$4&amp;"--")*(creditcard[Bank]=$A7),creditcard[流通卡數],"")</f>
        <v/>
      </c>
      <c r="J7" s="172">
        <f t="array" ref="J7">_xlfn.XLOOKUP(1,(creditcard[YYYYMM]=J$4&amp;"--")*(creditcard[Bank]=$A7),creditcard[流通卡數],"")</f>
        <v/>
      </c>
      <c r="K7" s="172">
        <f t="array" ref="K7">_xlfn.XLOOKUP(1,(creditcard[YYYYMM]=K$4&amp;"--")*(creditcard[Bank]=$A7),creditcard[流通卡數],"")</f>
        <v/>
      </c>
      <c r="L7" s="172">
        <f t="array" ref="L7">_xlfn.XLOOKUP(1,(creditcard[YYYYMM]=L$4&amp;"--")*(creditcard[Bank]=$A7),creditcard[流通卡數],"")</f>
        <v/>
      </c>
      <c r="M7" s="172">
        <f t="array" ref="M7">_xlfn.XLOOKUP(1,(creditcard[YYYYMM]=M$4&amp;"--")*(creditcard[Bank]=$A7),creditcard[流通卡數],"")</f>
        <v/>
      </c>
      <c r="N7" s="180">
        <f>IFERROR((L7/H7)^(1/4)-1,"")</f>
        <v/>
      </c>
      <c r="O7" s="180">
        <f>IFERROR(F7/E7-1,"")</f>
        <v/>
      </c>
      <c r="P7" s="180">
        <f>IFERROR((G7-F7)/F7,"")</f>
        <v/>
      </c>
      <c r="Q7" s="180">
        <f>IFERROR((H7-G7)/G7,"")</f>
        <v/>
      </c>
      <c r="R7" s="180">
        <f>IFERROR((I7-H7)/H7,"")</f>
        <v/>
      </c>
      <c r="S7" s="180">
        <f>IFERROR((J7-I7)/I7,"")</f>
        <v/>
      </c>
      <c r="T7" s="180">
        <f>IFERROR((K7-J7)/J7,"")</f>
        <v/>
      </c>
      <c r="U7" s="180">
        <f>IFERROR((L7-K7)/K7,"")</f>
        <v/>
      </c>
      <c r="V7" s="180">
        <f>IFERROR((M7-L7)/L7,"")</f>
        <v/>
      </c>
    </row>
    <row r="8">
      <c r="A8" s="174" t="inlineStr">
        <is>
          <t>玉山</t>
        </is>
      </c>
      <c r="B8" s="172">
        <f t="array" ref="B8">_xlfn.XLOOKUP(1,(creditcard[YYYYMM]=B$4&amp;"--")*(creditcard[Bank]=$A8),creditcard[流通卡數],"")</f>
        <v/>
      </c>
      <c r="C8" s="172">
        <f t="array" ref="C8">_xlfn.XLOOKUP(1,(creditcard[YYYYMM]=C$4&amp;"--")*(creditcard[Bank]=$A8),creditcard[流通卡數],"")</f>
        <v/>
      </c>
      <c r="D8" s="172">
        <f t="array" ref="D8">_xlfn.XLOOKUP(1,(creditcard[YYYYMM]=D$4&amp;"--")*(creditcard[Bank]=$A8),creditcard[流通卡數],"")</f>
        <v/>
      </c>
      <c r="E8" s="172">
        <f t="array" ref="E8">_xlfn.XLOOKUP(1,(creditcard[YYYYMM]=E$4&amp;"--")*(creditcard[Bank]=$A8),creditcard[流通卡數],"")</f>
        <v/>
      </c>
      <c r="F8" s="172">
        <f t="array" ref="F8">_xlfn.XLOOKUP(1,(creditcard[YYYYMM]=F$4&amp;"--")*(creditcard[Bank]=$A8),creditcard[流通卡數],"")</f>
        <v/>
      </c>
      <c r="G8" s="172">
        <f t="array" ref="G8">_xlfn.XLOOKUP(1,(creditcard[YYYYMM]=G$4&amp;"--")*(creditcard[Bank]=$A8),creditcard[流通卡數],"")</f>
        <v/>
      </c>
      <c r="H8" s="172">
        <f t="array" ref="H8">_xlfn.XLOOKUP(1,(creditcard[YYYYMM]=H$4&amp;"--")*(creditcard[Bank]=$A8),creditcard[流通卡數],"")</f>
        <v/>
      </c>
      <c r="I8" s="172">
        <f t="array" ref="I8">_xlfn.XLOOKUP(1,(creditcard[YYYYMM]=I$4&amp;"--")*(creditcard[Bank]=$A8),creditcard[流通卡數],"")</f>
        <v/>
      </c>
      <c r="J8" s="172">
        <f t="array" ref="J8">_xlfn.XLOOKUP(1,(creditcard[YYYYMM]=J$4&amp;"--")*(creditcard[Bank]=$A8),creditcard[流通卡數],"")</f>
        <v/>
      </c>
      <c r="K8" s="172">
        <f t="array" ref="K8">_xlfn.XLOOKUP(1,(creditcard[YYYYMM]=K$4&amp;"--")*(creditcard[Bank]=$A8),creditcard[流通卡數],"")</f>
        <v/>
      </c>
      <c r="L8" s="172">
        <f t="array" ref="L8">_xlfn.XLOOKUP(1,(creditcard[YYYYMM]=L$4&amp;"--")*(creditcard[Bank]=$A8),creditcard[流通卡數],"")</f>
        <v/>
      </c>
      <c r="M8" s="172">
        <f t="array" ref="M8">_xlfn.XLOOKUP(1,(creditcard[YYYYMM]=M$4&amp;"--")*(creditcard[Bank]=$A8),creditcard[流通卡數],"")</f>
        <v/>
      </c>
      <c r="N8" s="180">
        <f>IFERROR((L8/H8)^(1/4)-1,"")</f>
        <v/>
      </c>
      <c r="O8" s="180">
        <f>IFERROR(F8/E8-1,"")</f>
        <v/>
      </c>
      <c r="P8" s="180">
        <f>IFERROR((G8-F8)/F8,"")</f>
        <v/>
      </c>
      <c r="Q8" s="180">
        <f>IFERROR((H8-G8)/G8,"")</f>
        <v/>
      </c>
      <c r="R8" s="180">
        <f>IFERROR((I8-H8)/H8,"")</f>
        <v/>
      </c>
      <c r="S8" s="180">
        <f>IFERROR((J8-I8)/I8,"")</f>
        <v/>
      </c>
      <c r="T8" s="180">
        <f>IFERROR((K8-J8)/J8,"")</f>
        <v/>
      </c>
      <c r="U8" s="180">
        <f>IFERROR((L8-K8)/K8,"")</f>
        <v/>
      </c>
      <c r="V8" s="180">
        <f>IFERROR((M8-L8)/L8,"")</f>
        <v/>
      </c>
    </row>
    <row r="9">
      <c r="A9" s="174" t="inlineStr">
        <is>
          <t>台新</t>
        </is>
      </c>
      <c r="B9" s="172">
        <f t="array" ref="B9">_xlfn.XLOOKUP(1,(creditcard[YYYYMM]=B$4&amp;"--")*(creditcard[Bank]=$A9),creditcard[流通卡數],"")</f>
        <v/>
      </c>
      <c r="C9" s="172">
        <f t="array" ref="C9">_xlfn.XLOOKUP(1,(creditcard[YYYYMM]=C$4&amp;"--")*(creditcard[Bank]=$A9),creditcard[流通卡數],"")</f>
        <v/>
      </c>
      <c r="D9" s="172">
        <f t="array" ref="D9">_xlfn.XLOOKUP(1,(creditcard[YYYYMM]=D$4&amp;"--")*(creditcard[Bank]=$A9),creditcard[流通卡數],"")</f>
        <v/>
      </c>
      <c r="E9" s="172">
        <f t="array" ref="E9">_xlfn.XLOOKUP(1,(creditcard[YYYYMM]=E$4&amp;"--")*(creditcard[Bank]=$A9),creditcard[流通卡數],"")</f>
        <v/>
      </c>
      <c r="F9" s="172">
        <f t="array" ref="F9">_xlfn.XLOOKUP(1,(creditcard[YYYYMM]=F$4&amp;"--")*(creditcard[Bank]=$A9),creditcard[流通卡數],"")</f>
        <v/>
      </c>
      <c r="G9" s="172">
        <f t="array" ref="G9">_xlfn.XLOOKUP(1,(creditcard[YYYYMM]=G$4&amp;"--")*(creditcard[Bank]=$A9),creditcard[流通卡數],"")</f>
        <v/>
      </c>
      <c r="H9" s="172">
        <f t="array" ref="H9">_xlfn.XLOOKUP(1,(creditcard[YYYYMM]=H$4&amp;"--")*(creditcard[Bank]=$A9),creditcard[流通卡數],"")</f>
        <v/>
      </c>
      <c r="I9" s="172">
        <f t="array" ref="I9">_xlfn.XLOOKUP(1,(creditcard[YYYYMM]=I$4&amp;"--")*(creditcard[Bank]=$A9),creditcard[流通卡數],"")</f>
        <v/>
      </c>
      <c r="J9" s="172">
        <f t="array" ref="J9">_xlfn.XLOOKUP(1,(creditcard[YYYYMM]=J$4&amp;"--")*(creditcard[Bank]=$A9),creditcard[流通卡數],"")</f>
        <v/>
      </c>
      <c r="K9" s="172">
        <f t="array" ref="K9">_xlfn.XLOOKUP(1,(creditcard[YYYYMM]=K$4&amp;"--")*(creditcard[Bank]=$A9),creditcard[流通卡數],"")</f>
        <v/>
      </c>
      <c r="L9" s="172">
        <f t="array" ref="L9">_xlfn.XLOOKUP(1,(creditcard[YYYYMM]=L$4&amp;"--")*(creditcard[Bank]=$A9),creditcard[流通卡數],"")</f>
        <v/>
      </c>
      <c r="M9" s="172">
        <f t="array" ref="M9">_xlfn.XLOOKUP(1,(creditcard[YYYYMM]=M$4&amp;"--")*(creditcard[Bank]=$A9),creditcard[流通卡數],"")</f>
        <v/>
      </c>
      <c r="N9" s="180">
        <f>IFERROR((L9/H9)^(1/4)-1,"")</f>
        <v/>
      </c>
      <c r="O9" s="180">
        <f>IFERROR(F9/E9-1,"")</f>
        <v/>
      </c>
      <c r="P9" s="180">
        <f>IFERROR((G9-F9)/F9,"")</f>
        <v/>
      </c>
      <c r="Q9" s="180">
        <f>IFERROR((H9-G9)/G9,"")</f>
        <v/>
      </c>
      <c r="R9" s="180">
        <f>IFERROR((I9-H9)/H9,"")</f>
        <v/>
      </c>
      <c r="S9" s="180">
        <f>IFERROR((J9-I9)/I9,"")</f>
        <v/>
      </c>
      <c r="T9" s="180">
        <f>IFERROR((K9-J9)/J9,"")</f>
        <v/>
      </c>
      <c r="U9" s="180">
        <f>IFERROR((L9-K9)/K9,"")</f>
        <v/>
      </c>
      <c r="V9" s="180">
        <f>IFERROR((M9-L9)/L9,"")</f>
        <v/>
      </c>
    </row>
    <row r="10">
      <c r="A10" s="174" t="inlineStr">
        <is>
          <t>星展</t>
        </is>
      </c>
      <c r="B10" s="172">
        <f t="array" ref="B10">_xlfn.XLOOKUP(1,(creditcard[YYYYMM]=B$4&amp;"--")*(creditcard[Bank]=$A10),creditcard[流通卡數],"")</f>
        <v/>
      </c>
      <c r="C10" s="172">
        <f t="array" ref="C10">_xlfn.XLOOKUP(1,(creditcard[YYYYMM]=C$4&amp;"--")*(creditcard[Bank]=$A10),creditcard[流通卡數],"")</f>
        <v/>
      </c>
      <c r="D10" s="172">
        <f t="array" ref="D10">_xlfn.XLOOKUP(1,(creditcard[YYYYMM]=D$4&amp;"--")*(creditcard[Bank]=$A10),creditcard[流通卡數],"")</f>
        <v/>
      </c>
      <c r="E10" s="172">
        <f t="array" ref="E10">_xlfn.XLOOKUP(1,(creditcard[YYYYMM]=E$4&amp;"--")*(creditcard[Bank]=$A10),creditcard[流通卡數],"")</f>
        <v/>
      </c>
      <c r="F10" s="172">
        <f t="array" ref="F10">_xlfn.XLOOKUP(1,(creditcard[YYYYMM]=F$4&amp;"--")*(creditcard[Bank]=$A10),creditcard[流通卡數],"")</f>
        <v/>
      </c>
      <c r="G10" s="172">
        <f t="array" ref="G10">_xlfn.XLOOKUP(1,(creditcard[YYYYMM]=G$4&amp;"--")*(creditcard[Bank]=$A10),creditcard[流通卡數],"")</f>
        <v/>
      </c>
      <c r="H10" s="172">
        <f t="array" ref="H10">_xlfn.XLOOKUP(1,(creditcard[YYYYMM]=H$4&amp;"--")*(creditcard[Bank]=$A10),creditcard[流通卡數],"")</f>
        <v/>
      </c>
      <c r="I10" s="172">
        <f t="array" ref="I10">_xlfn.XLOOKUP(1,(creditcard[YYYYMM]=I$4&amp;"--")*(creditcard[Bank]=$A10),creditcard[流通卡數],"")</f>
        <v/>
      </c>
      <c r="J10" s="172">
        <f t="array" ref="J10">_xlfn.XLOOKUP(1,(creditcard[YYYYMM]=J$4&amp;"--")*(creditcard[Bank]=$A10),creditcard[流通卡數],"")</f>
        <v/>
      </c>
      <c r="K10" s="172">
        <f t="array" ref="K10">_xlfn.XLOOKUP(1,(creditcard[YYYYMM]=K$4&amp;"--")*(creditcard[Bank]=$A10),creditcard[流通卡數],"")</f>
        <v/>
      </c>
      <c r="L10" s="172">
        <f t="array" ref="L10">_xlfn.XLOOKUP(1,(creditcard[YYYYMM]=L$4&amp;"--")*(creditcard[Bank]=$A10),creditcard[流通卡數],"")</f>
        <v/>
      </c>
      <c r="M10" s="172">
        <f t="array" ref="M10">_xlfn.XLOOKUP(1,(creditcard[YYYYMM]=M$4&amp;"--")*(creditcard[Bank]=$A10),creditcard[流通卡數],"")</f>
        <v/>
      </c>
      <c r="N10" s="180">
        <f>IFERROR((L10/H10)^(1/4)-1,"")</f>
        <v/>
      </c>
      <c r="O10" s="180">
        <f>IFERROR(F10/E10-1,"")</f>
        <v/>
      </c>
      <c r="P10" s="180">
        <f>IFERROR((G10-F10)/F10,"")</f>
        <v/>
      </c>
      <c r="Q10" s="180">
        <f>IFERROR((H10-G10)/G10,"")</f>
        <v/>
      </c>
      <c r="R10" s="180">
        <f>IFERROR((I10-H10)/H10,"")</f>
        <v/>
      </c>
      <c r="S10" s="180">
        <f>IFERROR((J10-I10)/I10,"")</f>
        <v/>
      </c>
      <c r="T10" s="180">
        <f>IFERROR((K10-J10)/J10,"")</f>
        <v/>
      </c>
      <c r="U10" s="180">
        <f>IFERROR((L10-K10)/K10,"")</f>
        <v/>
      </c>
      <c r="V10" s="180">
        <f>IFERROR((M10-L10)/L10,"")</f>
        <v/>
      </c>
    </row>
    <row r="11">
      <c r="A11" s="174" t="inlineStr">
        <is>
          <t>聯邦</t>
        </is>
      </c>
      <c r="B11" s="172">
        <f t="array" ref="B11">_xlfn.XLOOKUP(1,(creditcard[YYYYMM]=B$4&amp;"--")*(creditcard[Bank]=$A11),creditcard[流通卡數],"")</f>
        <v/>
      </c>
      <c r="C11" s="172">
        <f t="array" ref="C11">_xlfn.XLOOKUP(1,(creditcard[YYYYMM]=C$4&amp;"--")*(creditcard[Bank]=$A11),creditcard[流通卡數],"")</f>
        <v/>
      </c>
      <c r="D11" s="172">
        <f t="array" ref="D11">_xlfn.XLOOKUP(1,(creditcard[YYYYMM]=D$4&amp;"--")*(creditcard[Bank]=$A11),creditcard[流通卡數],"")</f>
        <v/>
      </c>
      <c r="E11" s="172">
        <f t="array" ref="E11">_xlfn.XLOOKUP(1,(creditcard[YYYYMM]=E$4&amp;"--")*(creditcard[Bank]=$A11),creditcard[流通卡數],"")</f>
        <v/>
      </c>
      <c r="F11" s="172">
        <f t="array" ref="F11">_xlfn.XLOOKUP(1,(creditcard[YYYYMM]=F$4&amp;"--")*(creditcard[Bank]=$A11),creditcard[流通卡數],"")</f>
        <v/>
      </c>
      <c r="G11" s="172">
        <f t="array" ref="G11">_xlfn.XLOOKUP(1,(creditcard[YYYYMM]=G$4&amp;"--")*(creditcard[Bank]=$A11),creditcard[流通卡數],"")</f>
        <v/>
      </c>
      <c r="H11" s="172">
        <f t="array" ref="H11">_xlfn.XLOOKUP(1,(creditcard[YYYYMM]=H$4&amp;"--")*(creditcard[Bank]=$A11),creditcard[流通卡數],"")</f>
        <v/>
      </c>
      <c r="I11" s="172">
        <f t="array" ref="I11">_xlfn.XLOOKUP(1,(creditcard[YYYYMM]=I$4&amp;"--")*(creditcard[Bank]=$A11),creditcard[流通卡數],"")</f>
        <v/>
      </c>
      <c r="J11" s="172">
        <f t="array" ref="J11">_xlfn.XLOOKUP(1,(creditcard[YYYYMM]=J$4&amp;"--")*(creditcard[Bank]=$A11),creditcard[流通卡數],"")</f>
        <v/>
      </c>
      <c r="K11" s="172">
        <f t="array" ref="K11">_xlfn.XLOOKUP(1,(creditcard[YYYYMM]=K$4&amp;"--")*(creditcard[Bank]=$A11),creditcard[流通卡數],"")</f>
        <v/>
      </c>
      <c r="L11" s="172">
        <f t="array" ref="L11">_xlfn.XLOOKUP(1,(creditcard[YYYYMM]=L$4&amp;"--")*(creditcard[Bank]=$A11),creditcard[流通卡數],"")</f>
        <v/>
      </c>
      <c r="M11" s="172">
        <f t="array" ref="M11">_xlfn.XLOOKUP(1,(creditcard[YYYYMM]=M$4&amp;"--")*(creditcard[Bank]=$A11),creditcard[流通卡數],"")</f>
        <v/>
      </c>
      <c r="N11" s="180">
        <f>IFERROR((L11/H11)^(1/4)-1,"")</f>
        <v/>
      </c>
      <c r="O11" s="180">
        <f>IFERROR(F11/E11-1,"")</f>
        <v/>
      </c>
      <c r="P11" s="180">
        <f>IFERROR((G11-F11)/F11,"")</f>
        <v/>
      </c>
      <c r="Q11" s="180">
        <f>IFERROR((H11-G11)/G11,"")</f>
        <v/>
      </c>
      <c r="R11" s="180">
        <f>IFERROR((I11-H11)/H11,"")</f>
        <v/>
      </c>
      <c r="S11" s="180">
        <f>IFERROR((J11-I11)/I11,"")</f>
        <v/>
      </c>
      <c r="T11" s="180">
        <f>IFERROR((K11-J11)/J11,"")</f>
        <v/>
      </c>
      <c r="U11" s="180">
        <f>IFERROR((L11-K11)/K11,"")</f>
        <v/>
      </c>
      <c r="V11" s="180">
        <f>IFERROR((M11-L11)/L11,"")</f>
        <v/>
      </c>
    </row>
    <row r="12">
      <c r="A12" s="174" t="inlineStr">
        <is>
          <t>永豐</t>
        </is>
      </c>
      <c r="B12" s="172">
        <f t="array" ref="B12">_xlfn.XLOOKUP(1,(creditcard[YYYYMM]=B$4&amp;"--")*(creditcard[Bank]=$A12),creditcard[流通卡數],"")</f>
        <v/>
      </c>
      <c r="C12" s="172">
        <f t="array" ref="C12">_xlfn.XLOOKUP(1,(creditcard[YYYYMM]=C$4&amp;"--")*(creditcard[Bank]=$A12),creditcard[流通卡數],"")</f>
        <v/>
      </c>
      <c r="D12" s="172">
        <f t="array" ref="D12">_xlfn.XLOOKUP(1,(creditcard[YYYYMM]=D$4&amp;"--")*(creditcard[Bank]=$A12),creditcard[流通卡數],"")</f>
        <v/>
      </c>
      <c r="E12" s="172">
        <f t="array" ref="E12">_xlfn.XLOOKUP(1,(creditcard[YYYYMM]=E$4&amp;"--")*(creditcard[Bank]=$A12),creditcard[流通卡數],"")</f>
        <v/>
      </c>
      <c r="F12" s="172">
        <f t="array" ref="F12">_xlfn.XLOOKUP(1,(creditcard[YYYYMM]=F$4&amp;"--")*(creditcard[Bank]=$A12),creditcard[流通卡數],"")</f>
        <v/>
      </c>
      <c r="G12" s="172">
        <f t="array" ref="G12">_xlfn.XLOOKUP(1,(creditcard[YYYYMM]=G$4&amp;"--")*(creditcard[Bank]=$A12),creditcard[流通卡數],"")</f>
        <v/>
      </c>
      <c r="H12" s="172">
        <f t="array" ref="H12">_xlfn.XLOOKUP(1,(creditcard[YYYYMM]=H$4&amp;"--")*(creditcard[Bank]=$A12),creditcard[流通卡數],"")</f>
        <v/>
      </c>
      <c r="I12" s="172">
        <f t="array" ref="I12">_xlfn.XLOOKUP(1,(creditcard[YYYYMM]=I$4&amp;"--")*(creditcard[Bank]=$A12),creditcard[流通卡數],"")</f>
        <v/>
      </c>
      <c r="J12" s="172">
        <f t="array" ref="J12">_xlfn.XLOOKUP(1,(creditcard[YYYYMM]=J$4&amp;"--")*(creditcard[Bank]=$A12),creditcard[流通卡數],"")</f>
        <v/>
      </c>
      <c r="K12" s="172">
        <f t="array" ref="K12">_xlfn.XLOOKUP(1,(creditcard[YYYYMM]=K$4&amp;"--")*(creditcard[Bank]=$A12),creditcard[流通卡數],"")</f>
        <v/>
      </c>
      <c r="L12" s="172">
        <f t="array" ref="L12">_xlfn.XLOOKUP(1,(creditcard[YYYYMM]=L$4&amp;"--")*(creditcard[Bank]=$A12),creditcard[流通卡數],"")</f>
        <v/>
      </c>
      <c r="M12" s="172">
        <f t="array" ref="M12">_xlfn.XLOOKUP(1,(creditcard[YYYYMM]=M$4&amp;"--")*(creditcard[Bank]=$A12),creditcard[流通卡數],"")</f>
        <v/>
      </c>
      <c r="N12" s="180">
        <f>IFERROR((L12/H12)^(1/4)-1,"")</f>
        <v/>
      </c>
      <c r="O12" s="180">
        <f>IFERROR(F12/E12-1,"")</f>
        <v/>
      </c>
      <c r="P12" s="180">
        <f>IFERROR((G12-F12)/F12,"")</f>
        <v/>
      </c>
      <c r="Q12" s="180">
        <f>IFERROR((H12-G12)/G12,"")</f>
        <v/>
      </c>
      <c r="R12" s="180">
        <f>IFERROR((I12-H12)/H12,"")</f>
        <v/>
      </c>
      <c r="S12" s="180">
        <f>IFERROR((J12-I12)/I12,"")</f>
        <v/>
      </c>
      <c r="T12" s="180">
        <f>IFERROR((K12-J12)/J12,"")</f>
        <v/>
      </c>
      <c r="U12" s="180">
        <f>IFERROR((L12-K12)/K12,"")</f>
        <v/>
      </c>
      <c r="V12" s="180">
        <f>IFERROR((M12-L12)/L12,"")</f>
        <v/>
      </c>
    </row>
    <row r="13">
      <c r="A13" s="174" t="inlineStr">
        <is>
          <t>第一</t>
        </is>
      </c>
      <c r="B13" s="172">
        <f t="array" ref="B13">_xlfn.XLOOKUP(1,(creditcard[YYYYMM]=B$4&amp;"--")*(creditcard[Bank]=$A13),creditcard[流通卡數],"")</f>
        <v/>
      </c>
      <c r="C13" s="172">
        <f t="array" ref="C13">_xlfn.XLOOKUP(1,(creditcard[YYYYMM]=C$4&amp;"--")*(creditcard[Bank]=$A13),creditcard[流通卡數],"")</f>
        <v/>
      </c>
      <c r="D13" s="172">
        <f t="array" ref="D13">_xlfn.XLOOKUP(1,(creditcard[YYYYMM]=D$4&amp;"--")*(creditcard[Bank]=$A13),creditcard[流通卡數],"")</f>
        <v/>
      </c>
      <c r="E13" s="172">
        <f t="array" ref="E13">_xlfn.XLOOKUP(1,(creditcard[YYYYMM]=E$4&amp;"--")*(creditcard[Bank]=$A13),creditcard[流通卡數],"")</f>
        <v/>
      </c>
      <c r="F13" s="172">
        <f t="array" ref="F13">_xlfn.XLOOKUP(1,(creditcard[YYYYMM]=F$4&amp;"--")*(creditcard[Bank]=$A13),creditcard[流通卡數],"")</f>
        <v/>
      </c>
      <c r="G13" s="172">
        <f t="array" ref="G13">_xlfn.XLOOKUP(1,(creditcard[YYYYMM]=G$4&amp;"--")*(creditcard[Bank]=$A13),creditcard[流通卡數],"")</f>
        <v/>
      </c>
      <c r="H13" s="172">
        <f t="array" ref="H13">_xlfn.XLOOKUP(1,(creditcard[YYYYMM]=H$4&amp;"--")*(creditcard[Bank]=$A13),creditcard[流通卡數],"")</f>
        <v/>
      </c>
      <c r="I13" s="172">
        <f t="array" ref="I13">_xlfn.XLOOKUP(1,(creditcard[YYYYMM]=I$4&amp;"--")*(creditcard[Bank]=$A13),creditcard[流通卡數],"")</f>
        <v/>
      </c>
      <c r="J13" s="172">
        <f t="array" ref="J13">_xlfn.XLOOKUP(1,(creditcard[YYYYMM]=J$4&amp;"--")*(creditcard[Bank]=$A13),creditcard[流通卡數],"")</f>
        <v/>
      </c>
      <c r="K13" s="172">
        <f t="array" ref="K13">_xlfn.XLOOKUP(1,(creditcard[YYYYMM]=K$4&amp;"--")*(creditcard[Bank]=$A13),creditcard[流通卡數],"")</f>
        <v/>
      </c>
      <c r="L13" s="172">
        <f t="array" ref="L13">_xlfn.XLOOKUP(1,(creditcard[YYYYMM]=L$4&amp;"--")*(creditcard[Bank]=$A13),creditcard[流通卡數],"")</f>
        <v/>
      </c>
      <c r="M13" s="172">
        <f t="array" ref="M13">_xlfn.XLOOKUP(1,(creditcard[YYYYMM]=M$4&amp;"--")*(creditcard[Bank]=$A13),creditcard[流通卡數],"")</f>
        <v/>
      </c>
      <c r="N13" s="180">
        <f>IFERROR((L13/H13)^(1/4)-1,"")</f>
        <v/>
      </c>
      <c r="O13" s="180">
        <f>IFERROR(F13/E13-1,"")</f>
        <v/>
      </c>
      <c r="P13" s="180">
        <f>IFERROR((G13-F13)/F13,"")</f>
        <v/>
      </c>
      <c r="Q13" s="180">
        <f>IFERROR((H13-G13)/G13,"")</f>
        <v/>
      </c>
      <c r="R13" s="180">
        <f>IFERROR((I13-H13)/H13,"")</f>
        <v/>
      </c>
      <c r="S13" s="180">
        <f>IFERROR((J13-I13)/I13,"")</f>
        <v/>
      </c>
      <c r="T13" s="180">
        <f>IFERROR((K13-J13)/J13,"")</f>
        <v/>
      </c>
      <c r="U13" s="180">
        <f>IFERROR((L13-K13)/K13,"")</f>
        <v/>
      </c>
      <c r="V13" s="180">
        <f>IFERROR((M13-L13)/L13,"")</f>
        <v/>
      </c>
    </row>
    <row r="14">
      <c r="A14" s="174" t="inlineStr">
        <is>
          <t>遠東</t>
        </is>
      </c>
      <c r="B14" s="172">
        <f t="array" ref="B14">_xlfn.XLOOKUP(1,(creditcard[YYYYMM]=B$4&amp;"--")*(creditcard[Bank]=$A14),creditcard[流通卡數],"")</f>
        <v/>
      </c>
      <c r="C14" s="172">
        <f t="array" ref="C14">_xlfn.XLOOKUP(1,(creditcard[YYYYMM]=C$4&amp;"--")*(creditcard[Bank]=$A14),creditcard[流通卡數],"")</f>
        <v/>
      </c>
      <c r="D14" s="172">
        <f t="array" ref="D14">_xlfn.XLOOKUP(1,(creditcard[YYYYMM]=D$4&amp;"--")*(creditcard[Bank]=$A14),creditcard[流通卡數],"")</f>
        <v/>
      </c>
      <c r="E14" s="172">
        <f t="array" ref="E14">_xlfn.XLOOKUP(1,(creditcard[YYYYMM]=E$4&amp;"--")*(creditcard[Bank]=$A14),creditcard[流通卡數],"")</f>
        <v/>
      </c>
      <c r="F14" s="172">
        <f t="array" ref="F14">_xlfn.XLOOKUP(1,(creditcard[YYYYMM]=F$4&amp;"--")*(creditcard[Bank]=$A14),creditcard[流通卡數],"")</f>
        <v/>
      </c>
      <c r="G14" s="172">
        <f t="array" ref="G14">_xlfn.XLOOKUP(1,(creditcard[YYYYMM]=G$4&amp;"--")*(creditcard[Bank]=$A14),creditcard[流通卡數],"")</f>
        <v/>
      </c>
      <c r="H14" s="172">
        <f t="array" ref="H14">_xlfn.XLOOKUP(1,(creditcard[YYYYMM]=H$4&amp;"--")*(creditcard[Bank]=$A14),creditcard[流通卡數],"")</f>
        <v/>
      </c>
      <c r="I14" s="172">
        <f t="array" ref="I14">_xlfn.XLOOKUP(1,(creditcard[YYYYMM]=I$4&amp;"--")*(creditcard[Bank]=$A14),creditcard[流通卡數],"")</f>
        <v/>
      </c>
      <c r="J14" s="172">
        <f t="array" ref="J14">_xlfn.XLOOKUP(1,(creditcard[YYYYMM]=J$4&amp;"--")*(creditcard[Bank]=$A14),creditcard[流通卡數],"")</f>
        <v/>
      </c>
      <c r="K14" s="172">
        <f t="array" ref="K14">_xlfn.XLOOKUP(1,(creditcard[YYYYMM]=K$4&amp;"--")*(creditcard[Bank]=$A14),creditcard[流通卡數],"")</f>
        <v/>
      </c>
      <c r="L14" s="172">
        <f t="array" ref="L14">_xlfn.XLOOKUP(1,(creditcard[YYYYMM]=L$4&amp;"--")*(creditcard[Bank]=$A14),creditcard[流通卡數],"")</f>
        <v/>
      </c>
      <c r="M14" s="172">
        <f t="array" ref="M14">_xlfn.XLOOKUP(1,(creditcard[YYYYMM]=M$4&amp;"--")*(creditcard[Bank]=$A14),creditcard[流通卡數],"")</f>
        <v/>
      </c>
      <c r="N14" s="180">
        <f>IFERROR((L14/H14)^(1/4)-1,"")</f>
        <v/>
      </c>
      <c r="O14" s="180">
        <f>IFERROR(F14/E14-1,"")</f>
        <v/>
      </c>
      <c r="P14" s="180">
        <f>IFERROR((G14-F14)/F14,"")</f>
        <v/>
      </c>
      <c r="Q14" s="180">
        <f>IFERROR((H14-G14)/G14,"")</f>
        <v/>
      </c>
      <c r="R14" s="180">
        <f>IFERROR((I14-H14)/H14,"")</f>
        <v/>
      </c>
      <c r="S14" s="180">
        <f>IFERROR((J14-I14)/I14,"")</f>
        <v/>
      </c>
      <c r="T14" s="180">
        <f>IFERROR((K14-J14)/J14,"")</f>
        <v/>
      </c>
      <c r="U14" s="180">
        <f>IFERROR((L14-K14)/K14,"")</f>
        <v/>
      </c>
      <c r="V14" s="180">
        <f>IFERROR((M14-L14)/L14,"")</f>
        <v/>
      </c>
    </row>
    <row r="15">
      <c r="A15" s="170" t="inlineStr">
        <is>
          <t>市場總計</t>
        </is>
      </c>
      <c r="B15" s="170">
        <f t="array" ref="B15">_xlfn.XLOOKUP(1,(creditcard[YYYYMM]=B$4&amp;"--")*(creditcard[Bank]=$A15),creditcard[流通卡數],"")</f>
        <v/>
      </c>
      <c r="C15" s="170">
        <f t="array" ref="C15">_xlfn.XLOOKUP(1,(creditcard[YYYYMM]=C$4&amp;"--")*(creditcard[Bank]=$A15),creditcard[流通卡數],"")</f>
        <v/>
      </c>
      <c r="D15" s="170">
        <f t="array" ref="D15">_xlfn.XLOOKUP(1,(creditcard[YYYYMM]=D$4&amp;"--")*(creditcard[Bank]=$A15),creditcard[流通卡數],"")</f>
        <v/>
      </c>
      <c r="E15" s="170">
        <f t="array" ref="E15">_xlfn.XLOOKUP(1,(creditcard[YYYYMM]=E$4&amp;"--")*(creditcard[Bank]=$A15),creditcard[流通卡數],"")</f>
        <v/>
      </c>
      <c r="F15" s="170">
        <f t="array" ref="F15">_xlfn.XLOOKUP(1,(creditcard[YYYYMM]=F$4&amp;"--")*(creditcard[Bank]=$A15),creditcard[流通卡數],"")</f>
        <v/>
      </c>
      <c r="G15" s="170">
        <f t="array" ref="G15">_xlfn.XLOOKUP(1,(creditcard[YYYYMM]=G$4&amp;"--")*(creditcard[Bank]=$A15),creditcard[流通卡數],"")</f>
        <v/>
      </c>
      <c r="H15" s="170">
        <f t="array" ref="H15">_xlfn.XLOOKUP(1,(creditcard[YYYYMM]=H$4&amp;"--")*(creditcard[Bank]=$A15),creditcard[流通卡數],"")</f>
        <v/>
      </c>
      <c r="I15" s="170">
        <f t="array" ref="I15">_xlfn.XLOOKUP(1,(creditcard[YYYYMM]=I$4&amp;"--")*(creditcard[Bank]=$A15),creditcard[流通卡數],"")</f>
        <v/>
      </c>
      <c r="J15" s="170">
        <f t="array" ref="J15">_xlfn.XLOOKUP(1,(creditcard[YYYYMM]=J$4&amp;"--")*(creditcard[Bank]=$A15),creditcard[流通卡數],"")</f>
        <v/>
      </c>
      <c r="K15" s="170">
        <f t="array" ref="K15">_xlfn.XLOOKUP(1,(creditcard[YYYYMM]=K$4&amp;"--")*(creditcard[Bank]=$A15),creditcard[流通卡數],"")</f>
        <v/>
      </c>
      <c r="L15" s="170">
        <f t="array" ref="L15">_xlfn.XLOOKUP(1,(creditcard[YYYYMM]=L$4&amp;"--")*(creditcard[Bank]=$A15),creditcard[流通卡數],"")</f>
        <v/>
      </c>
      <c r="M15" s="193">
        <f t="array" ref="M15">_xlfn.XLOOKUP(1,(creditcard[YYYYMM]=M$4&amp;"--")*(creditcard[Bank]=$A15),creditcard[流通卡數],"")</f>
        <v/>
      </c>
      <c r="N15" s="194">
        <f>IFERROR((L15/H15)^(1/4)-1,"")</f>
        <v/>
      </c>
      <c r="O15" s="194">
        <f>IFERROR(F15/E15-1,"")</f>
        <v/>
      </c>
      <c r="P15" s="194">
        <f>IFERROR((G15-F15)/F15,"")</f>
        <v/>
      </c>
      <c r="Q15" s="194">
        <f>IFERROR((H15-G15)/G15,"")</f>
        <v/>
      </c>
      <c r="R15" s="194">
        <f>IFERROR((I15-H15)/H15,"")</f>
        <v/>
      </c>
      <c r="S15" s="194">
        <f>IFERROR((J15-I15)/I15,"")</f>
        <v/>
      </c>
      <c r="T15" s="194">
        <f>IFERROR((K15-J15)/J15,"")</f>
        <v/>
      </c>
      <c r="U15" s="194">
        <f>IFERROR((L15-K15)/K15,"")</f>
        <v/>
      </c>
      <c r="V15" s="195">
        <f>IFERROR((M15-L15)/L15,"")</f>
        <v/>
      </c>
    </row>
    <row r="16" ht="12.75" customFormat="1" customHeight="1" s="73">
      <c r="A16" s="176" t="inlineStr">
        <is>
          <t>TOP5</t>
        </is>
      </c>
      <c r="B16" s="176" t="n"/>
      <c r="C16" s="176" t="n"/>
      <c r="D16" s="176" t="n"/>
      <c r="E16" s="177" t="n"/>
      <c r="F16" s="177" t="n"/>
      <c r="G16" s="177" t="n"/>
      <c r="H16" s="177" t="n"/>
      <c r="I16" s="177" t="n"/>
      <c r="J16" s="177" t="n"/>
      <c r="K16" s="177" t="n"/>
      <c r="L16" s="177" t="n"/>
      <c r="M16" s="177" t="n"/>
      <c r="N16" s="180" t="n"/>
      <c r="O16" s="177" t="n"/>
      <c r="P16" s="177" t="n"/>
      <c r="Q16" s="177" t="n"/>
      <c r="R16" s="177" t="n"/>
      <c r="S16" s="177" t="n"/>
      <c r="T16" s="177" t="n"/>
      <c r="U16" s="177" t="n"/>
      <c r="V16" s="177" t="n"/>
    </row>
    <row r="17" ht="12.75" customFormat="1" customHeight="1" s="73">
      <c r="A17" s="176" t="inlineStr">
        <is>
          <t>TOP10</t>
        </is>
      </c>
      <c r="B17" s="176" t="n"/>
      <c r="C17" s="176" t="n"/>
      <c r="D17" s="176" t="n"/>
      <c r="E17" s="177" t="n"/>
      <c r="F17" s="177" t="n"/>
      <c r="G17" s="177" t="n"/>
      <c r="H17" s="177" t="n"/>
      <c r="I17" s="177" t="n"/>
      <c r="J17" s="177" t="n"/>
      <c r="K17" s="177" t="n"/>
      <c r="L17" s="177" t="n"/>
      <c r="M17" s="177" t="n"/>
      <c r="N17" s="180" t="n"/>
      <c r="O17" s="177" t="n"/>
      <c r="P17" s="177" t="n"/>
      <c r="Q17" s="177" t="n"/>
      <c r="R17" s="177" t="n"/>
      <c r="S17" s="177" t="n"/>
      <c r="T17" s="177" t="n"/>
      <c r="U17" s="177" t="n"/>
      <c r="V17" s="177" t="n"/>
    </row>
    <row r="18" ht="12.75" customFormat="1" customHeight="1" s="73">
      <c r="A18" s="178" t="inlineStr">
        <is>
          <t>平均每人持卡張數</t>
        </is>
      </c>
      <c r="B18" s="31">
        <f t="array" ref="B18">_xlfn.XLOOKUP(1,(creditcard[YYYYMM]=B$4&amp;"--")*(creditcard[Bank]=$A$15),creditcard[平均每人持卡張數],"")</f>
        <v/>
      </c>
      <c r="C18" s="31">
        <f t="array" ref="C18">_xlfn.XLOOKUP(1,(creditcard[YYYYMM]=C$4&amp;"--")*(creditcard[Bank]=$A$15),creditcard[平均每人持卡張數],"")</f>
        <v/>
      </c>
      <c r="D18" s="31">
        <f t="array" ref="D18">_xlfn.XLOOKUP(1,(creditcard[YYYYMM]=D$4&amp;"--")*(creditcard[Bank]=$A$15),creditcard[平均每人持卡張數],"")</f>
        <v/>
      </c>
      <c r="E18" s="31">
        <f t="array" ref="E18">_xlfn.XLOOKUP(1,(creditcard[YYYYMM]=E$4&amp;"--")*(creditcard[Bank]=$A$15),creditcard[平均每人持卡張數],"")</f>
        <v/>
      </c>
      <c r="F18" s="31">
        <f t="array" ref="F18">_xlfn.XLOOKUP(1,(creditcard[YYYYMM]=F$4&amp;"--")*(creditcard[Bank]=$A$15),creditcard[平均每人持卡張數],"")</f>
        <v/>
      </c>
      <c r="G18" s="31">
        <f t="array" ref="G18">_xlfn.XLOOKUP(1,(creditcard[YYYYMM]=G$4&amp;"--")*(creditcard[Bank]=$A$15),creditcard[平均每人持卡張數],"")</f>
        <v/>
      </c>
      <c r="H18" s="31">
        <f t="array" ref="H18">_xlfn.XLOOKUP(1,(creditcard[YYYYMM]=H$4&amp;"--")*(creditcard[Bank]=$A$15),creditcard[平均每人持卡張數],"")</f>
        <v/>
      </c>
      <c r="I18" s="32">
        <f t="array" ref="I18">_xlfn.XLOOKUP(1,(creditcard[YYYYMM]=I$4&amp;"--")*(creditcard[Bank]=$A$15),creditcard[平均每人持卡張數],"")</f>
        <v/>
      </c>
      <c r="J18" s="31">
        <f t="array" ref="J18">_xlfn.XLOOKUP(1,(creditcard[YYYYMM]=J$4&amp;"--")*(creditcard[Bank]=$A$15),creditcard[平均每人持卡張數],"")</f>
        <v/>
      </c>
      <c r="K18" s="31">
        <f t="array" ref="K18">_xlfn.XLOOKUP(1,(creditcard[YYYYMM]=K$4&amp;"--")*(creditcard[Bank]=$A$15),creditcard[平均每人持卡張數],"")</f>
        <v/>
      </c>
      <c r="L18" s="31">
        <f t="array" ref="L18">_xlfn.XLOOKUP(1,(creditcard[YYYYMM]=L$4&amp;"--")*(creditcard[Bank]=$A$15),creditcard[平均每人持卡張數],"")</f>
        <v/>
      </c>
      <c r="M18" s="31">
        <f t="array" ref="M18">_xlfn.XLOOKUP(1,(creditcard[YYYYMM]=M$4&amp;"--")*(creditcard[Bank]=$A$15),creditcard[平均每人持卡張數],"")</f>
        <v/>
      </c>
      <c r="N18" s="177">
        <f>IFERROR((L18/H18)^(1/4)-1,"")</f>
        <v/>
      </c>
      <c r="U18" s="196">
        <f>IFERROR((L18-K18)/K18,"")</f>
        <v/>
      </c>
      <c r="V18" s="196">
        <f>IFERROR((M18-L18)/L18,"")</f>
        <v/>
      </c>
    </row>
    <row r="19">
      <c r="A19" s="179" t="inlineStr">
        <is>
          <t>https://www.jcic.org.tw/main_ch/fileRename/fileRename.aspx?uid=213&amp;fid=910&amp;kid=4</t>
        </is>
      </c>
      <c r="B19" s="180" t="n"/>
      <c r="C19" s="180" t="n"/>
      <c r="D19" s="180" t="n"/>
      <c r="E19" s="180" t="n"/>
      <c r="F19" s="180" t="n"/>
      <c r="G19" s="172" t="n"/>
      <c r="H19" s="181" t="n"/>
      <c r="I19" s="181" t="n"/>
      <c r="J19" s="181" t="n"/>
      <c r="K19" s="181" t="n"/>
      <c r="L19" s="181" t="n"/>
      <c r="M19" s="181" t="n"/>
      <c r="N19" s="180" t="n"/>
      <c r="O19" s="180" t="n"/>
      <c r="P19" s="192" t="n"/>
      <c r="Q19" s="192" t="n"/>
    </row>
    <row r="20">
      <c r="A20" s="179" t="n"/>
      <c r="B20" s="180" t="n"/>
      <c r="C20" s="180" t="n"/>
      <c r="D20" s="180" t="n"/>
      <c r="E20" s="180" t="n"/>
      <c r="F20" s="180" t="n"/>
      <c r="G20" s="180" t="n"/>
      <c r="H20" s="180" t="n"/>
      <c r="I20" s="180" t="n"/>
      <c r="J20" s="180" t="n"/>
      <c r="K20" s="180" t="n"/>
      <c r="L20" s="180" t="n"/>
      <c r="M20" s="180" t="n"/>
      <c r="N20" s="180" t="n"/>
      <c r="O20" s="180" t="n"/>
      <c r="P20" s="192" t="n"/>
      <c r="Q20" s="192" t="n"/>
    </row>
    <row r="21">
      <c r="A21" s="141" t="inlineStr">
        <is>
          <t>有效卡(張)</t>
        </is>
      </c>
      <c r="B21" s="141">
        <f>B$1</f>
        <v/>
      </c>
      <c r="C21" s="141">
        <f>C$1</f>
        <v/>
      </c>
      <c r="D21" s="141">
        <f>D$1</f>
        <v/>
      </c>
      <c r="E21" s="141">
        <f>E$1</f>
        <v/>
      </c>
      <c r="F21" s="141">
        <f>F$1</f>
        <v/>
      </c>
      <c r="G21" s="141">
        <f>G$1</f>
        <v/>
      </c>
      <c r="H21" s="141">
        <f>H$1</f>
        <v/>
      </c>
      <c r="I21" s="141">
        <f>I$1</f>
        <v/>
      </c>
      <c r="J21" s="141">
        <f>J$1</f>
        <v/>
      </c>
      <c r="K21" s="141">
        <f>K$1</f>
        <v/>
      </c>
      <c r="L21" s="141">
        <f>L$1</f>
        <v/>
      </c>
      <c r="M21" s="141">
        <f>M$1</f>
        <v/>
      </c>
      <c r="N21" s="141">
        <f>N$1</f>
        <v/>
      </c>
      <c r="O21" s="141">
        <f>O$1</f>
        <v/>
      </c>
      <c r="P21" s="141">
        <f>P$1</f>
        <v/>
      </c>
      <c r="Q21" s="141">
        <f>Q$1</f>
        <v/>
      </c>
      <c r="R21" s="141">
        <f>R$1</f>
        <v/>
      </c>
      <c r="S21" s="141">
        <f>S$1</f>
        <v/>
      </c>
      <c r="T21" s="141">
        <f>T$1</f>
        <v/>
      </c>
      <c r="U21" s="141">
        <f>U$1</f>
        <v/>
      </c>
      <c r="V21" s="141">
        <f>V$1</f>
        <v/>
      </c>
    </row>
    <row r="22">
      <c r="A22" s="174" t="inlineStr">
        <is>
          <t>中信</t>
        </is>
      </c>
      <c r="B22" s="172">
        <f t="array" ref="B22">_xlfn.XLOOKUP(1,(creditcard[YYYYMM]=B$4&amp;"--")*(creditcard[Bank]=$A22),creditcard[有效卡數],"")</f>
        <v/>
      </c>
      <c r="C22" s="172">
        <f t="array" ref="C22">_xlfn.XLOOKUP(1,(creditcard[YYYYMM]=C$4&amp;"--")*(creditcard[Bank]=$A22),creditcard[有效卡數],"")</f>
        <v/>
      </c>
      <c r="D22" s="172">
        <f t="array" ref="D22">_xlfn.XLOOKUP(1,(creditcard[YYYYMM]=D$4&amp;"--")*(creditcard[Bank]=$A22),creditcard[有效卡數],"")</f>
        <v/>
      </c>
      <c r="E22" s="172">
        <f t="array" ref="E22">_xlfn.XLOOKUP(1,(creditcard[YYYYMM]=E$4&amp;"--")*(creditcard[Bank]=$A22),creditcard[有效卡數],"")</f>
        <v/>
      </c>
      <c r="F22" s="172">
        <f t="array" ref="F22">_xlfn.XLOOKUP(1,(creditcard[YYYYMM]=F$4&amp;"--")*(creditcard[Bank]=$A22),creditcard[有效卡數],"")</f>
        <v/>
      </c>
      <c r="G22" s="172">
        <f t="array" ref="G22">_xlfn.XLOOKUP(1,(creditcard[YYYYMM]=G$4&amp;"--")*(creditcard[Bank]=$A22),creditcard[有效卡數],"")</f>
        <v/>
      </c>
      <c r="H22" s="172">
        <f t="array" ref="H22">_xlfn.XLOOKUP(1,(creditcard[YYYYMM]=H$4&amp;"--")*(creditcard[Bank]=$A22),creditcard[有效卡數],"")</f>
        <v/>
      </c>
      <c r="I22" s="172">
        <f t="array" ref="I22">_xlfn.XLOOKUP(1,(creditcard[YYYYMM]=I$4&amp;"--")*(creditcard[Bank]=$A22),creditcard[有效卡數],"")</f>
        <v/>
      </c>
      <c r="J22" s="172">
        <f t="array" ref="J22">_xlfn.XLOOKUP(1,(creditcard[YYYYMM]=J$4&amp;"--")*(creditcard[Bank]=$A22),creditcard[有效卡數],"")</f>
        <v/>
      </c>
      <c r="K22" s="172">
        <f t="array" ref="K22">_xlfn.XLOOKUP(1,(creditcard[YYYYMM]=K$4&amp;"--")*(creditcard[Bank]=$A22),creditcard[有效卡數],"")</f>
        <v/>
      </c>
      <c r="L22" s="172">
        <f t="array" ref="L22">_xlfn.XLOOKUP(1,(creditcard[YYYYMM]=L$4&amp;"--")*(creditcard[Bank]=$A22),creditcard[有效卡數],"")</f>
        <v/>
      </c>
      <c r="M22" s="172">
        <f t="array" ref="M22">_xlfn.XLOOKUP(1,(creditcard[YYYYMM]=M$4&amp;"--")*(creditcard[Bank]=$A22),creditcard[有效卡數],"")</f>
        <v/>
      </c>
      <c r="N22" s="180">
        <f>IFERROR((L22/H22)^(1/4)-1,"")</f>
        <v/>
      </c>
      <c r="O22" s="180">
        <f>IFERROR(F22/E22-1,"")</f>
        <v/>
      </c>
      <c r="P22" s="180">
        <f>IFERROR((G22-F22)/F22,"")</f>
        <v/>
      </c>
      <c r="Q22" s="180">
        <f>IFERROR((H22-G22)/G22,"")</f>
        <v/>
      </c>
      <c r="R22" s="180">
        <f>IFERROR((I22-H22)/H22,"")</f>
        <v/>
      </c>
      <c r="S22" s="180">
        <f>IFERROR((J22-I22)/I22,"")</f>
        <v/>
      </c>
      <c r="T22" s="180">
        <f>IFERROR((K22-J22)/J22,"")</f>
        <v/>
      </c>
      <c r="U22" s="180">
        <f>IFERROR((L22-K22)/K22,"")</f>
        <v/>
      </c>
      <c r="V22" s="180">
        <f>IFERROR((M22-L22)/L22,"")</f>
        <v/>
      </c>
    </row>
    <row r="23">
      <c r="A23" s="174" t="inlineStr">
        <is>
          <t>富邦</t>
        </is>
      </c>
      <c r="B23" s="172">
        <f t="array" ref="B23">_xlfn.XLOOKUP(1,(creditcard[YYYYMM]=B$4&amp;"--")*(creditcard[Bank]=$A23),creditcard[有效卡數],"")</f>
        <v/>
      </c>
      <c r="C23" s="172">
        <f t="array" ref="C23">_xlfn.XLOOKUP(1,(creditcard[YYYYMM]=C$4&amp;"--")*(creditcard[Bank]=$A23),creditcard[有效卡數],"")</f>
        <v/>
      </c>
      <c r="D23" s="172">
        <f t="array" ref="D23">_xlfn.XLOOKUP(1,(creditcard[YYYYMM]=D$4&amp;"--")*(creditcard[Bank]=$A23),creditcard[有效卡數],"")</f>
        <v/>
      </c>
      <c r="E23" s="172">
        <f t="array" ref="E23">_xlfn.XLOOKUP(1,(creditcard[YYYYMM]=E$4&amp;"--")*(creditcard[Bank]=$A23),creditcard[有效卡數],"")</f>
        <v/>
      </c>
      <c r="F23" s="172">
        <f t="array" ref="F23">_xlfn.XLOOKUP(1,(creditcard[YYYYMM]=F$4&amp;"--")*(creditcard[Bank]=$A23),creditcard[有效卡數],"")</f>
        <v/>
      </c>
      <c r="G23" s="172">
        <f t="array" ref="G23">_xlfn.XLOOKUP(1,(creditcard[YYYYMM]=G$4&amp;"--")*(creditcard[Bank]=$A23),creditcard[有效卡數],"")</f>
        <v/>
      </c>
      <c r="H23" s="172">
        <f t="array" ref="H23">_xlfn.XLOOKUP(1,(creditcard[YYYYMM]=H$4&amp;"--")*(creditcard[Bank]=$A23),creditcard[有效卡數],"")</f>
        <v/>
      </c>
      <c r="I23" s="172">
        <f t="array" ref="I23">_xlfn.XLOOKUP(1,(creditcard[YYYYMM]=I$4&amp;"--")*(creditcard[Bank]=$A23),creditcard[有效卡數],"")</f>
        <v/>
      </c>
      <c r="J23" s="172">
        <f t="array" ref="J23">_xlfn.XLOOKUP(1,(creditcard[YYYYMM]=J$4&amp;"--")*(creditcard[Bank]=$A23),creditcard[有效卡數],"")</f>
        <v/>
      </c>
      <c r="K23" s="172">
        <f t="array" ref="K23">_xlfn.XLOOKUP(1,(creditcard[YYYYMM]=K$4&amp;"--")*(creditcard[Bank]=$A23),creditcard[有效卡數],"")</f>
        <v/>
      </c>
      <c r="L23" s="172">
        <f t="array" ref="L23">_xlfn.XLOOKUP(1,(creditcard[YYYYMM]=L$4&amp;"--")*(creditcard[Bank]=$A23),creditcard[有效卡數],"")</f>
        <v/>
      </c>
      <c r="M23" s="172">
        <f t="array" ref="M23">_xlfn.XLOOKUP(1,(creditcard[YYYYMM]=M$4&amp;"--")*(creditcard[Bank]=$A23),creditcard[有效卡數],"")</f>
        <v/>
      </c>
      <c r="N23" s="180">
        <f>IFERROR((L23/H23)^(1/4)-1,"")</f>
        <v/>
      </c>
      <c r="O23" s="180">
        <f>IFERROR(F23/E23-1,"")</f>
        <v/>
      </c>
      <c r="P23" s="180">
        <f>IFERROR((G23-F23)/F23,"")</f>
        <v/>
      </c>
      <c r="Q23" s="180">
        <f>IFERROR((H23-G23)/G23,"")</f>
        <v/>
      </c>
      <c r="R23" s="180">
        <f>IFERROR((I23-H23)/H23,"")</f>
        <v/>
      </c>
      <c r="S23" s="180">
        <f>IFERROR((J23-I23)/I23,"")</f>
        <v/>
      </c>
      <c r="T23" s="180">
        <f>IFERROR((K23-J23)/J23,"")</f>
        <v/>
      </c>
      <c r="U23" s="180">
        <f>IFERROR((L23-K23)/K23,"")</f>
        <v/>
      </c>
      <c r="V23" s="180">
        <f>IFERROR((M23-L23)/L23,"")</f>
        <v/>
      </c>
    </row>
    <row r="24">
      <c r="A24" s="174" t="inlineStr">
        <is>
          <t>國泰</t>
        </is>
      </c>
      <c r="B24" s="172">
        <f t="array" ref="B24">_xlfn.XLOOKUP(1,(creditcard[YYYYMM]=B$4&amp;"--")*(creditcard[Bank]=$A24),creditcard[有效卡數],"")</f>
        <v/>
      </c>
      <c r="C24" s="172">
        <f t="array" ref="C24">_xlfn.XLOOKUP(1,(creditcard[YYYYMM]=C$4&amp;"--")*(creditcard[Bank]=$A24),creditcard[有效卡數],"")</f>
        <v/>
      </c>
      <c r="D24" s="172">
        <f t="array" ref="D24">_xlfn.XLOOKUP(1,(creditcard[YYYYMM]=D$4&amp;"--")*(creditcard[Bank]=$A24),creditcard[有效卡數],"")</f>
        <v/>
      </c>
      <c r="E24" s="172">
        <f t="array" ref="E24">_xlfn.XLOOKUP(1,(creditcard[YYYYMM]=E$4&amp;"--")*(creditcard[Bank]=$A24),creditcard[有效卡數],"")</f>
        <v/>
      </c>
      <c r="F24" s="172">
        <f t="array" ref="F24">_xlfn.XLOOKUP(1,(creditcard[YYYYMM]=F$4&amp;"--")*(creditcard[Bank]=$A24),creditcard[有效卡數],"")</f>
        <v/>
      </c>
      <c r="G24" s="172">
        <f t="array" ref="G24">_xlfn.XLOOKUP(1,(creditcard[YYYYMM]=G$4&amp;"--")*(creditcard[Bank]=$A24),creditcard[有效卡數],"")</f>
        <v/>
      </c>
      <c r="H24" s="172">
        <f t="array" ref="H24">_xlfn.XLOOKUP(1,(creditcard[YYYYMM]=H$4&amp;"--")*(creditcard[Bank]=$A24),creditcard[有效卡數],"")</f>
        <v/>
      </c>
      <c r="I24" s="172">
        <f t="array" ref="I24">_xlfn.XLOOKUP(1,(creditcard[YYYYMM]=I$4&amp;"--")*(creditcard[Bank]=$A24),creditcard[有效卡數],"")</f>
        <v/>
      </c>
      <c r="J24" s="172">
        <f t="array" ref="J24">_xlfn.XLOOKUP(1,(creditcard[YYYYMM]=J$4&amp;"--")*(creditcard[Bank]=$A24),creditcard[有效卡數],"")</f>
        <v/>
      </c>
      <c r="K24" s="172">
        <f t="array" ref="K24">_xlfn.XLOOKUP(1,(creditcard[YYYYMM]=K$4&amp;"--")*(creditcard[Bank]=$A24),creditcard[有效卡數],"")</f>
        <v/>
      </c>
      <c r="L24" s="172">
        <f t="array" ref="L24">_xlfn.XLOOKUP(1,(creditcard[YYYYMM]=L$4&amp;"--")*(creditcard[Bank]=$A24),creditcard[有效卡數],"")</f>
        <v/>
      </c>
      <c r="M24" s="172">
        <f t="array" ref="M24">_xlfn.XLOOKUP(1,(creditcard[YYYYMM]=M$4&amp;"--")*(creditcard[Bank]=$A24),creditcard[有效卡數],"")</f>
        <v/>
      </c>
      <c r="N24" s="180">
        <f>IFERROR((L24/H24)^(1/4)-1,"")</f>
        <v/>
      </c>
      <c r="O24" s="180">
        <f>IFERROR(F24/E24-1,"")</f>
        <v/>
      </c>
      <c r="P24" s="180">
        <f>IFERROR((G24-F24)/F24,"")</f>
        <v/>
      </c>
      <c r="Q24" s="180">
        <f>IFERROR((H24-G24)/G24,"")</f>
        <v/>
      </c>
      <c r="R24" s="180">
        <f>IFERROR((I24-H24)/H24,"")</f>
        <v/>
      </c>
      <c r="S24" s="180">
        <f>IFERROR((J24-I24)/I24,"")</f>
        <v/>
      </c>
      <c r="T24" s="180">
        <f>IFERROR((K24-J24)/J24,"")</f>
        <v/>
      </c>
      <c r="U24" s="180">
        <f>IFERROR((L24-K24)/K24,"")</f>
        <v/>
      </c>
      <c r="V24" s="180">
        <f>IFERROR((M24-L24)/L24,"")</f>
        <v/>
      </c>
    </row>
    <row r="25">
      <c r="A25" s="174" t="inlineStr">
        <is>
          <t>玉山</t>
        </is>
      </c>
      <c r="B25" s="172">
        <f t="array" ref="B25">_xlfn.XLOOKUP(1,(creditcard[YYYYMM]=B$4&amp;"--")*(creditcard[Bank]=$A25),creditcard[有效卡數],"")</f>
        <v/>
      </c>
      <c r="C25" s="172">
        <f t="array" ref="C25">_xlfn.XLOOKUP(1,(creditcard[YYYYMM]=C$4&amp;"--")*(creditcard[Bank]=$A25),creditcard[有效卡數],"")</f>
        <v/>
      </c>
      <c r="D25" s="172">
        <f t="array" ref="D25">_xlfn.XLOOKUP(1,(creditcard[YYYYMM]=D$4&amp;"--")*(creditcard[Bank]=$A25),creditcard[有效卡數],"")</f>
        <v/>
      </c>
      <c r="E25" s="172">
        <f t="array" ref="E25">_xlfn.XLOOKUP(1,(creditcard[YYYYMM]=E$4&amp;"--")*(creditcard[Bank]=$A25),creditcard[有效卡數],"")</f>
        <v/>
      </c>
      <c r="F25" s="172">
        <f t="array" ref="F25">_xlfn.XLOOKUP(1,(creditcard[YYYYMM]=F$4&amp;"--")*(creditcard[Bank]=$A25),creditcard[有效卡數],"")</f>
        <v/>
      </c>
      <c r="G25" s="172">
        <f t="array" ref="G25">_xlfn.XLOOKUP(1,(creditcard[YYYYMM]=G$4&amp;"--")*(creditcard[Bank]=$A25),creditcard[有效卡數],"")</f>
        <v/>
      </c>
      <c r="H25" s="172">
        <f t="array" ref="H25">_xlfn.XLOOKUP(1,(creditcard[YYYYMM]=H$4&amp;"--")*(creditcard[Bank]=$A25),creditcard[有效卡數],"")</f>
        <v/>
      </c>
      <c r="I25" s="172">
        <f t="array" ref="I25">_xlfn.XLOOKUP(1,(creditcard[YYYYMM]=I$4&amp;"--")*(creditcard[Bank]=$A25),creditcard[有效卡數],"")</f>
        <v/>
      </c>
      <c r="J25" s="172">
        <f t="array" ref="J25">_xlfn.XLOOKUP(1,(creditcard[YYYYMM]=J$4&amp;"--")*(creditcard[Bank]=$A25),creditcard[有效卡數],"")</f>
        <v/>
      </c>
      <c r="K25" s="172">
        <f t="array" ref="K25">_xlfn.XLOOKUP(1,(creditcard[YYYYMM]=K$4&amp;"--")*(creditcard[Bank]=$A25),creditcard[有效卡數],"")</f>
        <v/>
      </c>
      <c r="L25" s="172">
        <f t="array" ref="L25">_xlfn.XLOOKUP(1,(creditcard[YYYYMM]=L$4&amp;"--")*(creditcard[Bank]=$A25),creditcard[有效卡數],"")</f>
        <v/>
      </c>
      <c r="M25" s="172">
        <f t="array" ref="M25">_xlfn.XLOOKUP(1,(creditcard[YYYYMM]=M$4&amp;"--")*(creditcard[Bank]=$A25),creditcard[有效卡數],"")</f>
        <v/>
      </c>
      <c r="N25" s="180">
        <f>IFERROR((L25/H25)^(1/4)-1,"")</f>
        <v/>
      </c>
      <c r="O25" s="180">
        <f>IFERROR(F25/E25-1,"")</f>
        <v/>
      </c>
      <c r="P25" s="180">
        <f>IFERROR((G25-F25)/F25,"")</f>
        <v/>
      </c>
      <c r="Q25" s="180">
        <f>IFERROR((H25-G25)/G25,"")</f>
        <v/>
      </c>
      <c r="R25" s="180">
        <f>IFERROR((I25-H25)/H25,"")</f>
        <v/>
      </c>
      <c r="S25" s="180">
        <f>IFERROR((J25-I25)/I25,"")</f>
        <v/>
      </c>
      <c r="T25" s="180">
        <f>IFERROR((K25-J25)/J25,"")</f>
        <v/>
      </c>
      <c r="U25" s="180">
        <f>IFERROR((L25-K25)/K25,"")</f>
        <v/>
      </c>
      <c r="V25" s="180">
        <f>IFERROR((M25-L25)/L25,"")</f>
        <v/>
      </c>
    </row>
    <row r="26" ht="15" customHeight="1" s="142">
      <c r="A26" s="174" t="inlineStr">
        <is>
          <t>台新</t>
        </is>
      </c>
      <c r="B26" s="172">
        <f t="array" ref="B26">_xlfn.XLOOKUP(1,(creditcard[YYYYMM]=B$4&amp;"--")*(creditcard[Bank]=$A26),creditcard[有效卡數],"")</f>
        <v/>
      </c>
      <c r="C26" s="172">
        <f t="array" ref="C26">_xlfn.XLOOKUP(1,(creditcard[YYYYMM]=C$4&amp;"--")*(creditcard[Bank]=$A26),creditcard[有效卡數],"")</f>
        <v/>
      </c>
      <c r="D26" s="172">
        <f t="array" ref="D26">_xlfn.XLOOKUP(1,(creditcard[YYYYMM]=D$4&amp;"--")*(creditcard[Bank]=$A26),creditcard[有效卡數],"")</f>
        <v/>
      </c>
      <c r="E26" s="172">
        <f t="array" ref="E26">_xlfn.XLOOKUP(1,(creditcard[YYYYMM]=E$4&amp;"--")*(creditcard[Bank]=$A26),creditcard[有效卡數],"")</f>
        <v/>
      </c>
      <c r="F26" s="172">
        <f t="array" ref="F26">_xlfn.XLOOKUP(1,(creditcard[YYYYMM]=F$4&amp;"--")*(creditcard[Bank]=$A26),creditcard[有效卡數],"")</f>
        <v/>
      </c>
      <c r="G26" s="172">
        <f t="array" ref="G26">_xlfn.XLOOKUP(1,(creditcard[YYYYMM]=G$4&amp;"--")*(creditcard[Bank]=$A26),creditcard[有效卡數],"")</f>
        <v/>
      </c>
      <c r="H26" s="172">
        <f t="array" ref="H26">_xlfn.XLOOKUP(1,(creditcard[YYYYMM]=H$4&amp;"--")*(creditcard[Bank]=$A26),creditcard[有效卡數],"")</f>
        <v/>
      </c>
      <c r="I26" s="172">
        <f t="array" ref="I26">_xlfn.XLOOKUP(1,(creditcard[YYYYMM]=I$4&amp;"--")*(creditcard[Bank]=$A26),creditcard[有效卡數],"")</f>
        <v/>
      </c>
      <c r="J26" s="172">
        <f t="array" ref="J26">_xlfn.XLOOKUP(1,(creditcard[YYYYMM]=J$4&amp;"--")*(creditcard[Bank]=$A26),creditcard[有效卡數],"")</f>
        <v/>
      </c>
      <c r="K26" s="172">
        <f t="array" ref="K26">_xlfn.XLOOKUP(1,(creditcard[YYYYMM]=K$4&amp;"--")*(creditcard[Bank]=$A26),creditcard[有效卡數],"")</f>
        <v/>
      </c>
      <c r="L26" s="172">
        <f t="array" ref="L26">_xlfn.XLOOKUP(1,(creditcard[YYYYMM]=L$4&amp;"--")*(creditcard[Bank]=$A26),creditcard[有效卡數],"")</f>
        <v/>
      </c>
      <c r="M26" s="172">
        <f t="array" ref="M26">_xlfn.XLOOKUP(1,(creditcard[YYYYMM]=M$4&amp;"--")*(creditcard[Bank]=$A26),creditcard[有效卡數],"")</f>
        <v/>
      </c>
      <c r="N26" s="180">
        <f>IFERROR((L26/H26)^(1/4)-1,"")</f>
        <v/>
      </c>
      <c r="O26" s="180">
        <f>IFERROR(F26/E26-1,"")</f>
        <v/>
      </c>
      <c r="P26" s="180">
        <f>IFERROR((G26-F26)/F26,"")</f>
        <v/>
      </c>
      <c r="Q26" s="180">
        <f>IFERROR((H26-G26)/G26,"")</f>
        <v/>
      </c>
      <c r="R26" s="180">
        <f>IFERROR((I26-H26)/H26,"")</f>
        <v/>
      </c>
      <c r="S26" s="180">
        <f>IFERROR((J26-I26)/I26,"")</f>
        <v/>
      </c>
      <c r="T26" s="180">
        <f>IFERROR((K26-J26)/J26,"")</f>
        <v/>
      </c>
      <c r="U26" s="180">
        <f>IFERROR((L26-K26)/K26,"")</f>
        <v/>
      </c>
      <c r="V26" s="180">
        <f>IFERROR((M26-L26)/L26,"")</f>
        <v/>
      </c>
    </row>
    <row r="27">
      <c r="A27" s="174" t="inlineStr">
        <is>
          <t>星展</t>
        </is>
      </c>
      <c r="B27" s="172">
        <f t="array" ref="B27">_xlfn.XLOOKUP(1,(creditcard[YYYYMM]=B$4&amp;"--")*(creditcard[Bank]=$A27),creditcard[有效卡數],"")</f>
        <v/>
      </c>
      <c r="C27" s="172">
        <f t="array" ref="C27">_xlfn.XLOOKUP(1,(creditcard[YYYYMM]=C$4&amp;"--")*(creditcard[Bank]=$A27),creditcard[有效卡數],"")</f>
        <v/>
      </c>
      <c r="D27" s="172">
        <f t="array" ref="D27">_xlfn.XLOOKUP(1,(creditcard[YYYYMM]=D$4&amp;"--")*(creditcard[Bank]=$A27),creditcard[有效卡數],"")</f>
        <v/>
      </c>
      <c r="E27" s="172">
        <f t="array" ref="E27">_xlfn.XLOOKUP(1,(creditcard[YYYYMM]=E$4&amp;"--")*(creditcard[Bank]=$A27),creditcard[有效卡數],"")</f>
        <v/>
      </c>
      <c r="F27" s="172">
        <f t="array" ref="F27">_xlfn.XLOOKUP(1,(creditcard[YYYYMM]=F$4&amp;"--")*(creditcard[Bank]=$A27),creditcard[有效卡數],"")</f>
        <v/>
      </c>
      <c r="G27" s="172">
        <f t="array" ref="G27">_xlfn.XLOOKUP(1,(creditcard[YYYYMM]=G$4&amp;"--")*(creditcard[Bank]=$A27),creditcard[有效卡數],"")</f>
        <v/>
      </c>
      <c r="H27" s="172">
        <f t="array" ref="H27">_xlfn.XLOOKUP(1,(creditcard[YYYYMM]=H$4&amp;"--")*(creditcard[Bank]=$A27),creditcard[有效卡數],"")</f>
        <v/>
      </c>
      <c r="I27" s="172">
        <f t="array" ref="I27">_xlfn.XLOOKUP(1,(creditcard[YYYYMM]=I$4&amp;"--")*(creditcard[Bank]=$A27),creditcard[有效卡數],"")</f>
        <v/>
      </c>
      <c r="J27" s="172">
        <f t="array" ref="J27">_xlfn.XLOOKUP(1,(creditcard[YYYYMM]=J$4&amp;"--")*(creditcard[Bank]=$A27),creditcard[有效卡數],"")</f>
        <v/>
      </c>
      <c r="K27" s="172">
        <f t="array" ref="K27">_xlfn.XLOOKUP(1,(creditcard[YYYYMM]=K$4&amp;"--")*(creditcard[Bank]=$A27),creditcard[有效卡數],"")</f>
        <v/>
      </c>
      <c r="L27" s="172">
        <f t="array" ref="L27">_xlfn.XLOOKUP(1,(creditcard[YYYYMM]=L$4&amp;"--")*(creditcard[Bank]=$A27),creditcard[有效卡數],"")</f>
        <v/>
      </c>
      <c r="M27" s="172">
        <f t="array" ref="M27">_xlfn.XLOOKUP(1,(creditcard[YYYYMM]=M$4&amp;"--")*(creditcard[Bank]=$A27),creditcard[有效卡數],"")</f>
        <v/>
      </c>
      <c r="N27" s="180">
        <f>IFERROR((L27/H27)^(1/4)-1,"")</f>
        <v/>
      </c>
      <c r="O27" s="180">
        <f>IFERROR(F27/E27-1,"")</f>
        <v/>
      </c>
      <c r="P27" s="180">
        <f>IFERROR((G27-F27)/F27,"")</f>
        <v/>
      </c>
      <c r="Q27" s="180">
        <f>IFERROR((H27-G27)/G27,"")</f>
        <v/>
      </c>
      <c r="R27" s="180">
        <f>IFERROR((I27-H27)/H27,"")</f>
        <v/>
      </c>
      <c r="S27" s="180">
        <f>IFERROR((J27-I27)/I27,"")</f>
        <v/>
      </c>
      <c r="T27" s="180">
        <f>IFERROR((K27-J27)/J27,"")</f>
        <v/>
      </c>
      <c r="U27" s="180">
        <f>IFERROR((L27-K27)/K27,"")</f>
        <v/>
      </c>
      <c r="V27" s="180">
        <f>IFERROR((M27-L27)/L27,"")</f>
        <v/>
      </c>
    </row>
    <row r="28">
      <c r="A28" s="174" t="inlineStr">
        <is>
          <t>聯邦</t>
        </is>
      </c>
      <c r="B28" s="172">
        <f t="array" ref="B28">_xlfn.XLOOKUP(1,(creditcard[YYYYMM]=B$4&amp;"--")*(creditcard[Bank]=$A28),creditcard[有效卡數],"")</f>
        <v/>
      </c>
      <c r="C28" s="172">
        <f t="array" ref="C28">_xlfn.XLOOKUP(1,(creditcard[YYYYMM]=C$4&amp;"--")*(creditcard[Bank]=$A28),creditcard[有效卡數],"")</f>
        <v/>
      </c>
      <c r="D28" s="172">
        <f t="array" ref="D28">_xlfn.XLOOKUP(1,(creditcard[YYYYMM]=D$4&amp;"--")*(creditcard[Bank]=$A28),creditcard[有效卡數],"")</f>
        <v/>
      </c>
      <c r="E28" s="172">
        <f t="array" ref="E28">_xlfn.XLOOKUP(1,(creditcard[YYYYMM]=E$4&amp;"--")*(creditcard[Bank]=$A28),creditcard[有效卡數],"")</f>
        <v/>
      </c>
      <c r="F28" s="172">
        <f t="array" ref="F28">_xlfn.XLOOKUP(1,(creditcard[YYYYMM]=F$4&amp;"--")*(creditcard[Bank]=$A28),creditcard[有效卡數],"")</f>
        <v/>
      </c>
      <c r="G28" s="172">
        <f t="array" ref="G28">_xlfn.XLOOKUP(1,(creditcard[YYYYMM]=G$4&amp;"--")*(creditcard[Bank]=$A28),creditcard[有效卡數],"")</f>
        <v/>
      </c>
      <c r="H28" s="172">
        <f t="array" ref="H28">_xlfn.XLOOKUP(1,(creditcard[YYYYMM]=H$4&amp;"--")*(creditcard[Bank]=$A28),creditcard[有效卡數],"")</f>
        <v/>
      </c>
      <c r="I28" s="172">
        <f t="array" ref="I28">_xlfn.XLOOKUP(1,(creditcard[YYYYMM]=I$4&amp;"--")*(creditcard[Bank]=$A28),creditcard[有效卡數],"")</f>
        <v/>
      </c>
      <c r="J28" s="172">
        <f t="array" ref="J28">_xlfn.XLOOKUP(1,(creditcard[YYYYMM]=J$4&amp;"--")*(creditcard[Bank]=$A28),creditcard[有效卡數],"")</f>
        <v/>
      </c>
      <c r="K28" s="172">
        <f t="array" ref="K28">_xlfn.XLOOKUP(1,(creditcard[YYYYMM]=K$4&amp;"--")*(creditcard[Bank]=$A28),creditcard[有效卡數],"")</f>
        <v/>
      </c>
      <c r="L28" s="172">
        <f t="array" ref="L28">_xlfn.XLOOKUP(1,(creditcard[YYYYMM]=L$4&amp;"--")*(creditcard[Bank]=$A28),creditcard[有效卡數],"")</f>
        <v/>
      </c>
      <c r="M28" s="172">
        <f t="array" ref="M28">_xlfn.XLOOKUP(1,(creditcard[YYYYMM]=M$4&amp;"--")*(creditcard[Bank]=$A28),creditcard[有效卡數],"")</f>
        <v/>
      </c>
      <c r="N28" s="180">
        <f>IFERROR((L28/H28)^(1/4)-1,"")</f>
        <v/>
      </c>
      <c r="O28" s="180">
        <f>IFERROR(F28/E28-1,"")</f>
        <v/>
      </c>
      <c r="P28" s="180">
        <f>IFERROR((G28-F28)/F28,"")</f>
        <v/>
      </c>
      <c r="Q28" s="180">
        <f>IFERROR((H28-G28)/G28,"")</f>
        <v/>
      </c>
      <c r="R28" s="180">
        <f>IFERROR((I28-H28)/H28,"")</f>
        <v/>
      </c>
      <c r="S28" s="180">
        <f>IFERROR((J28-I28)/I28,"")</f>
        <v/>
      </c>
      <c r="T28" s="180">
        <f>IFERROR((K28-J28)/J28,"")</f>
        <v/>
      </c>
      <c r="U28" s="180">
        <f>IFERROR((L28-K28)/K28,"")</f>
        <v/>
      </c>
      <c r="V28" s="180">
        <f>IFERROR((M28-L28)/L28,"")</f>
        <v/>
      </c>
    </row>
    <row r="29">
      <c r="A29" s="174" t="inlineStr">
        <is>
          <t>永豐</t>
        </is>
      </c>
      <c r="B29" s="172">
        <f t="array" ref="B29">_xlfn.XLOOKUP(1,(creditcard[YYYYMM]=B$4&amp;"--")*(creditcard[Bank]=$A29),creditcard[有效卡數],"")</f>
        <v/>
      </c>
      <c r="C29" s="172">
        <f t="array" ref="C29">_xlfn.XLOOKUP(1,(creditcard[YYYYMM]=C$4&amp;"--")*(creditcard[Bank]=$A29),creditcard[有效卡數],"")</f>
        <v/>
      </c>
      <c r="D29" s="172">
        <f t="array" ref="D29">_xlfn.XLOOKUP(1,(creditcard[YYYYMM]=D$4&amp;"--")*(creditcard[Bank]=$A29),creditcard[有效卡數],"")</f>
        <v/>
      </c>
      <c r="E29" s="172">
        <f t="array" ref="E29">_xlfn.XLOOKUP(1,(creditcard[YYYYMM]=E$4&amp;"--")*(creditcard[Bank]=$A29),creditcard[有效卡數],"")</f>
        <v/>
      </c>
      <c r="F29" s="172">
        <f t="array" ref="F29">_xlfn.XLOOKUP(1,(creditcard[YYYYMM]=F$4&amp;"--")*(creditcard[Bank]=$A29),creditcard[有效卡數],"")</f>
        <v/>
      </c>
      <c r="G29" s="172">
        <f t="array" ref="G29">_xlfn.XLOOKUP(1,(creditcard[YYYYMM]=G$4&amp;"--")*(creditcard[Bank]=$A29),creditcard[有效卡數],"")</f>
        <v/>
      </c>
      <c r="H29" s="172">
        <f t="array" ref="H29">_xlfn.XLOOKUP(1,(creditcard[YYYYMM]=H$4&amp;"--")*(creditcard[Bank]=$A29),creditcard[有效卡數],"")</f>
        <v/>
      </c>
      <c r="I29" s="172">
        <f t="array" ref="I29">_xlfn.XLOOKUP(1,(creditcard[YYYYMM]=I$4&amp;"--")*(creditcard[Bank]=$A29),creditcard[有效卡數],"")</f>
        <v/>
      </c>
      <c r="J29" s="172">
        <f t="array" ref="J29">_xlfn.XLOOKUP(1,(creditcard[YYYYMM]=J$4&amp;"--")*(creditcard[Bank]=$A29),creditcard[有效卡數],"")</f>
        <v/>
      </c>
      <c r="K29" s="172">
        <f t="array" ref="K29">_xlfn.XLOOKUP(1,(creditcard[YYYYMM]=K$4&amp;"--")*(creditcard[Bank]=$A29),creditcard[有效卡數],"")</f>
        <v/>
      </c>
      <c r="L29" s="172">
        <f t="array" ref="L29">_xlfn.XLOOKUP(1,(creditcard[YYYYMM]=L$4&amp;"--")*(creditcard[Bank]=$A29),creditcard[有效卡數],"")</f>
        <v/>
      </c>
      <c r="M29" s="172">
        <f t="array" ref="M29">_xlfn.XLOOKUP(1,(creditcard[YYYYMM]=M$4&amp;"--")*(creditcard[Bank]=$A29),creditcard[有效卡數],"")</f>
        <v/>
      </c>
      <c r="N29" s="180">
        <f>IFERROR((L29/H29)^(1/4)-1,"")</f>
        <v/>
      </c>
      <c r="O29" s="180">
        <f>IFERROR(F29/E29-1,"")</f>
        <v/>
      </c>
      <c r="P29" s="180">
        <f>IFERROR((G29-F29)/F29,"")</f>
        <v/>
      </c>
      <c r="Q29" s="180">
        <f>IFERROR((H29-G29)/G29,"")</f>
        <v/>
      </c>
      <c r="R29" s="180">
        <f>IFERROR((I29-H29)/H29,"")</f>
        <v/>
      </c>
      <c r="S29" s="180">
        <f>IFERROR((J29-I29)/I29,"")</f>
        <v/>
      </c>
      <c r="T29" s="180">
        <f>IFERROR((K29-J29)/J29,"")</f>
        <v/>
      </c>
      <c r="U29" s="180">
        <f>IFERROR((L29-K29)/K29,"")</f>
        <v/>
      </c>
      <c r="V29" s="180">
        <f>IFERROR((M29-L29)/L29,"")</f>
        <v/>
      </c>
    </row>
    <row r="30">
      <c r="A30" s="174" t="inlineStr">
        <is>
          <t>第一</t>
        </is>
      </c>
      <c r="B30" s="172">
        <f t="array" ref="B30">_xlfn.XLOOKUP(1,(creditcard[YYYYMM]=B$4&amp;"--")*(creditcard[Bank]=$A30),creditcard[有效卡數],"")</f>
        <v/>
      </c>
      <c r="C30" s="172">
        <f t="array" ref="C30">_xlfn.XLOOKUP(1,(creditcard[YYYYMM]=C$4&amp;"--")*(creditcard[Bank]=$A30),creditcard[有效卡數],"")</f>
        <v/>
      </c>
      <c r="D30" s="172">
        <f t="array" ref="D30">_xlfn.XLOOKUP(1,(creditcard[YYYYMM]=D$4&amp;"--")*(creditcard[Bank]=$A30),creditcard[有效卡數],"")</f>
        <v/>
      </c>
      <c r="E30" s="172">
        <f t="array" ref="E30">_xlfn.XLOOKUP(1,(creditcard[YYYYMM]=E$4&amp;"--")*(creditcard[Bank]=$A30),creditcard[有效卡數],"")</f>
        <v/>
      </c>
      <c r="F30" s="172">
        <f t="array" ref="F30">_xlfn.XLOOKUP(1,(creditcard[YYYYMM]=F$4&amp;"--")*(creditcard[Bank]=$A30),creditcard[有效卡數],"")</f>
        <v/>
      </c>
      <c r="G30" s="172">
        <f t="array" ref="G30">_xlfn.XLOOKUP(1,(creditcard[YYYYMM]=G$4&amp;"--")*(creditcard[Bank]=$A30),creditcard[有效卡數],"")</f>
        <v/>
      </c>
      <c r="H30" s="172">
        <f t="array" ref="H30">_xlfn.XLOOKUP(1,(creditcard[YYYYMM]=H$4&amp;"--")*(creditcard[Bank]=$A30),creditcard[有效卡數],"")</f>
        <v/>
      </c>
      <c r="I30" s="172">
        <f t="array" ref="I30">_xlfn.XLOOKUP(1,(creditcard[YYYYMM]=I$4&amp;"--")*(creditcard[Bank]=$A30),creditcard[有效卡數],"")</f>
        <v/>
      </c>
      <c r="J30" s="172">
        <f t="array" ref="J30">_xlfn.XLOOKUP(1,(creditcard[YYYYMM]=J$4&amp;"--")*(creditcard[Bank]=$A30),creditcard[有效卡數],"")</f>
        <v/>
      </c>
      <c r="K30" s="172">
        <f t="array" ref="K30">_xlfn.XLOOKUP(1,(creditcard[YYYYMM]=K$4&amp;"--")*(creditcard[Bank]=$A30),creditcard[有效卡數],"")</f>
        <v/>
      </c>
      <c r="L30" s="172">
        <f t="array" ref="L30">_xlfn.XLOOKUP(1,(creditcard[YYYYMM]=L$4&amp;"--")*(creditcard[Bank]=$A30),creditcard[有效卡數],"")</f>
        <v/>
      </c>
      <c r="M30" s="172">
        <f t="array" ref="M30">_xlfn.XLOOKUP(1,(creditcard[YYYYMM]=M$4&amp;"--")*(creditcard[Bank]=$A30),creditcard[有效卡數],"")</f>
        <v/>
      </c>
      <c r="N30" s="180">
        <f>IFERROR((L30/H30)^(1/4)-1,"")</f>
        <v/>
      </c>
      <c r="O30" s="180">
        <f>IFERROR(F30/E30-1,"")</f>
        <v/>
      </c>
      <c r="P30" s="180">
        <f>IFERROR((G30-F30)/F30,"")</f>
        <v/>
      </c>
      <c r="Q30" s="180">
        <f>IFERROR((H30-G30)/G30,"")</f>
        <v/>
      </c>
      <c r="R30" s="180">
        <f>IFERROR((I30-H30)/H30,"")</f>
        <v/>
      </c>
      <c r="S30" s="180">
        <f>IFERROR((J30-I30)/I30,"")</f>
        <v/>
      </c>
      <c r="T30" s="180">
        <f>IFERROR((K30-J30)/J30,"")</f>
        <v/>
      </c>
      <c r="U30" s="180">
        <f>IFERROR((L30-K30)/K30,"")</f>
        <v/>
      </c>
      <c r="V30" s="180">
        <f>IFERROR((M30-L30)/L30,"")</f>
        <v/>
      </c>
    </row>
    <row r="31">
      <c r="A31" s="174" t="inlineStr">
        <is>
          <t>遠東</t>
        </is>
      </c>
      <c r="B31" s="172">
        <f t="array" ref="B31">_xlfn.XLOOKUP(1,(creditcard[YYYYMM]=B$4&amp;"--")*(creditcard[Bank]=$A31),creditcard[有效卡數],"")</f>
        <v/>
      </c>
      <c r="C31" s="172">
        <f t="array" ref="C31">_xlfn.XLOOKUP(1,(creditcard[YYYYMM]=C$4&amp;"--")*(creditcard[Bank]=$A31),creditcard[有效卡數],"")</f>
        <v/>
      </c>
      <c r="D31" s="172">
        <f t="array" ref="D31">_xlfn.XLOOKUP(1,(creditcard[YYYYMM]=D$4&amp;"--")*(creditcard[Bank]=$A31),creditcard[有效卡數],"")</f>
        <v/>
      </c>
      <c r="E31" s="172">
        <f t="array" ref="E31">_xlfn.XLOOKUP(1,(creditcard[YYYYMM]=E$4&amp;"--")*(creditcard[Bank]=$A31),creditcard[有效卡數],"")</f>
        <v/>
      </c>
      <c r="F31" s="172">
        <f t="array" ref="F31">_xlfn.XLOOKUP(1,(creditcard[YYYYMM]=F$4&amp;"--")*(creditcard[Bank]=$A31),creditcard[有效卡數],"")</f>
        <v/>
      </c>
      <c r="G31" s="172">
        <f t="array" ref="G31">_xlfn.XLOOKUP(1,(creditcard[YYYYMM]=G$4&amp;"--")*(creditcard[Bank]=$A31),creditcard[有效卡數],"")</f>
        <v/>
      </c>
      <c r="H31" s="172">
        <f t="array" ref="H31">_xlfn.XLOOKUP(1,(creditcard[YYYYMM]=H$4&amp;"--")*(creditcard[Bank]=$A31),creditcard[有效卡數],"")</f>
        <v/>
      </c>
      <c r="I31" s="172">
        <f t="array" ref="I31">_xlfn.XLOOKUP(1,(creditcard[YYYYMM]=I$4&amp;"--")*(creditcard[Bank]=$A31),creditcard[有效卡數],"")</f>
        <v/>
      </c>
      <c r="J31" s="172">
        <f t="array" ref="J31">_xlfn.XLOOKUP(1,(creditcard[YYYYMM]=J$4&amp;"--")*(creditcard[Bank]=$A31),creditcard[有效卡數],"")</f>
        <v/>
      </c>
      <c r="K31" s="172">
        <f t="array" ref="K31">_xlfn.XLOOKUP(1,(creditcard[YYYYMM]=K$4&amp;"--")*(creditcard[Bank]=$A31),creditcard[有效卡數],"")</f>
        <v/>
      </c>
      <c r="L31" s="172">
        <f t="array" ref="L31">_xlfn.XLOOKUP(1,(creditcard[YYYYMM]=L$4&amp;"--")*(creditcard[Bank]=$A31),creditcard[有效卡數],"")</f>
        <v/>
      </c>
      <c r="M31" s="172">
        <f t="array" ref="M31">_xlfn.XLOOKUP(1,(creditcard[YYYYMM]=M$4&amp;"--")*(creditcard[Bank]=$A31),creditcard[有效卡數],"")</f>
        <v/>
      </c>
      <c r="N31" s="180">
        <f>IFERROR((L31/H31)^(1/4)-1,"")</f>
        <v/>
      </c>
      <c r="O31" s="180">
        <f>IFERROR(F31/E31-1,"")</f>
        <v/>
      </c>
      <c r="P31" s="180">
        <f>IFERROR((G31-F31)/F31,"")</f>
        <v/>
      </c>
      <c r="Q31" s="180">
        <f>IFERROR((H31-G31)/G31,"")</f>
        <v/>
      </c>
      <c r="R31" s="180">
        <f>IFERROR((I31-H31)/H31,"")</f>
        <v/>
      </c>
      <c r="S31" s="180">
        <f>IFERROR((J31-I31)/I31,"")</f>
        <v/>
      </c>
      <c r="T31" s="180">
        <f>IFERROR((K31-J31)/J31,"")</f>
        <v/>
      </c>
      <c r="U31" s="180">
        <f>IFERROR((L31-K31)/K31,"")</f>
        <v/>
      </c>
      <c r="V31" s="180">
        <f>IFERROR((M31-L31)/L31,"")</f>
        <v/>
      </c>
    </row>
    <row r="32">
      <c r="A32" s="170" t="inlineStr">
        <is>
          <t>市場總計</t>
        </is>
      </c>
      <c r="B32" s="170">
        <f t="array" ref="B32">_xlfn.XLOOKUP(1,(creditcard[YYYYMM]=B$4&amp;"--")*(creditcard[Bank]=$A32),creditcard[有效卡數],"")</f>
        <v/>
      </c>
      <c r="C32" s="170">
        <f t="array" ref="C32">_xlfn.XLOOKUP(1,(creditcard[YYYYMM]=C$4&amp;"--")*(creditcard[Bank]=$A32),creditcard[有效卡數],"")</f>
        <v/>
      </c>
      <c r="D32" s="170">
        <f t="array" ref="D32">_xlfn.XLOOKUP(1,(creditcard[YYYYMM]=D$4&amp;"--")*(creditcard[Bank]=$A32),creditcard[有效卡數],"")</f>
        <v/>
      </c>
      <c r="E32" s="170">
        <f t="array" ref="E32">_xlfn.XLOOKUP(1,(creditcard[YYYYMM]=E$4&amp;"--")*(creditcard[Bank]=$A32),creditcard[有效卡數],"")</f>
        <v/>
      </c>
      <c r="F32" s="170">
        <f t="array" ref="F32">_xlfn.XLOOKUP(1,(creditcard[YYYYMM]=F$4&amp;"--")*(creditcard[Bank]=$A32),creditcard[有效卡數],"")</f>
        <v/>
      </c>
      <c r="G32" s="170">
        <f t="array" ref="G32">_xlfn.XLOOKUP(1,(creditcard[YYYYMM]=G$4&amp;"--")*(creditcard[Bank]=$A32),creditcard[有效卡數],"")</f>
        <v/>
      </c>
      <c r="H32" s="170">
        <f t="array" ref="H32">_xlfn.XLOOKUP(1,(creditcard[YYYYMM]=H$4&amp;"--")*(creditcard[Bank]=$A32),creditcard[有效卡數],"")</f>
        <v/>
      </c>
      <c r="I32" s="170">
        <f t="array" ref="I32">_xlfn.XLOOKUP(1,(creditcard[YYYYMM]=I$4&amp;"--")*(creditcard[Bank]=$A32),creditcard[有效卡數],"")</f>
        <v/>
      </c>
      <c r="J32" s="170">
        <f t="array" ref="J32">_xlfn.XLOOKUP(1,(creditcard[YYYYMM]=J$4&amp;"--")*(creditcard[Bank]=$A32),creditcard[有效卡數],"")</f>
        <v/>
      </c>
      <c r="K32" s="170">
        <f t="array" ref="K32">_xlfn.XLOOKUP(1,(creditcard[YYYYMM]=K$4&amp;"--")*(creditcard[Bank]=$A32),creditcard[有效卡數],"")</f>
        <v/>
      </c>
      <c r="L32" s="170">
        <f t="array" ref="L32">_xlfn.XLOOKUP(1,(creditcard[YYYYMM]=L$4&amp;"--")*(creditcard[Bank]=$A32),creditcard[有效卡數],"")</f>
        <v/>
      </c>
      <c r="M32" s="193">
        <f t="array" ref="M32">_xlfn.XLOOKUP(1,(creditcard[YYYYMM]=M$4&amp;"--")*(creditcard[Bank]=$A32),creditcard[有效卡數],"")</f>
        <v/>
      </c>
      <c r="N32" s="194">
        <f>IFERROR((L32/H32)^(1/4)-1,"")</f>
        <v/>
      </c>
      <c r="O32" s="194">
        <f>IFERROR(F32/E32-1,"")</f>
        <v/>
      </c>
      <c r="P32" s="194">
        <f>IFERROR((G32-F32)/F32,"")</f>
        <v/>
      </c>
      <c r="Q32" s="194">
        <f>IFERROR((H32-G32)/G32,"")</f>
        <v/>
      </c>
      <c r="R32" s="194">
        <f>IFERROR((I32-H32)/H32,"")</f>
        <v/>
      </c>
      <c r="S32" s="194">
        <f>IFERROR((J32-I32)/I32,"")</f>
        <v/>
      </c>
      <c r="T32" s="194">
        <f>IFERROR((K32-J32)/J32,"")</f>
        <v/>
      </c>
      <c r="U32" s="194">
        <f>IFERROR((L32-K32)/K32,"")</f>
        <v/>
      </c>
      <c r="V32" s="195">
        <f>IFERROR((M32-L32)/L32,"")</f>
        <v/>
      </c>
    </row>
    <row r="33" ht="12.75" customFormat="1" customHeight="1" s="73">
      <c r="A33" s="176" t="inlineStr">
        <is>
          <t>TOP5</t>
        </is>
      </c>
      <c r="B33" s="176" t="n"/>
      <c r="C33" s="176" t="n"/>
      <c r="D33" s="176" t="n"/>
      <c r="E33" s="177" t="n"/>
      <c r="F33" s="177" t="n"/>
      <c r="G33" s="177" t="n"/>
      <c r="H33" s="177" t="n"/>
      <c r="I33" s="177" t="n"/>
      <c r="J33" s="177" t="n"/>
      <c r="K33" s="177" t="n"/>
      <c r="L33" s="177" t="n"/>
      <c r="M33" s="177" t="n"/>
      <c r="N33" s="177" t="n"/>
      <c r="O33" s="177" t="n"/>
      <c r="P33" s="177" t="n"/>
      <c r="Q33" s="177" t="n"/>
      <c r="R33" s="177" t="n"/>
      <c r="S33" s="177" t="n"/>
      <c r="T33" s="177" t="n"/>
      <c r="U33" s="177" t="n"/>
      <c r="V33" s="177" t="n"/>
    </row>
    <row r="34" ht="12.75" customFormat="1" customHeight="1" s="73">
      <c r="A34" s="176" t="inlineStr">
        <is>
          <t>TOP10</t>
        </is>
      </c>
      <c r="B34" s="176" t="n"/>
      <c r="C34" s="176" t="n"/>
      <c r="D34" s="176" t="n"/>
      <c r="E34" s="177" t="n"/>
      <c r="F34" s="177" t="n"/>
      <c r="G34" s="177" t="n"/>
      <c r="H34" s="177" t="n"/>
      <c r="I34" s="177" t="n"/>
      <c r="J34" s="177" t="n"/>
      <c r="K34" s="177" t="n"/>
      <c r="L34" s="177" t="n"/>
      <c r="M34" s="177" t="n"/>
      <c r="N34" s="177" t="n"/>
      <c r="O34" s="177" t="n"/>
      <c r="P34" s="177" t="n"/>
      <c r="Q34" s="177" t="n"/>
      <c r="R34" s="177" t="n"/>
      <c r="S34" s="177" t="n"/>
      <c r="T34" s="177" t="n"/>
      <c r="U34" s="177" t="n"/>
      <c r="V34" s="177" t="n"/>
    </row>
    <row r="35">
      <c r="A35" s="172" t="n"/>
      <c r="B35" s="180" t="n"/>
      <c r="C35" s="180" t="n"/>
      <c r="D35" s="180" t="n"/>
      <c r="E35" s="180" t="n"/>
      <c r="F35" s="180" t="n"/>
      <c r="G35" s="180" t="n"/>
      <c r="H35" s="181" t="n"/>
      <c r="I35" s="180" t="n"/>
      <c r="J35" s="180" t="n"/>
      <c r="K35" s="180" t="n"/>
      <c r="L35" s="180" t="n"/>
      <c r="M35" s="180" t="n"/>
      <c r="N35" s="192" t="n"/>
      <c r="O35" s="192" t="n"/>
      <c r="P35" s="192" t="n"/>
      <c r="Q35" s="192" t="n"/>
    </row>
    <row r="36">
      <c r="A36" s="141" t="inlineStr">
        <is>
          <t>有效卡率(%)</t>
        </is>
      </c>
      <c r="B36" s="141">
        <f>B$1</f>
        <v/>
      </c>
      <c r="C36" s="141">
        <f>C$1</f>
        <v/>
      </c>
      <c r="D36" s="141">
        <f>D$1</f>
        <v/>
      </c>
      <c r="E36" s="141">
        <f>E$1</f>
        <v/>
      </c>
      <c r="F36" s="141">
        <f>F$1</f>
        <v/>
      </c>
      <c r="G36" s="141">
        <f>G$1</f>
        <v/>
      </c>
      <c r="H36" s="141">
        <f>H$1</f>
        <v/>
      </c>
      <c r="I36" s="141">
        <f>I$1</f>
        <v/>
      </c>
      <c r="J36" s="141">
        <f>J$1</f>
        <v/>
      </c>
      <c r="K36" s="141">
        <f>K$1</f>
        <v/>
      </c>
      <c r="L36" s="141">
        <f>L$1</f>
        <v/>
      </c>
      <c r="M36" s="141">
        <f>M$1</f>
        <v/>
      </c>
      <c r="N36" s="141">
        <f>N$1</f>
        <v/>
      </c>
      <c r="O36" s="141">
        <f>O$1</f>
        <v/>
      </c>
      <c r="P36" s="141">
        <f>P$1</f>
        <v/>
      </c>
      <c r="Q36" s="141">
        <f>Q$1</f>
        <v/>
      </c>
      <c r="R36" s="141">
        <f>R$1</f>
        <v/>
      </c>
      <c r="S36" s="141">
        <f>S$1</f>
        <v/>
      </c>
      <c r="T36" s="141">
        <f>T$1</f>
        <v/>
      </c>
      <c r="U36" s="141">
        <f>U$1</f>
        <v/>
      </c>
      <c r="V36" s="141">
        <f>V$1</f>
        <v/>
      </c>
    </row>
    <row r="37">
      <c r="A37" s="174" t="inlineStr">
        <is>
          <t>中信</t>
        </is>
      </c>
      <c r="B37" s="4">
        <f>IFERROR(B22/B5,"")</f>
        <v/>
      </c>
      <c r="C37" s="4">
        <f>IFERROR(C22/C5,"")</f>
        <v/>
      </c>
      <c r="D37" s="4">
        <f>IFERROR(D22/D5,"")</f>
        <v/>
      </c>
      <c r="E37" s="4">
        <f>IFERROR(E22/E5,"")</f>
        <v/>
      </c>
      <c r="F37" s="4">
        <f>IFERROR(F22/F5,"")</f>
        <v/>
      </c>
      <c r="G37" s="4">
        <f>IFERROR(G22/G5,"")</f>
        <v/>
      </c>
      <c r="H37" s="4">
        <f>IFERROR(H22/H5,"")</f>
        <v/>
      </c>
      <c r="I37" s="4">
        <f>IFERROR(I22/I5,"")</f>
        <v/>
      </c>
      <c r="J37" s="4">
        <f>IFERROR(J22/J5,"")</f>
        <v/>
      </c>
      <c r="K37" s="4">
        <f>IFERROR(K22/K5,"")</f>
        <v/>
      </c>
      <c r="L37" s="4">
        <f>IFERROR(L22/L5,"")</f>
        <v/>
      </c>
      <c r="M37" s="4">
        <f>IFERROR(M22/M5,"")</f>
        <v/>
      </c>
      <c r="N37" s="180">
        <f>IFERROR((L37/H37)^(1/4)-1,"")</f>
        <v/>
      </c>
      <c r="O37" s="180">
        <f>IFERROR(F37/E37-1,"")</f>
        <v/>
      </c>
      <c r="P37" s="180">
        <f>IFERROR((G37-F37)/F37,"")</f>
        <v/>
      </c>
      <c r="Q37" s="180">
        <f>IFERROR((H37-G37)/G37,"")</f>
        <v/>
      </c>
      <c r="R37" s="180">
        <f>IFERROR((I37-H37)/H37,"")</f>
        <v/>
      </c>
      <c r="S37" s="180">
        <f>IFERROR((J37-I37)/I37,"")</f>
        <v/>
      </c>
      <c r="T37" s="180">
        <f>IFERROR((K37-J37)/J37,"")</f>
        <v/>
      </c>
      <c r="U37" s="180">
        <f>IFERROR((L37-K37)/K37,"")</f>
        <v/>
      </c>
      <c r="V37" s="180">
        <f>IFERROR((M37-L37)/L37,"")</f>
        <v/>
      </c>
    </row>
    <row r="38">
      <c r="A38" s="174" t="inlineStr">
        <is>
          <t>富邦</t>
        </is>
      </c>
      <c r="B38" s="4">
        <f>IFERROR(B23/B6,"")</f>
        <v/>
      </c>
      <c r="C38" s="4">
        <f>IFERROR(C23/C6,"")</f>
        <v/>
      </c>
      <c r="D38" s="4">
        <f>IFERROR(D23/D6,"")</f>
        <v/>
      </c>
      <c r="E38" s="4">
        <f>IFERROR(E23/E6,"")</f>
        <v/>
      </c>
      <c r="F38" s="4">
        <f>IFERROR(F23/F6,"")</f>
        <v/>
      </c>
      <c r="G38" s="4">
        <f>IFERROR(G23/G6,"")</f>
        <v/>
      </c>
      <c r="H38" s="4">
        <f>IFERROR(H23/H6,"")</f>
        <v/>
      </c>
      <c r="I38" s="4">
        <f>IFERROR(I23/I6,"")</f>
        <v/>
      </c>
      <c r="J38" s="4">
        <f>IFERROR(J23/J6,"")</f>
        <v/>
      </c>
      <c r="K38" s="4">
        <f>IFERROR(K23/K6,"")</f>
        <v/>
      </c>
      <c r="L38" s="4">
        <f>IFERROR(L23/L6,"")</f>
        <v/>
      </c>
      <c r="M38" s="4">
        <f>IFERROR(M23/M6,"")</f>
        <v/>
      </c>
      <c r="N38" s="180">
        <f>IFERROR((L38/H38)^(1/4)-1,"")</f>
        <v/>
      </c>
      <c r="O38" s="180">
        <f>IFERROR(F38/E38-1,"")</f>
        <v/>
      </c>
      <c r="P38" s="180">
        <f>IFERROR((G38-F38)/F38,"")</f>
        <v/>
      </c>
      <c r="Q38" s="180">
        <f>IFERROR((H38-G38)/G38,"")</f>
        <v/>
      </c>
      <c r="R38" s="180">
        <f>IFERROR((I38-H38)/H38,"")</f>
        <v/>
      </c>
      <c r="S38" s="180">
        <f>IFERROR((J38-I38)/I38,"")</f>
        <v/>
      </c>
      <c r="T38" s="180">
        <f>IFERROR((K38-J38)/J38,"")</f>
        <v/>
      </c>
      <c r="U38" s="180">
        <f>IFERROR((L38-K38)/K38,"")</f>
        <v/>
      </c>
      <c r="V38" s="180">
        <f>IFERROR((M38-L38)/L38,"")</f>
        <v/>
      </c>
    </row>
    <row r="39">
      <c r="A39" s="174" t="inlineStr">
        <is>
          <t>國泰</t>
        </is>
      </c>
      <c r="B39" s="4">
        <f>IFERROR(B24/B7,"")</f>
        <v/>
      </c>
      <c r="C39" s="4">
        <f>IFERROR(C24/C7,"")</f>
        <v/>
      </c>
      <c r="D39" s="4">
        <f>IFERROR(D24/D7,"")</f>
        <v/>
      </c>
      <c r="E39" s="4">
        <f>IFERROR(E24/E7,"")</f>
        <v/>
      </c>
      <c r="F39" s="4">
        <f>IFERROR(F24/F7,"")</f>
        <v/>
      </c>
      <c r="G39" s="4">
        <f>IFERROR(G24/G7,"")</f>
        <v/>
      </c>
      <c r="H39" s="4">
        <f>IFERROR(H24/H7,"")</f>
        <v/>
      </c>
      <c r="I39" s="4">
        <f>IFERROR(I24/I7,"")</f>
        <v/>
      </c>
      <c r="J39" s="4">
        <f>IFERROR(J24/J7,"")</f>
        <v/>
      </c>
      <c r="K39" s="4">
        <f>IFERROR(K24/K7,"")</f>
        <v/>
      </c>
      <c r="L39" s="4">
        <f>IFERROR(L24/L7,"")</f>
        <v/>
      </c>
      <c r="M39" s="4">
        <f>IFERROR(M24/M7,"")</f>
        <v/>
      </c>
      <c r="N39" s="180">
        <f>IFERROR((L39/H39)^(1/4)-1,"")</f>
        <v/>
      </c>
      <c r="O39" s="180">
        <f>IFERROR(F39/E39-1,"")</f>
        <v/>
      </c>
      <c r="P39" s="180">
        <f>IFERROR((G39-F39)/F39,"")</f>
        <v/>
      </c>
      <c r="Q39" s="180">
        <f>IFERROR((H39-G39)/G39,"")</f>
        <v/>
      </c>
      <c r="R39" s="180">
        <f>IFERROR((I39-H39)/H39,"")</f>
        <v/>
      </c>
      <c r="S39" s="180">
        <f>IFERROR((J39-I39)/I39,"")</f>
        <v/>
      </c>
      <c r="T39" s="180">
        <f>IFERROR((K39-J39)/J39,"")</f>
        <v/>
      </c>
      <c r="U39" s="180">
        <f>IFERROR((L39-K39)/K39,"")</f>
        <v/>
      </c>
      <c r="V39" s="180">
        <f>IFERROR((M39-L39)/L39,"")</f>
        <v/>
      </c>
    </row>
    <row r="40">
      <c r="A40" s="174" t="inlineStr">
        <is>
          <t>玉山</t>
        </is>
      </c>
      <c r="B40" s="4">
        <f>IFERROR(B25/B8,"")</f>
        <v/>
      </c>
      <c r="C40" s="4">
        <f>IFERROR(C25/C8,"")</f>
        <v/>
      </c>
      <c r="D40" s="4">
        <f>IFERROR(D25/D8,"")</f>
        <v/>
      </c>
      <c r="E40" s="4">
        <f>IFERROR(E25/E8,"")</f>
        <v/>
      </c>
      <c r="F40" s="4">
        <f>IFERROR(F25/F8,"")</f>
        <v/>
      </c>
      <c r="G40" s="4">
        <f>IFERROR(G25/G8,"")</f>
        <v/>
      </c>
      <c r="H40" s="4">
        <f>IFERROR(H25/H8,"")</f>
        <v/>
      </c>
      <c r="I40" s="4">
        <f>IFERROR(I25/I8,"")</f>
        <v/>
      </c>
      <c r="J40" s="4">
        <f>IFERROR(J25/J8,"")</f>
        <v/>
      </c>
      <c r="K40" s="4">
        <f>IFERROR(K25/K8,"")</f>
        <v/>
      </c>
      <c r="L40" s="4">
        <f>IFERROR(L25/L8,"")</f>
        <v/>
      </c>
      <c r="M40" s="4">
        <f>IFERROR(M25/M8,"")</f>
        <v/>
      </c>
      <c r="N40" s="180">
        <f>IFERROR((L40/H40)^(1/4)-1,"")</f>
        <v/>
      </c>
      <c r="O40" s="180">
        <f>IFERROR(F40/E40-1,"")</f>
        <v/>
      </c>
      <c r="P40" s="180">
        <f>IFERROR((G40-F40)/F40,"")</f>
        <v/>
      </c>
      <c r="Q40" s="180">
        <f>IFERROR((H40-G40)/G40,"")</f>
        <v/>
      </c>
      <c r="R40" s="180">
        <f>IFERROR((I40-H40)/H40,"")</f>
        <v/>
      </c>
      <c r="S40" s="180">
        <f>IFERROR((J40-I40)/I40,"")</f>
        <v/>
      </c>
      <c r="T40" s="180">
        <f>IFERROR((K40-J40)/J40,"")</f>
        <v/>
      </c>
      <c r="U40" s="180">
        <f>IFERROR((L40-K40)/K40,"")</f>
        <v/>
      </c>
      <c r="V40" s="180">
        <f>IFERROR((M40-L40)/L40,"")</f>
        <v/>
      </c>
    </row>
    <row r="41">
      <c r="A41" s="174" t="inlineStr">
        <is>
          <t>台新</t>
        </is>
      </c>
      <c r="B41" s="4">
        <f>IFERROR(B26/B9,"")</f>
        <v/>
      </c>
      <c r="C41" s="4">
        <f>IFERROR(C26/C9,"")</f>
        <v/>
      </c>
      <c r="D41" s="4">
        <f>IFERROR(D26/D9,"")</f>
        <v/>
      </c>
      <c r="E41" s="4">
        <f>IFERROR(E26/E9,"")</f>
        <v/>
      </c>
      <c r="F41" s="4">
        <f>IFERROR(F26/F9,"")</f>
        <v/>
      </c>
      <c r="G41" s="4">
        <f>IFERROR(G26/G9,"")</f>
        <v/>
      </c>
      <c r="H41" s="4">
        <f>IFERROR(H26/H9,"")</f>
        <v/>
      </c>
      <c r="I41" s="4">
        <f>IFERROR(I26/I9,"")</f>
        <v/>
      </c>
      <c r="J41" s="4">
        <f>IFERROR(J26/J9,"")</f>
        <v/>
      </c>
      <c r="K41" s="4">
        <f>IFERROR(K26/K9,"")</f>
        <v/>
      </c>
      <c r="L41" s="4">
        <f>IFERROR(L26/L9,"")</f>
        <v/>
      </c>
      <c r="M41" s="4">
        <f>IFERROR(M26/M9,"")</f>
        <v/>
      </c>
      <c r="N41" s="180">
        <f>IFERROR((L41/H41)^(1/4)-1,"")</f>
        <v/>
      </c>
      <c r="O41" s="180">
        <f>IFERROR(F41/E41-1,"")</f>
        <v/>
      </c>
      <c r="P41" s="180">
        <f>IFERROR((G41-F41)/F41,"")</f>
        <v/>
      </c>
      <c r="Q41" s="180">
        <f>IFERROR((H41-G41)/G41,"")</f>
        <v/>
      </c>
      <c r="R41" s="180">
        <f>IFERROR((I41-H41)/H41,"")</f>
        <v/>
      </c>
      <c r="S41" s="180">
        <f>IFERROR((J41-I41)/I41,"")</f>
        <v/>
      </c>
      <c r="T41" s="180">
        <f>IFERROR((K41-J41)/J41,"")</f>
        <v/>
      </c>
      <c r="U41" s="180">
        <f>IFERROR((L41-K41)/K41,"")</f>
        <v/>
      </c>
      <c r="V41" s="180">
        <f>IFERROR((M41-L41)/L41,"")</f>
        <v/>
      </c>
    </row>
    <row r="42">
      <c r="A42" s="174" t="inlineStr">
        <is>
          <t>星展</t>
        </is>
      </c>
      <c r="B42" s="4">
        <f>IFERROR(B27/B10,"")</f>
        <v/>
      </c>
      <c r="C42" s="4">
        <f>IFERROR(C27/C10,"")</f>
        <v/>
      </c>
      <c r="D42" s="4">
        <f>IFERROR(D27/D10,"")</f>
        <v/>
      </c>
      <c r="E42" s="4">
        <f>IFERROR(E27/E10,"")</f>
        <v/>
      </c>
      <c r="F42" s="4">
        <f>IFERROR(F27/F10,"")</f>
        <v/>
      </c>
      <c r="G42" s="4">
        <f>IFERROR(G27/G10,"")</f>
        <v/>
      </c>
      <c r="H42" s="4">
        <f>IFERROR(H27/H10,"")</f>
        <v/>
      </c>
      <c r="I42" s="4">
        <f>IFERROR(I27/I10,"")</f>
        <v/>
      </c>
      <c r="J42" s="4">
        <f>IFERROR(J27/J10,"")</f>
        <v/>
      </c>
      <c r="K42" s="4">
        <f>IFERROR(K27/K10,"")</f>
        <v/>
      </c>
      <c r="L42" s="4">
        <f>IFERROR(L27/L10,"")</f>
        <v/>
      </c>
      <c r="M42" s="4">
        <f>IFERROR(M27/M10,"")</f>
        <v/>
      </c>
      <c r="N42" s="180">
        <f>IFERROR((L42/H42)^(1/4)-1,"")</f>
        <v/>
      </c>
      <c r="O42" s="180">
        <f>IFERROR(F42/E42-1,"")</f>
        <v/>
      </c>
      <c r="P42" s="180">
        <f>IFERROR((G42-F42)/F42,"")</f>
        <v/>
      </c>
      <c r="Q42" s="180">
        <f>IFERROR((H42-G42)/G42,"")</f>
        <v/>
      </c>
      <c r="R42" s="180">
        <f>IFERROR((I42-H42)/H42,"")</f>
        <v/>
      </c>
      <c r="S42" s="180">
        <f>IFERROR((J42-I42)/I42,"")</f>
        <v/>
      </c>
      <c r="T42" s="180">
        <f>IFERROR((K42-J42)/J42,"")</f>
        <v/>
      </c>
      <c r="U42" s="180">
        <f>IFERROR((L42-K42)/K42,"")</f>
        <v/>
      </c>
      <c r="V42" s="180">
        <f>IFERROR((M42-L42)/L42,"")</f>
        <v/>
      </c>
    </row>
    <row r="43">
      <c r="A43" s="174" t="inlineStr">
        <is>
          <t>聯邦</t>
        </is>
      </c>
      <c r="B43" s="4">
        <f>IFERROR(B28/B11,"")</f>
        <v/>
      </c>
      <c r="C43" s="4">
        <f>IFERROR(C28/C11,"")</f>
        <v/>
      </c>
      <c r="D43" s="4">
        <f>IFERROR(D28/D11,"")</f>
        <v/>
      </c>
      <c r="E43" s="4">
        <f>IFERROR(E28/E11,"")</f>
        <v/>
      </c>
      <c r="F43" s="4">
        <f>IFERROR(F28/F11,"")</f>
        <v/>
      </c>
      <c r="G43" s="4">
        <f>IFERROR(G28/G11,"")</f>
        <v/>
      </c>
      <c r="H43" s="4">
        <f>IFERROR(H28/H11,"")</f>
        <v/>
      </c>
      <c r="I43" s="4">
        <f>IFERROR(I28/I11,"")</f>
        <v/>
      </c>
      <c r="J43" s="4">
        <f>IFERROR(J28/J11,"")</f>
        <v/>
      </c>
      <c r="K43" s="4">
        <f>IFERROR(K28/K11,"")</f>
        <v/>
      </c>
      <c r="L43" s="4">
        <f>IFERROR(L28/L11,"")</f>
        <v/>
      </c>
      <c r="M43" s="4">
        <f>IFERROR(M28/M11,"")</f>
        <v/>
      </c>
      <c r="N43" s="180">
        <f>IFERROR((L43/H43)^(1/4)-1,"")</f>
        <v/>
      </c>
      <c r="O43" s="180">
        <f>IFERROR(F43/E43-1,"")</f>
        <v/>
      </c>
      <c r="P43" s="180">
        <f>IFERROR((G43-F43)/F43,"")</f>
        <v/>
      </c>
      <c r="Q43" s="180">
        <f>IFERROR((H43-G43)/G43,"")</f>
        <v/>
      </c>
      <c r="R43" s="180">
        <f>IFERROR((I43-H43)/H43,"")</f>
        <v/>
      </c>
      <c r="S43" s="180">
        <f>IFERROR((J43-I43)/I43,"")</f>
        <v/>
      </c>
      <c r="T43" s="180">
        <f>IFERROR((K43-J43)/J43,"")</f>
        <v/>
      </c>
      <c r="U43" s="180">
        <f>IFERROR((L43-K43)/K43,"")</f>
        <v/>
      </c>
      <c r="V43" s="180">
        <f>IFERROR((M43-L43)/L43,"")</f>
        <v/>
      </c>
    </row>
    <row r="44">
      <c r="A44" s="174" t="inlineStr">
        <is>
          <t>永豐</t>
        </is>
      </c>
      <c r="B44" s="4">
        <f>IFERROR(B29/B12,"")</f>
        <v/>
      </c>
      <c r="C44" s="4">
        <f>IFERROR(C29/C12,"")</f>
        <v/>
      </c>
      <c r="D44" s="4">
        <f>IFERROR(D29/D12,"")</f>
        <v/>
      </c>
      <c r="E44" s="4">
        <f>IFERROR(E29/E12,"")</f>
        <v/>
      </c>
      <c r="F44" s="4">
        <f>IFERROR(F29/F12,"")</f>
        <v/>
      </c>
      <c r="G44" s="4">
        <f>IFERROR(G29/G12,"")</f>
        <v/>
      </c>
      <c r="H44" s="4">
        <f>IFERROR(H29/H12,"")</f>
        <v/>
      </c>
      <c r="I44" s="4">
        <f>IFERROR(I29/I12,"")</f>
        <v/>
      </c>
      <c r="J44" s="4">
        <f>IFERROR(J29/J12,"")</f>
        <v/>
      </c>
      <c r="K44" s="4">
        <f>IFERROR(K29/K12,"")</f>
        <v/>
      </c>
      <c r="L44" s="4">
        <f>IFERROR(L29/L12,"")</f>
        <v/>
      </c>
      <c r="M44" s="4">
        <f>IFERROR(M29/M12,"")</f>
        <v/>
      </c>
      <c r="N44" s="180">
        <f>IFERROR((L44/H44)^(1/4)-1,"")</f>
        <v/>
      </c>
      <c r="O44" s="180">
        <f>IFERROR(F44/E44-1,"")</f>
        <v/>
      </c>
      <c r="P44" s="180">
        <f>IFERROR((G44-F44)/F44,"")</f>
        <v/>
      </c>
      <c r="Q44" s="180">
        <f>IFERROR((H44-G44)/G44,"")</f>
        <v/>
      </c>
      <c r="R44" s="180">
        <f>IFERROR((I44-H44)/H44,"")</f>
        <v/>
      </c>
      <c r="S44" s="180">
        <f>IFERROR((J44-I44)/I44,"")</f>
        <v/>
      </c>
      <c r="T44" s="180">
        <f>IFERROR((K44-J44)/J44,"")</f>
        <v/>
      </c>
      <c r="U44" s="180">
        <f>IFERROR((L44-K44)/K44,"")</f>
        <v/>
      </c>
      <c r="V44" s="180">
        <f>IFERROR((M44-L44)/L44,"")</f>
        <v/>
      </c>
    </row>
    <row r="45">
      <c r="A45" s="174" t="inlineStr">
        <is>
          <t>第一</t>
        </is>
      </c>
      <c r="B45" s="4">
        <f>IFERROR(B30/B13,"")</f>
        <v/>
      </c>
      <c r="C45" s="4">
        <f>IFERROR(C30/C13,"")</f>
        <v/>
      </c>
      <c r="D45" s="4">
        <f>IFERROR(D30/D13,"")</f>
        <v/>
      </c>
      <c r="E45" s="4">
        <f>IFERROR(E30/E13,"")</f>
        <v/>
      </c>
      <c r="F45" s="4">
        <f>IFERROR(F30/F13,"")</f>
        <v/>
      </c>
      <c r="G45" s="4">
        <f>IFERROR(G30/G13,"")</f>
        <v/>
      </c>
      <c r="H45" s="4">
        <f>IFERROR(H30/H13,"")</f>
        <v/>
      </c>
      <c r="I45" s="4">
        <f>IFERROR(I30/I13,"")</f>
        <v/>
      </c>
      <c r="J45" s="4">
        <f>IFERROR(J30/J13,"")</f>
        <v/>
      </c>
      <c r="K45" s="4">
        <f>IFERROR(K30/K13,"")</f>
        <v/>
      </c>
      <c r="L45" s="4">
        <f>IFERROR(L30/L13,"")</f>
        <v/>
      </c>
      <c r="M45" s="4">
        <f>IFERROR(M30/M13,"")</f>
        <v/>
      </c>
      <c r="N45" s="180">
        <f>IFERROR((L45/H45)^(1/4)-1,"")</f>
        <v/>
      </c>
      <c r="O45" s="180">
        <f>IFERROR(F45/E45-1,"")</f>
        <v/>
      </c>
      <c r="P45" s="180">
        <f>IFERROR((G45-F45)/F45,"")</f>
        <v/>
      </c>
      <c r="Q45" s="180">
        <f>IFERROR((H45-G45)/G45,"")</f>
        <v/>
      </c>
      <c r="R45" s="180">
        <f>IFERROR((I45-H45)/H45,"")</f>
        <v/>
      </c>
      <c r="S45" s="180">
        <f>IFERROR((J45-I45)/I45,"")</f>
        <v/>
      </c>
      <c r="T45" s="180">
        <f>IFERROR((K45-J45)/J45,"")</f>
        <v/>
      </c>
      <c r="U45" s="180">
        <f>IFERROR((L45-K45)/K45,"")</f>
        <v/>
      </c>
      <c r="V45" s="180">
        <f>IFERROR((M45-L45)/L45,"")</f>
        <v/>
      </c>
    </row>
    <row r="46">
      <c r="A46" s="174" t="inlineStr">
        <is>
          <t>遠東</t>
        </is>
      </c>
      <c r="B46" s="4">
        <f>IFERROR(B31/B14,"")</f>
        <v/>
      </c>
      <c r="C46" s="4">
        <f>IFERROR(C31/C14,"")</f>
        <v/>
      </c>
      <c r="D46" s="4">
        <f>IFERROR(D31/D14,"")</f>
        <v/>
      </c>
      <c r="E46" s="4">
        <f>IFERROR(E31/E14,"")</f>
        <v/>
      </c>
      <c r="F46" s="4">
        <f>IFERROR(F31/F14,"")</f>
        <v/>
      </c>
      <c r="G46" s="4">
        <f>IFERROR(G31/G14,"")</f>
        <v/>
      </c>
      <c r="H46" s="4">
        <f>IFERROR(H31/H14,"")</f>
        <v/>
      </c>
      <c r="I46" s="4">
        <f>IFERROR(I31/I14,"")</f>
        <v/>
      </c>
      <c r="J46" s="4">
        <f>IFERROR(J31/J14,"")</f>
        <v/>
      </c>
      <c r="K46" s="4">
        <f>IFERROR(K31/K14,"")</f>
        <v/>
      </c>
      <c r="L46" s="4">
        <f>IFERROR(L31/L14,"")</f>
        <v/>
      </c>
      <c r="M46" s="4">
        <f>IFERROR(M31/M14,"")</f>
        <v/>
      </c>
      <c r="N46" s="180">
        <f>IFERROR((L46/H46)^(1/4)-1,"")</f>
        <v/>
      </c>
      <c r="O46" s="180">
        <f>IFERROR(F46/E46-1,"")</f>
        <v/>
      </c>
      <c r="P46" s="180">
        <f>IFERROR((G46-F46)/F46,"")</f>
        <v/>
      </c>
      <c r="Q46" s="180">
        <f>IFERROR((H46-G46)/G46,"")</f>
        <v/>
      </c>
      <c r="R46" s="180">
        <f>IFERROR((I46-H46)/H46,"")</f>
        <v/>
      </c>
      <c r="S46" s="180">
        <f>IFERROR((J46-I46)/I46,"")</f>
        <v/>
      </c>
      <c r="T46" s="180">
        <f>IFERROR((K46-J46)/J46,"")</f>
        <v/>
      </c>
      <c r="U46" s="180">
        <f>IFERROR((L46-K46)/K46,"")</f>
        <v/>
      </c>
      <c r="V46" s="180">
        <f>IFERROR((M46-L46)/L46,"")</f>
        <v/>
      </c>
    </row>
    <row r="47">
      <c r="A47" s="170" t="inlineStr">
        <is>
          <t>市場總計</t>
        </is>
      </c>
      <c r="B47" s="33">
        <f>IFERROR(B32/B15,"")</f>
        <v/>
      </c>
      <c r="C47" s="33">
        <f>IFERROR(C32/C15,"")</f>
        <v/>
      </c>
      <c r="D47" s="33">
        <f>IFERROR(D32/D15,"")</f>
        <v/>
      </c>
      <c r="E47" s="33">
        <f>IFERROR(E32/E15,"")</f>
        <v/>
      </c>
      <c r="F47" s="33">
        <f>IFERROR(F32/F15,"")</f>
        <v/>
      </c>
      <c r="G47" s="33">
        <f>IFERROR(G32/G15,"")</f>
        <v/>
      </c>
      <c r="H47" s="33">
        <f>IFERROR(H32/H15,"")</f>
        <v/>
      </c>
      <c r="I47" s="33">
        <f>IFERROR(I32/I15,"")</f>
        <v/>
      </c>
      <c r="J47" s="33">
        <f>IFERROR(J32/J15,"")</f>
        <v/>
      </c>
      <c r="K47" s="33">
        <f>IFERROR(K32/K15,"")</f>
        <v/>
      </c>
      <c r="L47" s="33">
        <f>IFERROR(L32/L15,"")</f>
        <v/>
      </c>
      <c r="M47" s="33">
        <f>IFERROR(M32/M15,"")</f>
        <v/>
      </c>
      <c r="N47" s="194">
        <f>IFERROR((L47/H47)^(1/4)-1,"")</f>
        <v/>
      </c>
      <c r="O47" s="194">
        <f>IFERROR(F47/E47-1,"")</f>
        <v/>
      </c>
      <c r="P47" s="194">
        <f>IFERROR((G47-F47)/F47,"")</f>
        <v/>
      </c>
      <c r="Q47" s="194">
        <f>IFERROR((H47-G47)/G47,"")</f>
        <v/>
      </c>
      <c r="R47" s="194">
        <f>IFERROR((I47-H47)/H47,"")</f>
        <v/>
      </c>
      <c r="S47" s="194">
        <f>IFERROR((J47-I47)/I47,"")</f>
        <v/>
      </c>
      <c r="T47" s="194">
        <f>IFERROR((K47-J47)/J47,"")</f>
        <v/>
      </c>
      <c r="U47" s="194">
        <f>IFERROR((L47-K47)/K47,"")</f>
        <v/>
      </c>
      <c r="V47" s="195">
        <f>IFERROR((M47-L47)/L47,"")</f>
        <v/>
      </c>
    </row>
    <row r="48">
      <c r="A48" s="172" t="n"/>
      <c r="B48" s="172" t="n"/>
      <c r="C48" s="172" t="n"/>
      <c r="D48" s="172" t="n"/>
      <c r="E48" s="172" t="n"/>
      <c r="F48" s="172" t="n"/>
      <c r="N48" s="192" t="n"/>
      <c r="O48" s="192" t="n"/>
      <c r="P48" s="192" t="n"/>
      <c r="Q48" s="192" t="n"/>
    </row>
    <row r="49">
      <c r="A49" s="141" t="inlineStr">
        <is>
          <t>淨發卡(張)</t>
        </is>
      </c>
      <c r="B49" s="141">
        <f>B$1</f>
        <v/>
      </c>
      <c r="C49" s="141">
        <f>C$1</f>
        <v/>
      </c>
      <c r="D49" s="141">
        <f>D$1</f>
        <v/>
      </c>
      <c r="E49" s="141">
        <f>E$1</f>
        <v/>
      </c>
      <c r="F49" s="141">
        <f>F$1</f>
        <v/>
      </c>
      <c r="G49" s="141">
        <f>G$1</f>
        <v/>
      </c>
      <c r="H49" s="141">
        <f>H$1</f>
        <v/>
      </c>
      <c r="I49" s="141">
        <f>I$1</f>
        <v/>
      </c>
      <c r="J49" s="141">
        <f>J$1</f>
        <v/>
      </c>
      <c r="K49" s="141">
        <f>K$1</f>
        <v/>
      </c>
      <c r="L49" s="141">
        <f>L$1</f>
        <v/>
      </c>
      <c r="M49" s="141">
        <f>M$1</f>
        <v/>
      </c>
      <c r="N49" s="141">
        <f>N$1</f>
        <v/>
      </c>
      <c r="O49" s="141">
        <f>O$1</f>
        <v/>
      </c>
      <c r="P49" s="141">
        <f>P$1</f>
        <v/>
      </c>
      <c r="Q49" s="141">
        <f>Q$1</f>
        <v/>
      </c>
      <c r="R49" s="141">
        <f>R$1</f>
        <v/>
      </c>
      <c r="S49" s="141">
        <f>S$1</f>
        <v/>
      </c>
      <c r="T49" s="141">
        <f>T$1</f>
        <v/>
      </c>
      <c r="U49" s="141">
        <f>U$1</f>
        <v/>
      </c>
      <c r="V49" s="141">
        <f>V$1</f>
        <v/>
      </c>
    </row>
    <row r="50">
      <c r="A50" s="174" t="inlineStr">
        <is>
          <t>中信</t>
        </is>
      </c>
      <c r="B50" s="182">
        <f>IFERROR(B63-B78,"")</f>
        <v/>
      </c>
      <c r="C50" s="182">
        <f>IFERROR(C63-C78,"")</f>
        <v/>
      </c>
      <c r="D50" s="182">
        <f>IFERROR(D63-D78,"")</f>
        <v/>
      </c>
      <c r="E50" s="182">
        <f>IFERROR(E63-E78,"")</f>
        <v/>
      </c>
      <c r="F50" s="182">
        <f>IFERROR(F63-F78,"")</f>
        <v/>
      </c>
      <c r="G50" s="182">
        <f>IFERROR(G63-G78,"")</f>
        <v/>
      </c>
      <c r="H50" s="182">
        <f>IFERROR(H63-H78,"")</f>
        <v/>
      </c>
      <c r="I50" s="182">
        <f>IFERROR(I63-I78,"")</f>
        <v/>
      </c>
      <c r="J50" s="182">
        <f>IFERROR(J63-J78,"")</f>
        <v/>
      </c>
      <c r="K50" s="182">
        <f>IFERROR(K63-K78,"")</f>
        <v/>
      </c>
      <c r="L50" s="182">
        <f>IFERROR(L63-L78,"")</f>
        <v/>
      </c>
      <c r="M50" s="182">
        <f>IFERROR(M63-M78,"")</f>
        <v/>
      </c>
      <c r="N50" s="180">
        <f>IFERROR((L50/H50)^(1/4)-1, "-")</f>
        <v/>
      </c>
      <c r="O50" s="180">
        <f>IFERROR(F50/E50-1,"")</f>
        <v/>
      </c>
      <c r="P50" s="180">
        <f>IFERROR((G50-F50)/F50,"")</f>
        <v/>
      </c>
      <c r="Q50" s="180">
        <f>IFERROR((H50-G50)/G50,"")</f>
        <v/>
      </c>
      <c r="R50" s="180">
        <f>IFERROR((I50-H50)/H50,"")</f>
        <v/>
      </c>
      <c r="S50" s="180">
        <f>IFERROR((J50-I50)/I50,"")</f>
        <v/>
      </c>
      <c r="T50" s="180">
        <f>IFERROR((K50-J50)/J50,"")</f>
        <v/>
      </c>
      <c r="U50" s="180">
        <f>IFERROR((L50-K50)/K50,"")</f>
        <v/>
      </c>
      <c r="V50" s="180">
        <f>IFERROR((M50-L50)/L50,"")</f>
        <v/>
      </c>
    </row>
    <row r="51">
      <c r="A51" s="174" t="inlineStr">
        <is>
          <t>富邦</t>
        </is>
      </c>
      <c r="B51" s="182">
        <f>IFERROR(B64-B79,"")</f>
        <v/>
      </c>
      <c r="C51" s="182">
        <f>IFERROR(C64-C79,"")</f>
        <v/>
      </c>
      <c r="D51" s="182">
        <f>IFERROR(D64-D79,"")</f>
        <v/>
      </c>
      <c r="E51" s="182">
        <f>IFERROR(E64-E79,"")</f>
        <v/>
      </c>
      <c r="F51" s="182">
        <f>IFERROR(F64-F79,"")</f>
        <v/>
      </c>
      <c r="G51" s="182">
        <f>IFERROR(G64-G79,"")</f>
        <v/>
      </c>
      <c r="H51" s="182">
        <f>IFERROR(H64-H79,"")</f>
        <v/>
      </c>
      <c r="I51" s="182">
        <f>IFERROR(I64-I79,"")</f>
        <v/>
      </c>
      <c r="J51" s="182">
        <f>IFERROR(J64-J79,"")</f>
        <v/>
      </c>
      <c r="K51" s="182">
        <f>IFERROR(K64-K79,"")</f>
        <v/>
      </c>
      <c r="L51" s="182">
        <f>IFERROR(L64-L79,"")</f>
        <v/>
      </c>
      <c r="M51" s="182">
        <f>IFERROR(M64-M79,"")</f>
        <v/>
      </c>
      <c r="N51" s="180">
        <f>IFERROR((L51/H51)^(1/4)-1, "-")</f>
        <v/>
      </c>
      <c r="O51" s="180">
        <f>IFERROR(F51/E51-1,"")</f>
        <v/>
      </c>
      <c r="P51" s="180">
        <f>IFERROR((G51-F51)/F51,"")</f>
        <v/>
      </c>
      <c r="Q51" s="180">
        <f>IFERROR((H51-G51)/G51,"")</f>
        <v/>
      </c>
      <c r="R51" s="180">
        <f>IFERROR((I51-H51)/H51,"")</f>
        <v/>
      </c>
      <c r="S51" s="180">
        <f>IFERROR((J51-I51)/I51,"")</f>
        <v/>
      </c>
      <c r="T51" s="180">
        <f>IFERROR((K51-J51)/J51,"")</f>
        <v/>
      </c>
      <c r="U51" s="180">
        <f>IFERROR((L51-K51)/K51,"")</f>
        <v/>
      </c>
      <c r="V51" s="180">
        <f>IFERROR((M51-L51)/L51,"")</f>
        <v/>
      </c>
    </row>
    <row r="52">
      <c r="A52" s="174" t="inlineStr">
        <is>
          <t>國泰</t>
        </is>
      </c>
      <c r="B52" s="182">
        <f>IFERROR(B65-B80,"")</f>
        <v/>
      </c>
      <c r="C52" s="182">
        <f>IFERROR(C65-C80,"")</f>
        <v/>
      </c>
      <c r="D52" s="182">
        <f>IFERROR(D65-D80,"")</f>
        <v/>
      </c>
      <c r="E52" s="182">
        <f>IFERROR(E65-E80,"")</f>
        <v/>
      </c>
      <c r="F52" s="182">
        <f>IFERROR(F65-F80,"")</f>
        <v/>
      </c>
      <c r="G52" s="182">
        <f>IFERROR(G65-G80,"")</f>
        <v/>
      </c>
      <c r="H52" s="182">
        <f>IFERROR(H65-H80,"")</f>
        <v/>
      </c>
      <c r="I52" s="182">
        <f>IFERROR(I65-I80,"")</f>
        <v/>
      </c>
      <c r="J52" s="182">
        <f>IFERROR(J65-J80,"")</f>
        <v/>
      </c>
      <c r="K52" s="182">
        <f>IFERROR(K65-K80,"")</f>
        <v/>
      </c>
      <c r="L52" s="182">
        <f>IFERROR(L65-L80,"")</f>
        <v/>
      </c>
      <c r="M52" s="182">
        <f>IFERROR(M65-M80,"")</f>
        <v/>
      </c>
      <c r="N52" s="197">
        <f>IFERROR((L52/H52)^(1/4)-1, "-")</f>
        <v/>
      </c>
      <c r="O52" s="180">
        <f>IFERROR(F52/E52-1,"")</f>
        <v/>
      </c>
      <c r="P52" s="180">
        <f>IFERROR((G52-F52)/F52,"")</f>
        <v/>
      </c>
      <c r="Q52" s="180">
        <f>IFERROR((H52-G52)/G52,"")</f>
        <v/>
      </c>
      <c r="R52" s="180">
        <f>IFERROR((I52-H52)/H52,"")</f>
        <v/>
      </c>
      <c r="S52" s="180">
        <f>IFERROR((J52-I52)/I52,"")</f>
        <v/>
      </c>
      <c r="T52" s="180">
        <f>IFERROR((K52-J52)/J52,"")</f>
        <v/>
      </c>
      <c r="U52" s="180">
        <f>IFERROR((L52-K52)/K52,"")</f>
        <v/>
      </c>
      <c r="V52" s="180">
        <f>IFERROR((M52-L52)/L52,"")</f>
        <v/>
      </c>
    </row>
    <row r="53">
      <c r="A53" s="174" t="inlineStr">
        <is>
          <t>玉山</t>
        </is>
      </c>
      <c r="B53" s="182">
        <f>IFERROR(B66-B81,"")</f>
        <v/>
      </c>
      <c r="C53" s="182">
        <f>IFERROR(C66-C81,"")</f>
        <v/>
      </c>
      <c r="D53" s="182">
        <f>IFERROR(D66-D81,"")</f>
        <v/>
      </c>
      <c r="E53" s="182">
        <f>IFERROR(E66-E81,"")</f>
        <v/>
      </c>
      <c r="F53" s="182">
        <f>IFERROR(F66-F81,"")</f>
        <v/>
      </c>
      <c r="G53" s="182">
        <f>IFERROR(G66-G81,"")</f>
        <v/>
      </c>
      <c r="H53" s="182">
        <f>IFERROR(H66-H81,"")</f>
        <v/>
      </c>
      <c r="I53" s="182">
        <f>IFERROR(I66-I81,"")</f>
        <v/>
      </c>
      <c r="J53" s="182">
        <f>IFERROR(J66-J81,"")</f>
        <v/>
      </c>
      <c r="K53" s="182">
        <f>IFERROR(K66-K81,"")</f>
        <v/>
      </c>
      <c r="L53" s="182">
        <f>IFERROR(L66-L81,"")</f>
        <v/>
      </c>
      <c r="M53" s="182">
        <f>IFERROR(M66-M81,"")</f>
        <v/>
      </c>
      <c r="N53" s="197">
        <f>IFERROR((L53/H53)^(1/4)-1, "-")</f>
        <v/>
      </c>
      <c r="O53" s="180">
        <f>IFERROR(F53/E53-1,"")</f>
        <v/>
      </c>
      <c r="P53" s="180">
        <f>IFERROR((G53-F53)/F53,"")</f>
        <v/>
      </c>
      <c r="Q53" s="180">
        <f>IFERROR((H53-G53)/G53,"")</f>
        <v/>
      </c>
      <c r="R53" s="180">
        <f>IFERROR((I53-H53)/H53,"")</f>
        <v/>
      </c>
      <c r="S53" s="180">
        <f>IFERROR((J53-I53)/I53,"")</f>
        <v/>
      </c>
      <c r="T53" s="180">
        <f>IFERROR((K53-J53)/J53,"")</f>
        <v/>
      </c>
      <c r="U53" s="180">
        <f>IFERROR((L53-K53)/K53,"")</f>
        <v/>
      </c>
      <c r="V53" s="180">
        <f>IFERROR((M53-L53)/L53,"")</f>
        <v/>
      </c>
    </row>
    <row r="54">
      <c r="A54" s="174" t="inlineStr">
        <is>
          <t>台新</t>
        </is>
      </c>
      <c r="B54" s="182">
        <f>IFERROR(B67-B82,"")</f>
        <v/>
      </c>
      <c r="C54" s="182">
        <f>IFERROR(C67-C82,"")</f>
        <v/>
      </c>
      <c r="D54" s="182">
        <f>IFERROR(D67-D82,"")</f>
        <v/>
      </c>
      <c r="E54" s="182">
        <f>IFERROR(E67-E82,"")</f>
        <v/>
      </c>
      <c r="F54" s="182">
        <f>IFERROR(F67-F82,"")</f>
        <v/>
      </c>
      <c r="G54" s="182">
        <f>IFERROR(G67-G82,"")</f>
        <v/>
      </c>
      <c r="H54" s="182">
        <f>IFERROR(H67-H82,"")</f>
        <v/>
      </c>
      <c r="I54" s="182">
        <f>IFERROR(I67-I82,"")</f>
        <v/>
      </c>
      <c r="J54" s="182">
        <f>IFERROR(J67-J82,"")</f>
        <v/>
      </c>
      <c r="K54" s="182">
        <f>IFERROR(K67-K82,"")</f>
        <v/>
      </c>
      <c r="L54" s="182">
        <f>IFERROR(L67-L82,"")</f>
        <v/>
      </c>
      <c r="M54" s="182">
        <f>IFERROR(M67-M82,"")</f>
        <v/>
      </c>
      <c r="N54" s="197">
        <f>IFERROR((L54/H54)^(1/4)-1, "-")</f>
        <v/>
      </c>
      <c r="O54" s="180">
        <f>IFERROR(F54/E54-1,"")</f>
        <v/>
      </c>
      <c r="P54" s="180">
        <f>IFERROR((G54-F54)/F54,"")</f>
        <v/>
      </c>
      <c r="Q54" s="180">
        <f>IFERROR((H54-G54)/G54,"")</f>
        <v/>
      </c>
      <c r="R54" s="180">
        <f>IFERROR((I54-H54)/H54,"")</f>
        <v/>
      </c>
      <c r="S54" s="180">
        <f>IFERROR((J54-I54)/I54,"")</f>
        <v/>
      </c>
      <c r="T54" s="180">
        <f>IFERROR((K54-J54)/J54,"")</f>
        <v/>
      </c>
      <c r="U54" s="180">
        <f>IFERROR((L54-K54)/K54,"")</f>
        <v/>
      </c>
      <c r="V54" s="180">
        <f>IFERROR((M54-L54)/L54,"")</f>
        <v/>
      </c>
    </row>
    <row r="55">
      <c r="A55" s="174" t="inlineStr">
        <is>
          <t>星展</t>
        </is>
      </c>
      <c r="B55" s="182">
        <f>IFERROR(B68-B83,"")</f>
        <v/>
      </c>
      <c r="C55" s="182">
        <f>IFERROR(C68-C83,"")</f>
        <v/>
      </c>
      <c r="D55" s="182">
        <f>IFERROR(D68-D83,"")</f>
        <v/>
      </c>
      <c r="E55" s="182">
        <f>IFERROR(E68-E83,"")</f>
        <v/>
      </c>
      <c r="F55" s="182">
        <f>IFERROR(F68-F83,"")</f>
        <v/>
      </c>
      <c r="G55" s="182">
        <f>IFERROR(G68-G83,"")</f>
        <v/>
      </c>
      <c r="H55" s="182">
        <f>IFERROR(H68-H83,"")</f>
        <v/>
      </c>
      <c r="I55" s="182">
        <f>IFERROR(I68-I83,"")</f>
        <v/>
      </c>
      <c r="J55" s="182">
        <f>IFERROR(J68-J83,"")</f>
        <v/>
      </c>
      <c r="K55" s="182">
        <f>IFERROR(K68-K83,"")</f>
        <v/>
      </c>
      <c r="L55" s="182">
        <f>IFERROR(L68-L83,"")</f>
        <v/>
      </c>
      <c r="M55" s="182">
        <f>IFERROR(M68-M83,"")</f>
        <v/>
      </c>
      <c r="N55" s="197">
        <f>IFERROR((L55/H55)^(1/4)-1, "-")</f>
        <v/>
      </c>
      <c r="O55" s="180">
        <f>IFERROR(F55/E55-1,"")</f>
        <v/>
      </c>
      <c r="P55" s="180">
        <f>IFERROR((G55-F55)/F55,"")</f>
        <v/>
      </c>
      <c r="Q55" s="180">
        <f>IFERROR((H55-G55)/G55,"")</f>
        <v/>
      </c>
      <c r="R55" s="180">
        <f>IFERROR((I55-H55)/H55,"")</f>
        <v/>
      </c>
      <c r="S55" s="180">
        <f>IFERROR((J55-I55)/I55,"")</f>
        <v/>
      </c>
      <c r="T55" s="180">
        <f>IFERROR((K55-J55)/J55,"")</f>
        <v/>
      </c>
      <c r="U55" s="180">
        <f>IFERROR((L55-K55)/K55,"")</f>
        <v/>
      </c>
      <c r="V55" s="180">
        <f>IFERROR((M55-L55)/L55,"")</f>
        <v/>
      </c>
    </row>
    <row r="56">
      <c r="A56" s="174" t="inlineStr">
        <is>
          <t>聯邦</t>
        </is>
      </c>
      <c r="B56" s="182">
        <f>IFERROR(B69-B84,"")</f>
        <v/>
      </c>
      <c r="C56" s="182">
        <f>IFERROR(C69-C84,"")</f>
        <v/>
      </c>
      <c r="D56" s="182">
        <f>IFERROR(D69-D84,"")</f>
        <v/>
      </c>
      <c r="E56" s="182">
        <f>IFERROR(E69-E84,"")</f>
        <v/>
      </c>
      <c r="F56" s="182">
        <f>IFERROR(F69-F84,"")</f>
        <v/>
      </c>
      <c r="G56" s="182">
        <f>IFERROR(G69-G84,"")</f>
        <v/>
      </c>
      <c r="H56" s="182">
        <f>IFERROR(H69-H84,"")</f>
        <v/>
      </c>
      <c r="I56" s="182">
        <f>IFERROR(I69-I84,"")</f>
        <v/>
      </c>
      <c r="J56" s="182">
        <f>IFERROR(J69-J84,"")</f>
        <v/>
      </c>
      <c r="K56" s="182">
        <f>IFERROR(K69-K84,"")</f>
        <v/>
      </c>
      <c r="L56" s="182">
        <f>IFERROR(L69-L84,"")</f>
        <v/>
      </c>
      <c r="M56" s="182">
        <f>IFERROR(M69-M84,"")</f>
        <v/>
      </c>
      <c r="N56" s="197">
        <f>IFERROR((L56/H56)^(1/4)-1, "-")</f>
        <v/>
      </c>
      <c r="O56" s="180">
        <f>IFERROR(F56/E56-1,"")</f>
        <v/>
      </c>
      <c r="P56" s="180">
        <f>IFERROR((G56-F56)/F56,"")</f>
        <v/>
      </c>
      <c r="Q56" s="180">
        <f>IFERROR((H56-G56)/G56,"")</f>
        <v/>
      </c>
      <c r="R56" s="180">
        <f>IFERROR((I56-H56)/H56,"")</f>
        <v/>
      </c>
      <c r="S56" s="180">
        <f>IFERROR((J56-I56)/I56,"")</f>
        <v/>
      </c>
      <c r="T56" s="180">
        <f>IFERROR((K56-J56)/J56,"")</f>
        <v/>
      </c>
      <c r="U56" s="180">
        <f>IFERROR((L56-K56)/K56,"")</f>
        <v/>
      </c>
      <c r="V56" s="180">
        <f>IFERROR((M56-L56)/L56,"")</f>
        <v/>
      </c>
    </row>
    <row r="57">
      <c r="A57" s="174" t="inlineStr">
        <is>
          <t>永豐</t>
        </is>
      </c>
      <c r="B57" s="182">
        <f>IFERROR(B70-B85,"")</f>
        <v/>
      </c>
      <c r="C57" s="182">
        <f>IFERROR(C70-C85,"")</f>
        <v/>
      </c>
      <c r="D57" s="182">
        <f>IFERROR(D70-D85,"")</f>
        <v/>
      </c>
      <c r="E57" s="182">
        <f>IFERROR(E70-E85,"")</f>
        <v/>
      </c>
      <c r="F57" s="182">
        <f>IFERROR(F70-F85,"")</f>
        <v/>
      </c>
      <c r="G57" s="182">
        <f>IFERROR(G70-G85,"")</f>
        <v/>
      </c>
      <c r="H57" s="182">
        <f>IFERROR(H70-H85,"")</f>
        <v/>
      </c>
      <c r="I57" s="182">
        <f>IFERROR(I70-I85,"")</f>
        <v/>
      </c>
      <c r="J57" s="182">
        <f>IFERROR(J70-J85,"")</f>
        <v/>
      </c>
      <c r="K57" s="182">
        <f>IFERROR(K70-K85,"")</f>
        <v/>
      </c>
      <c r="L57" s="182">
        <f>IFERROR(L70-L85,"")</f>
        <v/>
      </c>
      <c r="M57" s="182">
        <f>IFERROR(M70-M85,"")</f>
        <v/>
      </c>
      <c r="N57" s="197">
        <f>IFERROR((L57/H57)^(1/4)-1, "-")</f>
        <v/>
      </c>
      <c r="O57" s="180">
        <f>IFERROR(F57/E57-1,"")</f>
        <v/>
      </c>
      <c r="P57" s="180">
        <f>IFERROR((G57-F57)/F57,"")</f>
        <v/>
      </c>
      <c r="Q57" s="180">
        <f>IFERROR((H57-G57)/G57,"")</f>
        <v/>
      </c>
      <c r="R57" s="180">
        <f>IFERROR((I57-H57)/H57,"")</f>
        <v/>
      </c>
      <c r="S57" s="180">
        <f>IFERROR((J57-I57)/I57,"")</f>
        <v/>
      </c>
      <c r="T57" s="180">
        <f>IFERROR((K57-J57)/J57,"")</f>
        <v/>
      </c>
      <c r="U57" s="180">
        <f>IFERROR((L57-K57)/K57,"")</f>
        <v/>
      </c>
      <c r="V57" s="180">
        <f>IFERROR((M57-L57)/L57,"")</f>
        <v/>
      </c>
    </row>
    <row r="58">
      <c r="A58" s="174" t="inlineStr">
        <is>
          <t>第一</t>
        </is>
      </c>
      <c r="B58" s="182">
        <f>IFERROR(B71-B86,"")</f>
        <v/>
      </c>
      <c r="C58" s="182">
        <f>IFERROR(C71-C86,"")</f>
        <v/>
      </c>
      <c r="D58" s="182">
        <f>IFERROR(D71-D86,"")</f>
        <v/>
      </c>
      <c r="E58" s="182">
        <f>IFERROR(E71-E86,"")</f>
        <v/>
      </c>
      <c r="F58" s="182">
        <f>IFERROR(F71-F86,"")</f>
        <v/>
      </c>
      <c r="G58" s="182">
        <f>IFERROR(G71-G86,"")</f>
        <v/>
      </c>
      <c r="H58" s="182">
        <f>IFERROR(H71-H86,"")</f>
        <v/>
      </c>
      <c r="I58" s="182">
        <f>IFERROR(I71-I86,"")</f>
        <v/>
      </c>
      <c r="J58" s="182">
        <f>IFERROR(J71-J86,"")</f>
        <v/>
      </c>
      <c r="K58" s="182">
        <f>IFERROR(K71-K86,"")</f>
        <v/>
      </c>
      <c r="L58" s="182">
        <f>IFERROR(L71-L86,"")</f>
        <v/>
      </c>
      <c r="M58" s="182">
        <f>IFERROR(M71-M86,"")</f>
        <v/>
      </c>
      <c r="N58" s="197">
        <f>IFERROR((L58/H58)^(1/4)-1, "-")</f>
        <v/>
      </c>
      <c r="O58" s="180">
        <f>IFERROR(F58/E58-1,"")</f>
        <v/>
      </c>
      <c r="P58" s="180">
        <f>IFERROR((G58-F58)/F58,"")</f>
        <v/>
      </c>
      <c r="Q58" s="180">
        <f>IFERROR((H58-G58)/G58,"")</f>
        <v/>
      </c>
      <c r="R58" s="180">
        <f>IFERROR((I58-H58)/H58,"")</f>
        <v/>
      </c>
      <c r="S58" s="180">
        <f>IFERROR((J58-I58)/I58,"")</f>
        <v/>
      </c>
      <c r="T58" s="180">
        <f>IFERROR((K58-J58)/J58,"")</f>
        <v/>
      </c>
      <c r="U58" s="180">
        <f>IFERROR((L58-K58)/K58,"")</f>
        <v/>
      </c>
      <c r="V58" s="180">
        <f>IFERROR((M58-L58)/L58,"")</f>
        <v/>
      </c>
    </row>
    <row r="59">
      <c r="A59" s="174" t="inlineStr">
        <is>
          <t>遠東</t>
        </is>
      </c>
      <c r="B59" s="182">
        <f>IFERROR(B72-B87,"")</f>
        <v/>
      </c>
      <c r="C59" s="182">
        <f>IFERROR(C72-C87,"")</f>
        <v/>
      </c>
      <c r="D59" s="182">
        <f>IFERROR(D72-D87,"")</f>
        <v/>
      </c>
      <c r="E59" s="182">
        <f>IFERROR(E72-E87,"")</f>
        <v/>
      </c>
      <c r="F59" s="182">
        <f>IFERROR(F72-F87,"")</f>
        <v/>
      </c>
      <c r="G59" s="182">
        <f>IFERROR(G72-G87,"")</f>
        <v/>
      </c>
      <c r="H59" s="182">
        <f>IFERROR(H72-H87,"")</f>
        <v/>
      </c>
      <c r="I59" s="182">
        <f>IFERROR(I72-I87,"")</f>
        <v/>
      </c>
      <c r="J59" s="182">
        <f>IFERROR(J72-J87,"")</f>
        <v/>
      </c>
      <c r="K59" s="182">
        <f>IFERROR(K72-K87,"")</f>
        <v/>
      </c>
      <c r="L59" s="182">
        <f>IFERROR(L72-L87,"")</f>
        <v/>
      </c>
      <c r="M59" s="182">
        <f>IFERROR(M72-M87,"")</f>
        <v/>
      </c>
      <c r="N59" s="197">
        <f>IFERROR((L59/H59)^(1/4)-1, "-")</f>
        <v/>
      </c>
      <c r="O59" s="180">
        <f>IFERROR(F59/E59-1,"")</f>
        <v/>
      </c>
      <c r="P59" s="180">
        <f>IFERROR((G59-F59)/F59,"")</f>
        <v/>
      </c>
      <c r="Q59" s="180">
        <f>IFERROR((H59-G59)/G59,"")</f>
        <v/>
      </c>
      <c r="R59" s="180">
        <f>IFERROR((I59-H59)/H59,"")</f>
        <v/>
      </c>
      <c r="S59" s="180">
        <f>IFERROR((J59-I59)/I59,"")</f>
        <v/>
      </c>
      <c r="T59" s="180">
        <f>IFERROR((K59-J59)/J59,"")</f>
        <v/>
      </c>
      <c r="U59" s="180">
        <f>IFERROR((L59-K59)/K59,"")</f>
        <v/>
      </c>
      <c r="V59" s="180">
        <f>IFERROR((M59-L59)/L59,"")</f>
        <v/>
      </c>
    </row>
    <row r="60">
      <c r="A60" s="170" t="inlineStr">
        <is>
          <t>市場總計</t>
        </is>
      </c>
      <c r="B60" s="184">
        <f>IFERROR(B73-B88,"")</f>
        <v/>
      </c>
      <c r="C60" s="184">
        <f>IFERROR(C73-C88,"")</f>
        <v/>
      </c>
      <c r="D60" s="184">
        <f>IFERROR(D73-D88,"")</f>
        <v/>
      </c>
      <c r="E60" s="184">
        <f>IFERROR(E73-E88,"")</f>
        <v/>
      </c>
      <c r="F60" s="184">
        <f>IFERROR(F73-F88,"")</f>
        <v/>
      </c>
      <c r="G60" s="184">
        <f>IFERROR(G73-G88,"")</f>
        <v/>
      </c>
      <c r="H60" s="184">
        <f>IFERROR(H73-H88,"")</f>
        <v/>
      </c>
      <c r="I60" s="184">
        <f>IFERROR(I73-I88,"")</f>
        <v/>
      </c>
      <c r="J60" s="184">
        <f>IFERROR(J73-J88,"")</f>
        <v/>
      </c>
      <c r="K60" s="184">
        <f>IFERROR(K73-K88,"")</f>
        <v/>
      </c>
      <c r="L60" s="184">
        <f>IFERROR(L73-L88,"")</f>
        <v/>
      </c>
      <c r="M60" s="184">
        <f>IFERROR(M73-M88,"")</f>
        <v/>
      </c>
      <c r="N60" s="198">
        <f>IFERROR((L60/H60)^(1/4)-1, "-")</f>
        <v/>
      </c>
      <c r="O60" s="194">
        <f>IFERROR(F60/E60-1,"")</f>
        <v/>
      </c>
      <c r="P60" s="194">
        <f>IFERROR((G60-F60)/F60,"")</f>
        <v/>
      </c>
      <c r="Q60" s="194">
        <f>IFERROR((H60-G60)/G60,"")</f>
        <v/>
      </c>
      <c r="R60" s="194">
        <f>IFERROR((I60-H60)/H60,"")</f>
        <v/>
      </c>
      <c r="S60" s="194">
        <f>IFERROR((J60-I60)/I60,"")</f>
        <v/>
      </c>
      <c r="T60" s="194">
        <f>IFERROR((K60-J60)/J60,"")</f>
        <v/>
      </c>
      <c r="U60" s="194">
        <f>IFERROR((L60-K60)/K60,"")</f>
        <v/>
      </c>
      <c r="V60" s="195">
        <f>IFERROR((M60-L60)/L60,"")</f>
        <v/>
      </c>
    </row>
    <row r="61">
      <c r="A61" s="172" t="n"/>
      <c r="B61" s="172" t="n"/>
      <c r="C61" s="172" t="n"/>
      <c r="D61" s="172" t="n"/>
      <c r="E61" s="172" t="n"/>
      <c r="F61" s="172" t="n"/>
      <c r="N61" s="192" t="n"/>
      <c r="O61" s="192" t="n"/>
      <c r="P61" s="192" t="n"/>
      <c r="Q61" s="192" t="n"/>
    </row>
    <row r="62">
      <c r="A62" s="141" t="inlineStr">
        <is>
          <t>發卡(張)</t>
        </is>
      </c>
      <c r="B62" s="141">
        <f>B$1</f>
        <v/>
      </c>
      <c r="C62" s="141">
        <f>C$1</f>
        <v/>
      </c>
      <c r="D62" s="141">
        <f>D$1</f>
        <v/>
      </c>
      <c r="E62" s="141">
        <f>E$1</f>
        <v/>
      </c>
      <c r="F62" s="141">
        <f>F$1</f>
        <v/>
      </c>
      <c r="G62" s="141">
        <f>G$1</f>
        <v/>
      </c>
      <c r="H62" s="141">
        <f>H$1</f>
        <v/>
      </c>
      <c r="I62" s="141">
        <f>I$1</f>
        <v/>
      </c>
      <c r="J62" s="141">
        <f>J$1</f>
        <v/>
      </c>
      <c r="K62" s="141">
        <f>K$1</f>
        <v/>
      </c>
      <c r="L62" s="141">
        <f>L$1</f>
        <v/>
      </c>
      <c r="M62" s="141">
        <f>M$1</f>
        <v/>
      </c>
      <c r="N62" s="141">
        <f>N$1</f>
        <v/>
      </c>
      <c r="O62" s="141">
        <f>O$1</f>
        <v/>
      </c>
      <c r="P62" s="141">
        <f>P$1</f>
        <v/>
      </c>
      <c r="Q62" s="141">
        <f>Q$1</f>
        <v/>
      </c>
      <c r="R62" s="141">
        <f>R$1</f>
        <v/>
      </c>
      <c r="S62" s="141">
        <f>S$1</f>
        <v/>
      </c>
      <c r="T62" s="141">
        <f>T$1</f>
        <v/>
      </c>
      <c r="U62" s="141">
        <f>U$1</f>
        <v/>
      </c>
      <c r="V62" s="141">
        <f>V$1</f>
        <v/>
      </c>
    </row>
    <row r="63">
      <c r="A63" s="174" t="inlineStr">
        <is>
          <t>中信</t>
        </is>
      </c>
      <c r="B63" s="172">
        <f t="array" ref="B63">_xlfn.XLOOKUP(1,(creditcard[YYYYMM]=B$4&amp;"--")*(creditcard[Bank]=$A63),creditcard[當月發卡數],"")</f>
        <v/>
      </c>
      <c r="C63" s="172">
        <f t="array" ref="C63">_xlfn.XLOOKUP(1,(creditcard[YYYYMM]=C$4&amp;"--")*(creditcard[Bank]=$A63),creditcard[當月發卡數],"")</f>
        <v/>
      </c>
      <c r="D63" s="172">
        <f t="array" ref="D63">_xlfn.XLOOKUP(1,(creditcard[YYYYMM]=D$4&amp;"--")*(creditcard[Bank]=$A63),creditcard[當月發卡數],"")</f>
        <v/>
      </c>
      <c r="E63" s="172">
        <f t="array" ref="E63">_xlfn.XLOOKUP(1,(creditcard[YYYYMM]=E$4&amp;"--")*(creditcard[Bank]=$A63),creditcard[當月發卡數],"")</f>
        <v/>
      </c>
      <c r="F63" s="172">
        <f t="array" ref="F63">_xlfn.XLOOKUP(1,(creditcard[YYYYMM]=F$4&amp;"--")*(creditcard[Bank]=$A63),creditcard[當月發卡數],"")</f>
        <v/>
      </c>
      <c r="G63" s="172">
        <f t="array" ref="G63">_xlfn.XLOOKUP(1,(creditcard[YYYYMM]=G$4&amp;"--")*(creditcard[Bank]=$A63),creditcard[當月發卡數],"")</f>
        <v/>
      </c>
      <c r="H63" s="172">
        <f t="array" ref="H63">_xlfn.XLOOKUP(1,(creditcard[YYYYMM]=H$4&amp;"--")*(creditcard[Bank]=$A63),creditcard[當月發卡數],"")</f>
        <v/>
      </c>
      <c r="I63" s="182">
        <f t="array" ref="I63">_xlfn.XLOOKUP(1,(creditcard[YYYYMM]=I$4&amp;"--")*(creditcard[Bank]=$A63),creditcard[當月發卡數],"")</f>
        <v/>
      </c>
      <c r="J63" s="182">
        <f t="array" ref="J63">_xlfn.XLOOKUP(1,(creditcard[YYYYMM]=J$4&amp;"--")*(creditcard[Bank]=$A63),creditcard[當月發卡數],"")</f>
        <v/>
      </c>
      <c r="K63" s="182">
        <f t="array" ref="K63">_xlfn.XLOOKUP(1,(creditcard[YYYYMM]=K$4&amp;"--")*(creditcard[Bank]=$A63),creditcard[當月發卡數],"")</f>
        <v/>
      </c>
      <c r="L63" s="182">
        <f t="array" ref="L63">_xlfn.XLOOKUP(1,(creditcard[YYYYMM]=L$4&amp;"--")*(creditcard[Bank]=$A63),creditcard[當月發卡數],"")</f>
        <v/>
      </c>
      <c r="M63" s="182">
        <f t="array" ref="M63">_xlfn.XLOOKUP(1,(creditcard[YYYYMM]=M$4&amp;"--")*(creditcard[Bank]=$A63),creditcard[當月發卡數],"")</f>
        <v/>
      </c>
      <c r="N63" s="180">
        <f>IFERROR((L63/H63)^(1/4)-1,"")</f>
        <v/>
      </c>
      <c r="O63" s="180">
        <f>IFERROR(F63/E63-1,"")</f>
        <v/>
      </c>
      <c r="P63" s="180">
        <f>IFERROR((G63-F63)/F63,"")</f>
        <v/>
      </c>
      <c r="Q63" s="180">
        <f>IFERROR((H63-G63)/G63,"")</f>
        <v/>
      </c>
      <c r="R63" s="180">
        <f>IFERROR((I63-H63)/H63,"")</f>
        <v/>
      </c>
      <c r="S63" s="180">
        <f>IFERROR((J63-I63)/I63,"")</f>
        <v/>
      </c>
      <c r="T63" s="180">
        <f>IFERROR((K63-J63)/J63,"")</f>
        <v/>
      </c>
      <c r="U63" s="180">
        <f>IFERROR((L63-K63)/K63,"")</f>
        <v/>
      </c>
      <c r="V63" s="180">
        <f>IFERROR((M63-L63)/L63,"")</f>
        <v/>
      </c>
    </row>
    <row r="64">
      <c r="A64" s="174" t="inlineStr">
        <is>
          <t>富邦</t>
        </is>
      </c>
      <c r="B64" s="172">
        <f t="array" ref="B64">_xlfn.XLOOKUP(1,(creditcard[YYYYMM]=B$4&amp;"--")*(creditcard[Bank]=$A64),creditcard[當月發卡數],"")</f>
        <v/>
      </c>
      <c r="C64" s="172">
        <f t="array" ref="C64">_xlfn.XLOOKUP(1,(creditcard[YYYYMM]=C$4&amp;"--")*(creditcard[Bank]=$A64),creditcard[當月發卡數],"")</f>
        <v/>
      </c>
      <c r="D64" s="172">
        <f t="array" ref="D64">_xlfn.XLOOKUP(1,(creditcard[YYYYMM]=D$4&amp;"--")*(creditcard[Bank]=$A64),creditcard[當月發卡數],"")</f>
        <v/>
      </c>
      <c r="E64" s="172">
        <f t="array" ref="E64">_xlfn.XLOOKUP(1,(creditcard[YYYYMM]=E$4&amp;"--")*(creditcard[Bank]=$A64),creditcard[當月發卡數],"")</f>
        <v/>
      </c>
      <c r="F64" s="172">
        <f t="array" ref="F64">_xlfn.XLOOKUP(1,(creditcard[YYYYMM]=F$4&amp;"--")*(creditcard[Bank]=$A64),creditcard[當月發卡數],"")</f>
        <v/>
      </c>
      <c r="G64" s="172">
        <f t="array" ref="G64">_xlfn.XLOOKUP(1,(creditcard[YYYYMM]=G$4&amp;"--")*(creditcard[Bank]=$A64),creditcard[當月發卡數],"")</f>
        <v/>
      </c>
      <c r="H64" s="172">
        <f t="array" ref="H64">_xlfn.XLOOKUP(1,(creditcard[YYYYMM]=H$4&amp;"--")*(creditcard[Bank]=$A64),creditcard[當月發卡數],"")</f>
        <v/>
      </c>
      <c r="I64" s="182">
        <f t="array" ref="I64">_xlfn.XLOOKUP(1,(creditcard[YYYYMM]=I$4&amp;"--")*(creditcard[Bank]=$A64),creditcard[當月發卡數],"")</f>
        <v/>
      </c>
      <c r="J64" s="182">
        <f t="array" ref="J64">_xlfn.XLOOKUP(1,(creditcard[YYYYMM]=J$4&amp;"--")*(creditcard[Bank]=$A64),creditcard[當月發卡數],"")</f>
        <v/>
      </c>
      <c r="K64" s="182">
        <f t="array" ref="K64">_xlfn.XLOOKUP(1,(creditcard[YYYYMM]=K$4&amp;"--")*(creditcard[Bank]=$A64),creditcard[當月發卡數],"")</f>
        <v/>
      </c>
      <c r="L64" s="182">
        <f t="array" ref="L64">_xlfn.XLOOKUP(1,(creditcard[YYYYMM]=L$4&amp;"--")*(creditcard[Bank]=$A64),creditcard[當月發卡數],"")</f>
        <v/>
      </c>
      <c r="M64" s="182">
        <f t="array" ref="M64">_xlfn.XLOOKUP(1,(creditcard[YYYYMM]=M$4&amp;"--")*(creditcard[Bank]=$A64),creditcard[當月發卡數],"")</f>
        <v/>
      </c>
      <c r="N64" s="180">
        <f>IFERROR((L64/H64)^(1/4)-1,"")</f>
        <v/>
      </c>
      <c r="O64" s="180">
        <f>IFERROR(F64/E64-1,"")</f>
        <v/>
      </c>
      <c r="P64" s="180">
        <f>IFERROR((G64-F64)/F64,"")</f>
        <v/>
      </c>
      <c r="Q64" s="180">
        <f>IFERROR((H64-G64)/G64,"")</f>
        <v/>
      </c>
      <c r="R64" s="180">
        <f>IFERROR((I64-H64)/H64,"")</f>
        <v/>
      </c>
      <c r="S64" s="180">
        <f>IFERROR((J64-I64)/I64,"")</f>
        <v/>
      </c>
      <c r="T64" s="180">
        <f>IFERROR((K64-J64)/J64,"")</f>
        <v/>
      </c>
      <c r="U64" s="180">
        <f>IFERROR((L64-K64)/K64,"")</f>
        <v/>
      </c>
      <c r="V64" s="180">
        <f>IFERROR((M64-L64)/L64,"")</f>
        <v/>
      </c>
    </row>
    <row r="65">
      <c r="A65" s="174" t="inlineStr">
        <is>
          <t>國泰</t>
        </is>
      </c>
      <c r="B65" s="172">
        <f t="array" ref="B65">_xlfn.XLOOKUP(1,(creditcard[YYYYMM]=B$4&amp;"--")*(creditcard[Bank]=$A65),creditcard[當月發卡數],"")</f>
        <v/>
      </c>
      <c r="C65" s="172">
        <f t="array" ref="C65">_xlfn.XLOOKUP(1,(creditcard[YYYYMM]=C$4&amp;"--")*(creditcard[Bank]=$A65),creditcard[當月發卡數],"")</f>
        <v/>
      </c>
      <c r="D65" s="172">
        <f t="array" ref="D65">_xlfn.XLOOKUP(1,(creditcard[YYYYMM]=D$4&amp;"--")*(creditcard[Bank]=$A65),creditcard[當月發卡數],"")</f>
        <v/>
      </c>
      <c r="E65" s="172">
        <f t="array" ref="E65">_xlfn.XLOOKUP(1,(creditcard[YYYYMM]=E$4&amp;"--")*(creditcard[Bank]=$A65),creditcard[當月發卡數],"")</f>
        <v/>
      </c>
      <c r="F65" s="172">
        <f t="array" ref="F65">_xlfn.XLOOKUP(1,(creditcard[YYYYMM]=F$4&amp;"--")*(creditcard[Bank]=$A65),creditcard[當月發卡數],"")</f>
        <v/>
      </c>
      <c r="G65" s="172">
        <f t="array" ref="G65">_xlfn.XLOOKUP(1,(creditcard[YYYYMM]=G$4&amp;"--")*(creditcard[Bank]=$A65),creditcard[當月發卡數],"")</f>
        <v/>
      </c>
      <c r="H65" s="172">
        <f t="array" ref="H65">_xlfn.XLOOKUP(1,(creditcard[YYYYMM]=H$4&amp;"--")*(creditcard[Bank]=$A65),creditcard[當月發卡數],"")</f>
        <v/>
      </c>
      <c r="I65" s="182">
        <f t="array" ref="I65">_xlfn.XLOOKUP(1,(creditcard[YYYYMM]=I$4&amp;"--")*(creditcard[Bank]=$A65),creditcard[當月發卡數],"")</f>
        <v/>
      </c>
      <c r="J65" s="182">
        <f t="array" ref="J65">_xlfn.XLOOKUP(1,(creditcard[YYYYMM]=J$4&amp;"--")*(creditcard[Bank]=$A65),creditcard[當月發卡數],"")</f>
        <v/>
      </c>
      <c r="K65" s="182">
        <f t="array" ref="K65">_xlfn.XLOOKUP(1,(creditcard[YYYYMM]=K$4&amp;"--")*(creditcard[Bank]=$A65),creditcard[當月發卡數],"")</f>
        <v/>
      </c>
      <c r="L65" s="182">
        <f t="array" ref="L65">_xlfn.XLOOKUP(1,(creditcard[YYYYMM]=L$4&amp;"--")*(creditcard[Bank]=$A65),creditcard[當月發卡數],"")</f>
        <v/>
      </c>
      <c r="M65" s="182">
        <f t="array" ref="M65">_xlfn.XLOOKUP(1,(creditcard[YYYYMM]=M$4&amp;"--")*(creditcard[Bank]=$A65),creditcard[當月發卡數],"")</f>
        <v/>
      </c>
      <c r="N65" s="180">
        <f>IFERROR((L65/H65)^(1/4)-1,"")</f>
        <v/>
      </c>
      <c r="O65" s="180">
        <f>IFERROR(F65/E65-1,"")</f>
        <v/>
      </c>
      <c r="P65" s="180">
        <f>IFERROR((G65-F65)/F65,"")</f>
        <v/>
      </c>
      <c r="Q65" s="180">
        <f>IFERROR((H65-G65)/G65,"")</f>
        <v/>
      </c>
      <c r="R65" s="180">
        <f>IFERROR((I65-H65)/H65,"")</f>
        <v/>
      </c>
      <c r="S65" s="180">
        <f>IFERROR((J65-I65)/I65,"")</f>
        <v/>
      </c>
      <c r="T65" s="180">
        <f>IFERROR((K65-J65)/J65,"")</f>
        <v/>
      </c>
      <c r="U65" s="180">
        <f>IFERROR((L65-K65)/K65,"")</f>
        <v/>
      </c>
      <c r="V65" s="180">
        <f>IFERROR((M65-L65)/L65,"")</f>
        <v/>
      </c>
    </row>
    <row r="66">
      <c r="A66" s="174" t="inlineStr">
        <is>
          <t>玉山</t>
        </is>
      </c>
      <c r="B66" s="172">
        <f t="array" ref="B66">_xlfn.XLOOKUP(1,(creditcard[YYYYMM]=B$4&amp;"--")*(creditcard[Bank]=$A66),creditcard[當月發卡數],"")</f>
        <v/>
      </c>
      <c r="C66" s="172">
        <f t="array" ref="C66">_xlfn.XLOOKUP(1,(creditcard[YYYYMM]=C$4&amp;"--")*(creditcard[Bank]=$A66),creditcard[當月發卡數],"")</f>
        <v/>
      </c>
      <c r="D66" s="172">
        <f t="array" ref="D66">_xlfn.XLOOKUP(1,(creditcard[YYYYMM]=D$4&amp;"--")*(creditcard[Bank]=$A66),creditcard[當月發卡數],"")</f>
        <v/>
      </c>
      <c r="E66" s="172">
        <f t="array" ref="E66">_xlfn.XLOOKUP(1,(creditcard[YYYYMM]=E$4&amp;"--")*(creditcard[Bank]=$A66),creditcard[當月發卡數],"")</f>
        <v/>
      </c>
      <c r="F66" s="172">
        <f t="array" ref="F66">_xlfn.XLOOKUP(1,(creditcard[YYYYMM]=F$4&amp;"--")*(creditcard[Bank]=$A66),creditcard[當月發卡數],"")</f>
        <v/>
      </c>
      <c r="G66" s="172">
        <f t="array" ref="G66">_xlfn.XLOOKUP(1,(creditcard[YYYYMM]=G$4&amp;"--")*(creditcard[Bank]=$A66),creditcard[當月發卡數],"")</f>
        <v/>
      </c>
      <c r="H66" s="172">
        <f t="array" ref="H66">_xlfn.XLOOKUP(1,(creditcard[YYYYMM]=H$4&amp;"--")*(creditcard[Bank]=$A66),creditcard[當月發卡數],"")</f>
        <v/>
      </c>
      <c r="I66" s="182">
        <f t="array" ref="I66">_xlfn.XLOOKUP(1,(creditcard[YYYYMM]=I$4&amp;"--")*(creditcard[Bank]=$A66),creditcard[當月發卡數],"")</f>
        <v/>
      </c>
      <c r="J66" s="182">
        <f t="array" ref="J66">_xlfn.XLOOKUP(1,(creditcard[YYYYMM]=J$4&amp;"--")*(creditcard[Bank]=$A66),creditcard[當月發卡數],"")</f>
        <v/>
      </c>
      <c r="K66" s="182">
        <f t="array" ref="K66">_xlfn.XLOOKUP(1,(creditcard[YYYYMM]=K$4&amp;"--")*(creditcard[Bank]=$A66),creditcard[當月發卡數],"")</f>
        <v/>
      </c>
      <c r="L66" s="182">
        <f t="array" ref="L66">_xlfn.XLOOKUP(1,(creditcard[YYYYMM]=L$4&amp;"--")*(creditcard[Bank]=$A66),creditcard[當月發卡數],"")</f>
        <v/>
      </c>
      <c r="M66" s="182">
        <f t="array" ref="M66">_xlfn.XLOOKUP(1,(creditcard[YYYYMM]=M$4&amp;"--")*(creditcard[Bank]=$A66),creditcard[當月發卡數],"")</f>
        <v/>
      </c>
      <c r="N66" s="180">
        <f>IFERROR((L66/H66)^(1/4)-1,"")</f>
        <v/>
      </c>
      <c r="O66" s="180">
        <f>IFERROR(F66/E66-1,"")</f>
        <v/>
      </c>
      <c r="P66" s="180">
        <f>IFERROR((G66-F66)/F66,"")</f>
        <v/>
      </c>
      <c r="Q66" s="180">
        <f>IFERROR((H66-G66)/G66,"")</f>
        <v/>
      </c>
      <c r="R66" s="180">
        <f>IFERROR((I66-H66)/H66,"")</f>
        <v/>
      </c>
      <c r="S66" s="180">
        <f>IFERROR((J66-I66)/I66,"")</f>
        <v/>
      </c>
      <c r="T66" s="180">
        <f>IFERROR((K66-J66)/J66,"")</f>
        <v/>
      </c>
      <c r="U66" s="180">
        <f>IFERROR((L66-K66)/K66,"")</f>
        <v/>
      </c>
      <c r="V66" s="180">
        <f>IFERROR((M66-L66)/L66,"")</f>
        <v/>
      </c>
    </row>
    <row r="67">
      <c r="A67" s="174" t="inlineStr">
        <is>
          <t>台新</t>
        </is>
      </c>
      <c r="B67" s="172">
        <f t="array" ref="B67">_xlfn.XLOOKUP(1,(creditcard[YYYYMM]=B$4&amp;"--")*(creditcard[Bank]=$A67),creditcard[當月發卡數],"")</f>
        <v/>
      </c>
      <c r="C67" s="172">
        <f t="array" ref="C67">_xlfn.XLOOKUP(1,(creditcard[YYYYMM]=C$4&amp;"--")*(creditcard[Bank]=$A67),creditcard[當月發卡數],"")</f>
        <v/>
      </c>
      <c r="D67" s="172">
        <f t="array" ref="D67">_xlfn.XLOOKUP(1,(creditcard[YYYYMM]=D$4&amp;"--")*(creditcard[Bank]=$A67),creditcard[當月發卡數],"")</f>
        <v/>
      </c>
      <c r="E67" s="172">
        <f t="array" ref="E67">_xlfn.XLOOKUP(1,(creditcard[YYYYMM]=E$4&amp;"--")*(creditcard[Bank]=$A67),creditcard[當月發卡數],"")</f>
        <v/>
      </c>
      <c r="F67" s="172">
        <f t="array" ref="F67">_xlfn.XLOOKUP(1,(creditcard[YYYYMM]=F$4&amp;"--")*(creditcard[Bank]=$A67),creditcard[當月發卡數],"")</f>
        <v/>
      </c>
      <c r="G67" s="172">
        <f t="array" ref="G67">_xlfn.XLOOKUP(1,(creditcard[YYYYMM]=G$4&amp;"--")*(creditcard[Bank]=$A67),creditcard[當月發卡數],"")</f>
        <v/>
      </c>
      <c r="H67" s="172">
        <f t="array" ref="H67">_xlfn.XLOOKUP(1,(creditcard[YYYYMM]=H$4&amp;"--")*(creditcard[Bank]=$A67),creditcard[當月發卡數],"")</f>
        <v/>
      </c>
      <c r="I67" s="182">
        <f t="array" ref="I67">_xlfn.XLOOKUP(1,(creditcard[YYYYMM]=I$4&amp;"--")*(creditcard[Bank]=$A67),creditcard[當月發卡數],"")</f>
        <v/>
      </c>
      <c r="J67" s="182">
        <f t="array" ref="J67">_xlfn.XLOOKUP(1,(creditcard[YYYYMM]=J$4&amp;"--")*(creditcard[Bank]=$A67),creditcard[當月發卡數],"")</f>
        <v/>
      </c>
      <c r="K67" s="182">
        <f t="array" ref="K67">_xlfn.XLOOKUP(1,(creditcard[YYYYMM]=K$4&amp;"--")*(creditcard[Bank]=$A67),creditcard[當月發卡數],"")</f>
        <v/>
      </c>
      <c r="L67" s="182">
        <f t="array" ref="L67">_xlfn.XLOOKUP(1,(creditcard[YYYYMM]=L$4&amp;"--")*(creditcard[Bank]=$A67),creditcard[當月發卡數],"")</f>
        <v/>
      </c>
      <c r="M67" s="182">
        <f t="array" ref="M67">_xlfn.XLOOKUP(1,(creditcard[YYYYMM]=M$4&amp;"--")*(creditcard[Bank]=$A67),creditcard[當月發卡數],"")</f>
        <v/>
      </c>
      <c r="N67" s="180">
        <f>IFERROR((L67/H67)^(1/4)-1,"")</f>
        <v/>
      </c>
      <c r="O67" s="180">
        <f>IFERROR(F67/E67-1,"")</f>
        <v/>
      </c>
      <c r="P67" s="180">
        <f>IFERROR((G67-F67)/F67,"")</f>
        <v/>
      </c>
      <c r="Q67" s="180">
        <f>IFERROR((H67-G67)/G67,"")</f>
        <v/>
      </c>
      <c r="R67" s="180">
        <f>IFERROR((I67-H67)/H67,"")</f>
        <v/>
      </c>
      <c r="S67" s="180">
        <f>IFERROR((J67-I67)/I67,"")</f>
        <v/>
      </c>
      <c r="T67" s="180">
        <f>IFERROR((K67-J67)/J67,"")</f>
        <v/>
      </c>
      <c r="U67" s="180">
        <f>IFERROR((L67-K67)/K67,"")</f>
        <v/>
      </c>
      <c r="V67" s="180">
        <f>IFERROR((M67-L67)/L67,"")</f>
        <v/>
      </c>
    </row>
    <row r="68">
      <c r="A68" s="174" t="inlineStr">
        <is>
          <t>星展</t>
        </is>
      </c>
      <c r="B68" s="172">
        <f t="array" ref="B68">_xlfn.XLOOKUP(1,(creditcard[YYYYMM]=B$4&amp;"--")*(creditcard[Bank]=$A68),creditcard[當月發卡數],"")</f>
        <v/>
      </c>
      <c r="C68" s="172">
        <f t="array" ref="C68">_xlfn.XLOOKUP(1,(creditcard[YYYYMM]=C$4&amp;"--")*(creditcard[Bank]=$A68),creditcard[當月發卡數],"")</f>
        <v/>
      </c>
      <c r="D68" s="172">
        <f t="array" ref="D68">_xlfn.XLOOKUP(1,(creditcard[YYYYMM]=D$4&amp;"--")*(creditcard[Bank]=$A68),creditcard[當月發卡數],"")</f>
        <v/>
      </c>
      <c r="E68" s="172">
        <f t="array" ref="E68">_xlfn.XLOOKUP(1,(creditcard[YYYYMM]=E$4&amp;"--")*(creditcard[Bank]=$A68),creditcard[當月發卡數],"")</f>
        <v/>
      </c>
      <c r="F68" s="172">
        <f t="array" ref="F68">_xlfn.XLOOKUP(1,(creditcard[YYYYMM]=F$4&amp;"--")*(creditcard[Bank]=$A68),creditcard[當月發卡數],"")</f>
        <v/>
      </c>
      <c r="G68" s="172">
        <f t="array" ref="G68">_xlfn.XLOOKUP(1,(creditcard[YYYYMM]=G$4&amp;"--")*(creditcard[Bank]=$A68),creditcard[當月發卡數],"")</f>
        <v/>
      </c>
      <c r="H68" s="172">
        <f t="array" ref="H68">_xlfn.XLOOKUP(1,(creditcard[YYYYMM]=H$4&amp;"--")*(creditcard[Bank]=$A68),creditcard[當月發卡數],"")</f>
        <v/>
      </c>
      <c r="I68" s="172">
        <f t="array" ref="I68">_xlfn.XLOOKUP(1,(creditcard[YYYYMM]=I$4&amp;"--")*(creditcard[Bank]=$A68),creditcard[當月發卡數],"")</f>
        <v/>
      </c>
      <c r="J68" s="182">
        <f t="array" ref="J68">_xlfn.XLOOKUP(1,(creditcard[YYYYMM]=J$4&amp;"--")*(creditcard[Bank]=$A68),creditcard[當月發卡數],"")</f>
        <v/>
      </c>
      <c r="K68" s="182">
        <f t="array" ref="K68">_xlfn.XLOOKUP(1,(creditcard[YYYYMM]=K$4&amp;"--")*(creditcard[Bank]=$A68),creditcard[當月發卡數],"")</f>
        <v/>
      </c>
      <c r="L68" s="182">
        <f t="array" ref="L68">_xlfn.XLOOKUP(1,(creditcard[YYYYMM]=L$4&amp;"--")*(creditcard[Bank]=$A68),creditcard[當月發卡數],"")</f>
        <v/>
      </c>
      <c r="M68" s="182">
        <f t="array" ref="M68">_xlfn.XLOOKUP(1,(creditcard[YYYYMM]=M$4&amp;"--")*(creditcard[Bank]=$A68),creditcard[當月發卡數],"")</f>
        <v/>
      </c>
      <c r="N68" s="180">
        <f>IFERROR((L68/H68)^(1/4)-1,"")</f>
        <v/>
      </c>
      <c r="O68" s="180">
        <f>IFERROR(F68/E68-1,"")</f>
        <v/>
      </c>
      <c r="P68" s="180">
        <f>IFERROR((G68-F68)/F68,"")</f>
        <v/>
      </c>
      <c r="Q68" s="180">
        <f>IFERROR((H68-G68)/G68,"")</f>
        <v/>
      </c>
      <c r="R68" s="180">
        <f>IFERROR((I68-H68)/H68,"")</f>
        <v/>
      </c>
      <c r="S68" s="180">
        <f>IFERROR((J68-I68)/I68,"")</f>
        <v/>
      </c>
      <c r="T68" s="180">
        <f>IFERROR((K68-J68)/J68,"")</f>
        <v/>
      </c>
      <c r="U68" s="180">
        <f>IFERROR((L68-K68)/K68,"")</f>
        <v/>
      </c>
      <c r="V68" s="180">
        <f>IFERROR((M68-L68)/L68,"")</f>
        <v/>
      </c>
    </row>
    <row r="69">
      <c r="A69" s="174" t="inlineStr">
        <is>
          <t>聯邦</t>
        </is>
      </c>
      <c r="B69" s="172">
        <f t="array" ref="B69">_xlfn.XLOOKUP(1,(creditcard[YYYYMM]=B$4&amp;"--")*(creditcard[Bank]=$A69),creditcard[當月發卡數],"")</f>
        <v/>
      </c>
      <c r="C69" s="172">
        <f t="array" ref="C69">_xlfn.XLOOKUP(1,(creditcard[YYYYMM]=C$4&amp;"--")*(creditcard[Bank]=$A69),creditcard[當月發卡數],"")</f>
        <v/>
      </c>
      <c r="D69" s="172">
        <f t="array" ref="D69">_xlfn.XLOOKUP(1,(creditcard[YYYYMM]=D$4&amp;"--")*(creditcard[Bank]=$A69),creditcard[當月發卡數],"")</f>
        <v/>
      </c>
      <c r="E69" s="172">
        <f t="array" ref="E69">_xlfn.XLOOKUP(1,(creditcard[YYYYMM]=E$4&amp;"--")*(creditcard[Bank]=$A69),creditcard[當月發卡數],"")</f>
        <v/>
      </c>
      <c r="F69" s="172">
        <f t="array" ref="F69">_xlfn.XLOOKUP(1,(creditcard[YYYYMM]=F$4&amp;"--")*(creditcard[Bank]=$A69),creditcard[當月發卡數],"")</f>
        <v/>
      </c>
      <c r="G69" s="172">
        <f t="array" ref="G69">_xlfn.XLOOKUP(1,(creditcard[YYYYMM]=G$4&amp;"--")*(creditcard[Bank]=$A69),creditcard[當月發卡數],"")</f>
        <v/>
      </c>
      <c r="H69" s="172">
        <f t="array" ref="H69">_xlfn.XLOOKUP(1,(creditcard[YYYYMM]=H$4&amp;"--")*(creditcard[Bank]=$A69),creditcard[當月發卡數],"")</f>
        <v/>
      </c>
      <c r="I69" s="182">
        <f t="array" ref="I69">_xlfn.XLOOKUP(1,(creditcard[YYYYMM]=I$4&amp;"--")*(creditcard[Bank]=$A69),creditcard[當月發卡數],"")</f>
        <v/>
      </c>
      <c r="J69" s="182">
        <f t="array" ref="J69">_xlfn.XLOOKUP(1,(creditcard[YYYYMM]=J$4&amp;"--")*(creditcard[Bank]=$A69),creditcard[當月發卡數],"")</f>
        <v/>
      </c>
      <c r="K69" s="182">
        <f t="array" ref="K69">_xlfn.XLOOKUP(1,(creditcard[YYYYMM]=K$4&amp;"--")*(creditcard[Bank]=$A69),creditcard[當月發卡數],"")</f>
        <v/>
      </c>
      <c r="L69" s="182">
        <f t="array" ref="L69">_xlfn.XLOOKUP(1,(creditcard[YYYYMM]=L$4&amp;"--")*(creditcard[Bank]=$A69),creditcard[當月發卡數],"")</f>
        <v/>
      </c>
      <c r="M69" s="182">
        <f t="array" ref="M69">_xlfn.XLOOKUP(1,(creditcard[YYYYMM]=M$4&amp;"--")*(creditcard[Bank]=$A69),creditcard[當月發卡數],"")</f>
        <v/>
      </c>
      <c r="N69" s="180">
        <f>IFERROR((L69/H69)^(1/4)-1,"")</f>
        <v/>
      </c>
      <c r="O69" s="180">
        <f>IFERROR(F69/E69-1,"")</f>
        <v/>
      </c>
      <c r="P69" s="180">
        <f>IFERROR((G69-F69)/F69,"")</f>
        <v/>
      </c>
      <c r="Q69" s="180">
        <f>IFERROR((H69-G69)/G69,"")</f>
        <v/>
      </c>
      <c r="R69" s="180">
        <f>IFERROR((I69-H69)/H69,"")</f>
        <v/>
      </c>
      <c r="S69" s="180">
        <f>IFERROR((J69-I69)/I69,"")</f>
        <v/>
      </c>
      <c r="T69" s="180">
        <f>IFERROR((K69-J69)/J69,"")</f>
        <v/>
      </c>
      <c r="U69" s="180">
        <f>IFERROR((L69-K69)/K69,"")</f>
        <v/>
      </c>
      <c r="V69" s="180">
        <f>IFERROR((M69-L69)/L69,"")</f>
        <v/>
      </c>
    </row>
    <row r="70">
      <c r="A70" s="174" t="inlineStr">
        <is>
          <t>永豐</t>
        </is>
      </c>
      <c r="B70" s="172">
        <f t="array" ref="B70">_xlfn.XLOOKUP(1,(creditcard[YYYYMM]=B$4&amp;"--")*(creditcard[Bank]=$A70),creditcard[當月發卡數],"")</f>
        <v/>
      </c>
      <c r="C70" s="172">
        <f t="array" ref="C70">_xlfn.XLOOKUP(1,(creditcard[YYYYMM]=C$4&amp;"--")*(creditcard[Bank]=$A70),creditcard[當月發卡數],"")</f>
        <v/>
      </c>
      <c r="D70" s="172">
        <f t="array" ref="D70">_xlfn.XLOOKUP(1,(creditcard[YYYYMM]=D$4&amp;"--")*(creditcard[Bank]=$A70),creditcard[當月發卡數],"")</f>
        <v/>
      </c>
      <c r="E70" s="172">
        <f t="array" ref="E70">_xlfn.XLOOKUP(1,(creditcard[YYYYMM]=E$4&amp;"--")*(creditcard[Bank]=$A70),creditcard[當月發卡數],"")</f>
        <v/>
      </c>
      <c r="F70" s="172">
        <f t="array" ref="F70">_xlfn.XLOOKUP(1,(creditcard[YYYYMM]=F$4&amp;"--")*(creditcard[Bank]=$A70),creditcard[當月發卡數],"")</f>
        <v/>
      </c>
      <c r="G70" s="172">
        <f t="array" ref="G70">_xlfn.XLOOKUP(1,(creditcard[YYYYMM]=G$4&amp;"--")*(creditcard[Bank]=$A70),creditcard[當月發卡數],"")</f>
        <v/>
      </c>
      <c r="H70" s="172">
        <f t="array" ref="H70">_xlfn.XLOOKUP(1,(creditcard[YYYYMM]=H$4&amp;"--")*(creditcard[Bank]=$A70),creditcard[當月發卡數],"")</f>
        <v/>
      </c>
      <c r="I70" s="182">
        <f t="array" ref="I70">_xlfn.XLOOKUP(1,(creditcard[YYYYMM]=I$4&amp;"--")*(creditcard[Bank]=$A70),creditcard[當月發卡數],"")</f>
        <v/>
      </c>
      <c r="J70" s="182">
        <f t="array" ref="J70">_xlfn.XLOOKUP(1,(creditcard[YYYYMM]=J$4&amp;"--")*(creditcard[Bank]=$A70),creditcard[當月發卡數],"")</f>
        <v/>
      </c>
      <c r="K70" s="182">
        <f t="array" ref="K70">_xlfn.XLOOKUP(1,(creditcard[YYYYMM]=K$4&amp;"--")*(creditcard[Bank]=$A70),creditcard[當月發卡數],"")</f>
        <v/>
      </c>
      <c r="L70" s="182">
        <f t="array" ref="L70">_xlfn.XLOOKUP(1,(creditcard[YYYYMM]=L$4&amp;"--")*(creditcard[Bank]=$A70),creditcard[當月發卡數],"")</f>
        <v/>
      </c>
      <c r="M70" s="182">
        <f t="array" ref="M70">_xlfn.XLOOKUP(1,(creditcard[YYYYMM]=M$4&amp;"--")*(creditcard[Bank]=$A70),creditcard[當月發卡數],"")</f>
        <v/>
      </c>
      <c r="N70" s="180">
        <f>IFERROR((L70/H70)^(1/4)-1,"")</f>
        <v/>
      </c>
      <c r="O70" s="180">
        <f>IFERROR(F70/E70-1,"")</f>
        <v/>
      </c>
      <c r="P70" s="180">
        <f>IFERROR((G70-F70)/F70,"")</f>
        <v/>
      </c>
      <c r="Q70" s="180">
        <f>IFERROR((H70-G70)/G70,"")</f>
        <v/>
      </c>
      <c r="R70" s="180">
        <f>IFERROR((I70-H70)/H70,"")</f>
        <v/>
      </c>
      <c r="S70" s="180">
        <f>IFERROR((J70-I70)/I70,"")</f>
        <v/>
      </c>
      <c r="T70" s="180">
        <f>IFERROR((K70-J70)/J70,"")</f>
        <v/>
      </c>
      <c r="U70" s="180">
        <f>IFERROR((L70-K70)/K70,"")</f>
        <v/>
      </c>
      <c r="V70" s="180">
        <f>IFERROR((M70-L70)/L70,"")</f>
        <v/>
      </c>
    </row>
    <row r="71">
      <c r="A71" s="174" t="inlineStr">
        <is>
          <t>第一</t>
        </is>
      </c>
      <c r="B71" s="172">
        <f t="array" ref="B71">_xlfn.XLOOKUP(1,(creditcard[YYYYMM]=B$4&amp;"--")*(creditcard[Bank]=$A71),creditcard[當月發卡數],"")</f>
        <v/>
      </c>
      <c r="C71" s="172">
        <f t="array" ref="C71">_xlfn.XLOOKUP(1,(creditcard[YYYYMM]=C$4&amp;"--")*(creditcard[Bank]=$A71),creditcard[當月發卡數],"")</f>
        <v/>
      </c>
      <c r="D71" s="172">
        <f t="array" ref="D71">_xlfn.XLOOKUP(1,(creditcard[YYYYMM]=D$4&amp;"--")*(creditcard[Bank]=$A71),creditcard[當月發卡數],"")</f>
        <v/>
      </c>
      <c r="E71" s="172">
        <f t="array" ref="E71">_xlfn.XLOOKUP(1,(creditcard[YYYYMM]=E$4&amp;"--")*(creditcard[Bank]=$A71),creditcard[當月發卡數],"")</f>
        <v/>
      </c>
      <c r="F71" s="172">
        <f t="array" ref="F71">_xlfn.XLOOKUP(1,(creditcard[YYYYMM]=F$4&amp;"--")*(creditcard[Bank]=$A71),creditcard[當月發卡數],"")</f>
        <v/>
      </c>
      <c r="G71" s="172">
        <f t="array" ref="G71">_xlfn.XLOOKUP(1,(creditcard[YYYYMM]=G$4&amp;"--")*(creditcard[Bank]=$A71),creditcard[當月發卡數],"")</f>
        <v/>
      </c>
      <c r="H71" s="172">
        <f t="array" ref="H71">_xlfn.XLOOKUP(1,(creditcard[YYYYMM]=H$4&amp;"--")*(creditcard[Bank]=$A71),creditcard[當月發卡數],"")</f>
        <v/>
      </c>
      <c r="I71" s="182">
        <f t="array" ref="I71">_xlfn.XLOOKUP(1,(creditcard[YYYYMM]=I$4&amp;"--")*(creditcard[Bank]=$A71),creditcard[當月發卡數],"")</f>
        <v/>
      </c>
      <c r="J71" s="182">
        <f t="array" ref="J71">_xlfn.XLOOKUP(1,(creditcard[YYYYMM]=J$4&amp;"--")*(creditcard[Bank]=$A71),creditcard[當月發卡數],"")</f>
        <v/>
      </c>
      <c r="K71" s="182">
        <f t="array" ref="K71">_xlfn.XLOOKUP(1,(creditcard[YYYYMM]=K$4&amp;"--")*(creditcard[Bank]=$A71),creditcard[當月發卡數],"")</f>
        <v/>
      </c>
      <c r="L71" s="182">
        <f t="array" ref="L71">_xlfn.XLOOKUP(1,(creditcard[YYYYMM]=L$4&amp;"--")*(creditcard[Bank]=$A71),creditcard[當月發卡數],"")</f>
        <v/>
      </c>
      <c r="M71" s="182">
        <f t="array" ref="M71">_xlfn.XLOOKUP(1,(creditcard[YYYYMM]=M$4&amp;"--")*(creditcard[Bank]=$A71),creditcard[當月發卡數],"")</f>
        <v/>
      </c>
      <c r="N71" s="180">
        <f>IFERROR((L71/H71)^(1/4)-1,"")</f>
        <v/>
      </c>
      <c r="O71" s="180">
        <f>IFERROR(F71/E71-1,"")</f>
        <v/>
      </c>
      <c r="P71" s="180">
        <f>IFERROR((G71-F71)/F71,"")</f>
        <v/>
      </c>
      <c r="Q71" s="180">
        <f>IFERROR((H71-G71)/G71,"")</f>
        <v/>
      </c>
      <c r="R71" s="180">
        <f>IFERROR((I71-H71)/H71,"")</f>
        <v/>
      </c>
      <c r="S71" s="180">
        <f>IFERROR((J71-I71)/I71,"")</f>
        <v/>
      </c>
      <c r="T71" s="180">
        <f>IFERROR((K71-J71)/J71,"")</f>
        <v/>
      </c>
      <c r="U71" s="180">
        <f>IFERROR((L71-K71)/K71,"")</f>
        <v/>
      </c>
      <c r="V71" s="180">
        <f>IFERROR((M71-L71)/L71,"")</f>
        <v/>
      </c>
    </row>
    <row r="72">
      <c r="A72" s="174" t="inlineStr">
        <is>
          <t>遠東</t>
        </is>
      </c>
      <c r="B72" s="172">
        <f t="array" ref="B72">_xlfn.XLOOKUP(1,(creditcard[YYYYMM]=B$4&amp;"--")*(creditcard[Bank]=$A72),creditcard[當月發卡數],"")</f>
        <v/>
      </c>
      <c r="C72" s="172">
        <f t="array" ref="C72">_xlfn.XLOOKUP(1,(creditcard[YYYYMM]=C$4&amp;"--")*(creditcard[Bank]=$A72),creditcard[當月發卡數],"")</f>
        <v/>
      </c>
      <c r="D72" s="172">
        <f t="array" ref="D72">_xlfn.XLOOKUP(1,(creditcard[YYYYMM]=D$4&amp;"--")*(creditcard[Bank]=$A72),creditcard[當月發卡數],"")</f>
        <v/>
      </c>
      <c r="E72" s="172">
        <f t="array" ref="E72">_xlfn.XLOOKUP(1,(creditcard[YYYYMM]=E$4&amp;"--")*(creditcard[Bank]=$A72),creditcard[當月發卡數],"")</f>
        <v/>
      </c>
      <c r="F72" s="172">
        <f t="array" ref="F72">_xlfn.XLOOKUP(1,(creditcard[YYYYMM]=F$4&amp;"--")*(creditcard[Bank]=$A72),creditcard[當月發卡數],"")</f>
        <v/>
      </c>
      <c r="G72" s="172">
        <f t="array" ref="G72">_xlfn.XLOOKUP(1,(creditcard[YYYYMM]=G$4&amp;"--")*(creditcard[Bank]=$A72),creditcard[當月發卡數],"")</f>
        <v/>
      </c>
      <c r="H72" s="172">
        <f t="array" ref="H72">_xlfn.XLOOKUP(1,(creditcard[YYYYMM]=H$4&amp;"--")*(creditcard[Bank]=$A72),creditcard[當月發卡數],"")</f>
        <v/>
      </c>
      <c r="I72" s="182">
        <f t="array" ref="I72">_xlfn.XLOOKUP(1,(creditcard[YYYYMM]=I$4&amp;"--")*(creditcard[Bank]=$A72),creditcard[當月發卡數],"")</f>
        <v/>
      </c>
      <c r="J72" s="182">
        <f t="array" ref="J72">_xlfn.XLOOKUP(1,(creditcard[YYYYMM]=J$4&amp;"--")*(creditcard[Bank]=$A72),creditcard[當月發卡數],"")</f>
        <v/>
      </c>
      <c r="K72" s="182">
        <f t="array" ref="K72">_xlfn.XLOOKUP(1,(creditcard[YYYYMM]=K$4&amp;"--")*(creditcard[Bank]=$A72),creditcard[當月發卡數],"")</f>
        <v/>
      </c>
      <c r="L72" s="182">
        <f t="array" ref="L72">_xlfn.XLOOKUP(1,(creditcard[YYYYMM]=L$4&amp;"--")*(creditcard[Bank]=$A72),creditcard[當月發卡數],"")</f>
        <v/>
      </c>
      <c r="M72" s="182">
        <f t="array" ref="M72">_xlfn.XLOOKUP(1,(creditcard[YYYYMM]=M$4&amp;"--")*(creditcard[Bank]=$A72),creditcard[當月發卡數],"")</f>
        <v/>
      </c>
      <c r="N72" s="180">
        <f>IFERROR((L72/H72)^(1/4)-1,"")</f>
        <v/>
      </c>
      <c r="O72" s="180">
        <f>IFERROR(F72/E72-1,"")</f>
        <v/>
      </c>
      <c r="P72" s="180">
        <f>IFERROR((G72-F72)/F72,"")</f>
        <v/>
      </c>
      <c r="Q72" s="180">
        <f>IFERROR((H72-G72)/G72,"")</f>
        <v/>
      </c>
      <c r="R72" s="180">
        <f>IFERROR((I72-H72)/H72,"")</f>
        <v/>
      </c>
      <c r="S72" s="180">
        <f>IFERROR((J72-I72)/I72,"")</f>
        <v/>
      </c>
      <c r="T72" s="180">
        <f>IFERROR((K72-J72)/J72,"")</f>
        <v/>
      </c>
      <c r="U72" s="180">
        <f>IFERROR((L72-K72)/K72,"")</f>
        <v/>
      </c>
      <c r="V72" s="180">
        <f>IFERROR((M72-L72)/L72,"")</f>
        <v/>
      </c>
    </row>
    <row r="73">
      <c r="A73" s="170" t="inlineStr">
        <is>
          <t>市場總計</t>
        </is>
      </c>
      <c r="B73" s="170">
        <f t="array" ref="B73">_xlfn.XLOOKUP(1,(creditcard[YYYYMM]=B$4&amp;"--")*(creditcard[Bank]=$A73),creditcard[當月發卡數],"")</f>
        <v/>
      </c>
      <c r="C73" s="170">
        <f t="array" ref="C73">_xlfn.XLOOKUP(1,(creditcard[YYYYMM]=C$4&amp;"--")*(creditcard[Bank]=$A73),creditcard[當月發卡數],"")</f>
        <v/>
      </c>
      <c r="D73" s="170">
        <f t="array" ref="D73">_xlfn.XLOOKUP(1,(creditcard[YYYYMM]=D$4&amp;"--")*(creditcard[Bank]=$A73),creditcard[當月發卡數],"")</f>
        <v/>
      </c>
      <c r="E73" s="170">
        <f t="array" ref="E73">_xlfn.XLOOKUP(1,(creditcard[YYYYMM]=E$4&amp;"--")*(creditcard[Bank]=$A73),creditcard[當月發卡數],"")</f>
        <v/>
      </c>
      <c r="F73" s="170">
        <f t="array" ref="F73">_xlfn.XLOOKUP(1,(creditcard[YYYYMM]=F$4&amp;"--")*(creditcard[Bank]=$A73),creditcard[當月發卡數],"")</f>
        <v/>
      </c>
      <c r="G73" s="170">
        <f t="array" ref="G73">_xlfn.XLOOKUP(1,(creditcard[YYYYMM]=G$4&amp;"--")*(creditcard[Bank]=$A73),creditcard[當月發卡數],"")</f>
        <v/>
      </c>
      <c r="H73" s="170">
        <f t="array" ref="H73">_xlfn.XLOOKUP(1,(creditcard[YYYYMM]=H$4&amp;"--")*(creditcard[Bank]=$A73),creditcard[當月發卡數],"")</f>
        <v/>
      </c>
      <c r="I73" s="184">
        <f t="array" ref="I73">_xlfn.XLOOKUP(1,(creditcard[YYYYMM]=I$4&amp;"--")*(creditcard[Bank]=$A73),creditcard[當月發卡數],"")</f>
        <v/>
      </c>
      <c r="J73" s="184">
        <f t="array" ref="J73">_xlfn.XLOOKUP(1,(creditcard[YYYYMM]=J$4&amp;"--")*(creditcard[Bank]=$A73),creditcard[當月發卡數],"")</f>
        <v/>
      </c>
      <c r="K73" s="175">
        <f t="array" ref="K73">_xlfn.XLOOKUP(1,(creditcard[YYYYMM]=K$4&amp;"--")*(creditcard[Bank]=$A73),creditcard[當月發卡數],"")</f>
        <v/>
      </c>
      <c r="L73" s="175">
        <f t="array" ref="L73">_xlfn.XLOOKUP(1,(creditcard[YYYYMM]=L$4&amp;"--")*(creditcard[Bank]=$A73),creditcard[當月發卡數],"")</f>
        <v/>
      </c>
      <c r="M73" s="199">
        <f t="array" ref="M73">_xlfn.XLOOKUP(1,(creditcard[YYYYMM]=M$4&amp;"--")*(creditcard[Bank]=$A73),creditcard[當月發卡數],"")</f>
        <v/>
      </c>
      <c r="N73" s="194">
        <f>IFERROR((L73/H73)^(1/4)-1,"")</f>
        <v/>
      </c>
      <c r="O73" s="194">
        <f>IFERROR(F73/E73-1,"")</f>
        <v/>
      </c>
      <c r="P73" s="194">
        <f>IFERROR((G73-F73)/F73,"")</f>
        <v/>
      </c>
      <c r="Q73" s="194">
        <f>IFERROR((H73-G73)/G73,"")</f>
        <v/>
      </c>
      <c r="R73" s="194">
        <f>IFERROR((I73-H73)/H73,"")</f>
        <v/>
      </c>
      <c r="S73" s="194">
        <f>IFERROR((J73-I73)/I73,"")</f>
        <v/>
      </c>
      <c r="T73" s="194">
        <f>IFERROR((K73-J73)/J73,"")</f>
        <v/>
      </c>
      <c r="U73" s="194">
        <f>IFERROR((L73-K73)/K73,"")</f>
        <v/>
      </c>
      <c r="V73" s="195">
        <f>IFERROR((M73-L73)/L73,"")</f>
        <v/>
      </c>
    </row>
    <row r="74" ht="12.75" customFormat="1" customHeight="1" s="73">
      <c r="A74" s="176" t="inlineStr">
        <is>
          <t>TOP5</t>
        </is>
      </c>
      <c r="B74" s="176" t="n"/>
      <c r="C74" s="176" t="n"/>
      <c r="D74" s="176" t="n"/>
      <c r="E74" s="177" t="n"/>
      <c r="F74" s="177" t="n"/>
      <c r="G74" s="177" t="n"/>
      <c r="H74" s="177" t="n"/>
      <c r="I74" s="177" t="n"/>
      <c r="J74" s="177" t="n"/>
      <c r="K74" s="177" t="n"/>
      <c r="L74" s="177" t="n"/>
      <c r="M74" s="177" t="n"/>
      <c r="N74" s="177" t="n"/>
      <c r="O74" s="177" t="n"/>
      <c r="P74" s="177" t="n"/>
      <c r="Q74" s="177" t="n"/>
      <c r="R74" s="177" t="n"/>
      <c r="S74" s="177" t="n"/>
      <c r="T74" s="177" t="n"/>
      <c r="U74" s="177" t="n"/>
      <c r="V74" s="177" t="n"/>
    </row>
    <row r="75" ht="12.75" customFormat="1" customHeight="1" s="73">
      <c r="A75" s="176" t="inlineStr">
        <is>
          <t>TOP10</t>
        </is>
      </c>
      <c r="B75" s="176" t="n"/>
      <c r="C75" s="176" t="n"/>
      <c r="D75" s="176" t="n"/>
      <c r="E75" s="177" t="n"/>
      <c r="F75" s="177" t="n"/>
      <c r="G75" s="177" t="n"/>
      <c r="H75" s="177" t="n"/>
      <c r="I75" s="177" t="n"/>
      <c r="J75" s="177" t="n"/>
      <c r="K75" s="177" t="n"/>
      <c r="L75" s="177" t="n"/>
      <c r="M75" s="177" t="n"/>
      <c r="N75" s="177" t="n"/>
      <c r="O75" s="177" t="n"/>
      <c r="P75" s="177" t="n"/>
      <c r="Q75" s="177" t="n"/>
      <c r="R75" s="177" t="n"/>
      <c r="S75" s="177" t="n"/>
      <c r="T75" s="177" t="n"/>
      <c r="U75" s="177" t="n"/>
      <c r="V75" s="177" t="n"/>
    </row>
    <row r="76" ht="12.75" customFormat="1" customHeight="1" s="73">
      <c r="A76" s="176" t="n"/>
      <c r="B76" s="176" t="n"/>
      <c r="C76" s="176" t="n"/>
      <c r="D76" s="176" t="n"/>
      <c r="E76" s="177" t="n"/>
      <c r="F76" s="177" t="n"/>
      <c r="G76" s="177" t="n"/>
      <c r="H76" s="177" t="n"/>
      <c r="I76" s="177" t="n"/>
      <c r="J76" s="177" t="n"/>
      <c r="K76" s="177" t="n"/>
      <c r="L76" s="177" t="n"/>
      <c r="M76" s="177" t="n"/>
      <c r="N76" s="177" t="n"/>
      <c r="O76" s="177" t="n"/>
      <c r="P76" s="177" t="n"/>
      <c r="Q76" s="177" t="n"/>
      <c r="R76" s="177" t="n"/>
      <c r="S76" s="177" t="n"/>
      <c r="T76" s="177" t="n"/>
      <c r="U76" s="177" t="n"/>
      <c r="V76" s="177" t="n"/>
    </row>
    <row r="77">
      <c r="A77" s="141" t="inlineStr">
        <is>
          <t>停卡(張)</t>
        </is>
      </c>
      <c r="B77" s="141">
        <f>B$1</f>
        <v/>
      </c>
      <c r="C77" s="141">
        <f>C$1</f>
        <v/>
      </c>
      <c r="D77" s="141">
        <f>D$1</f>
        <v/>
      </c>
      <c r="E77" s="141">
        <f>E$1</f>
        <v/>
      </c>
      <c r="F77" s="141">
        <f>F$1</f>
        <v/>
      </c>
      <c r="G77" s="141">
        <f>G$1</f>
        <v/>
      </c>
      <c r="H77" s="141">
        <f>H$1</f>
        <v/>
      </c>
      <c r="I77" s="141">
        <f>I$1</f>
        <v/>
      </c>
      <c r="J77" s="141">
        <f>J$1</f>
        <v/>
      </c>
      <c r="K77" s="141">
        <f>K$1</f>
        <v/>
      </c>
      <c r="L77" s="141">
        <f>L$1</f>
        <v/>
      </c>
      <c r="M77" s="141">
        <f>M$1</f>
        <v/>
      </c>
      <c r="N77" s="141">
        <f>N$1</f>
        <v/>
      </c>
      <c r="O77" s="141">
        <f>O$1</f>
        <v/>
      </c>
      <c r="P77" s="141">
        <f>P$1</f>
        <v/>
      </c>
      <c r="Q77" s="141">
        <f>Q$1</f>
        <v/>
      </c>
      <c r="R77" s="141">
        <f>R$1</f>
        <v/>
      </c>
      <c r="S77" s="141">
        <f>S$1</f>
        <v/>
      </c>
      <c r="T77" s="141">
        <f>T$1</f>
        <v/>
      </c>
      <c r="U77" s="141">
        <f>U$1</f>
        <v/>
      </c>
      <c r="V77" s="141">
        <f>V$1</f>
        <v/>
      </c>
    </row>
    <row r="78">
      <c r="A78" s="174" t="inlineStr">
        <is>
          <t>中信</t>
        </is>
      </c>
      <c r="B78" s="172">
        <f t="array" ref="B78">_xlfn.XLOOKUP(1,(creditcard[YYYYMM]=B$4&amp;"--")*(creditcard[Bank]=$A78),creditcard[當月停卡數],"")</f>
        <v/>
      </c>
      <c r="C78" s="172">
        <f t="array" ref="C78">_xlfn.XLOOKUP(1,(creditcard[YYYYMM]=C$4&amp;"--")*(creditcard[Bank]=$A78),creditcard[當月停卡數],"")</f>
        <v/>
      </c>
      <c r="D78" s="172">
        <f t="array" ref="D78">_xlfn.XLOOKUP(1,(creditcard[YYYYMM]=D$4&amp;"--")*(creditcard[Bank]=$A78),creditcard[當月停卡數],"")</f>
        <v/>
      </c>
      <c r="E78" s="172">
        <f t="array" ref="E78">_xlfn.XLOOKUP(1,(creditcard[YYYYMM]=E$4&amp;"--")*(creditcard[Bank]=$A78),creditcard[當月停卡數],"")</f>
        <v/>
      </c>
      <c r="F78" s="172">
        <f t="array" ref="F78">_xlfn.XLOOKUP(1,(creditcard[YYYYMM]=F$4&amp;"--")*(creditcard[Bank]=$A78),creditcard[當月停卡數],"")</f>
        <v/>
      </c>
      <c r="G78" s="172">
        <f t="array" ref="G78">_xlfn.XLOOKUP(1,(creditcard[YYYYMM]=G$4&amp;"--")*(creditcard[Bank]=$A78),creditcard[當月停卡數],"")</f>
        <v/>
      </c>
      <c r="H78" s="172">
        <f t="array" ref="H78">_xlfn.XLOOKUP(1,(creditcard[YYYYMM]=H$4&amp;"--")*(creditcard[Bank]=$A78),creditcard[當月停卡數],"")</f>
        <v/>
      </c>
      <c r="I78" s="182">
        <f t="array" ref="I78">_xlfn.XLOOKUP(1,(creditcard[YYYYMM]=I$4&amp;"--")*(creditcard[Bank]=$A78),creditcard[當月停卡數],"")</f>
        <v/>
      </c>
      <c r="J78" s="182">
        <f t="array" ref="J78">_xlfn.XLOOKUP(1,(creditcard[YYYYMM]=J$4&amp;"--")*(creditcard[Bank]=$A78),creditcard[當月停卡數],"")</f>
        <v/>
      </c>
      <c r="K78" s="182">
        <f t="array" ref="K78">_xlfn.XLOOKUP(1,(creditcard[YYYYMM]=K$4&amp;"--")*(creditcard[Bank]=$A78),creditcard[當月停卡數],"")</f>
        <v/>
      </c>
      <c r="L78" s="182">
        <f t="array" ref="L78">_xlfn.XLOOKUP(1,(creditcard[YYYYMM]=L$4&amp;"--")*(creditcard[Bank]=$A78),creditcard[當月停卡數],"")</f>
        <v/>
      </c>
      <c r="M78" s="182">
        <f t="array" ref="M78">_xlfn.XLOOKUP(1,(creditcard[YYYYMM]=M$4&amp;"--")*(creditcard[Bank]=$A78),creditcard[當月停卡數],"")</f>
        <v/>
      </c>
      <c r="N78" s="180">
        <f>IFERROR((L78/H78)^(1/4)-1,"")</f>
        <v/>
      </c>
      <c r="O78" s="180">
        <f>IFERROR(F78/E78-1,"")</f>
        <v/>
      </c>
      <c r="P78" s="180">
        <f>IFERROR((G78-F78)/F78,"")</f>
        <v/>
      </c>
      <c r="Q78" s="180">
        <f>IFERROR((H78-G78)/G78,"")</f>
        <v/>
      </c>
      <c r="R78" s="180">
        <f>IFERROR((I78-H78)/H78,"")</f>
        <v/>
      </c>
      <c r="S78" s="180">
        <f>IFERROR((J78-I78)/I78,"")</f>
        <v/>
      </c>
      <c r="T78" s="180">
        <f>IFERROR((K78-J78)/J78,"")</f>
        <v/>
      </c>
      <c r="U78" s="180">
        <f>IFERROR((L78-K78)/K78,"")</f>
        <v/>
      </c>
      <c r="V78" s="180">
        <f>IFERROR((M78-L78)/L78,"")</f>
        <v/>
      </c>
    </row>
    <row r="79">
      <c r="A79" s="174" t="inlineStr">
        <is>
          <t>富邦</t>
        </is>
      </c>
      <c r="B79" s="172">
        <f t="array" ref="B79">_xlfn.XLOOKUP(1,(creditcard[YYYYMM]=B$4&amp;"--")*(creditcard[Bank]=$A79),creditcard[當月停卡數],"")</f>
        <v/>
      </c>
      <c r="C79" s="172">
        <f t="array" ref="C79">_xlfn.XLOOKUP(1,(creditcard[YYYYMM]=C$4&amp;"--")*(creditcard[Bank]=$A79),creditcard[當月停卡數],"")</f>
        <v/>
      </c>
      <c r="D79" s="172">
        <f t="array" ref="D79">_xlfn.XLOOKUP(1,(creditcard[YYYYMM]=D$4&amp;"--")*(creditcard[Bank]=$A79),creditcard[當月停卡數],"")</f>
        <v/>
      </c>
      <c r="E79" s="172">
        <f t="array" ref="E79">_xlfn.XLOOKUP(1,(creditcard[YYYYMM]=E$4&amp;"--")*(creditcard[Bank]=$A79),creditcard[當月停卡數],"")</f>
        <v/>
      </c>
      <c r="F79" s="172">
        <f t="array" ref="F79">_xlfn.XLOOKUP(1,(creditcard[YYYYMM]=F$4&amp;"--")*(creditcard[Bank]=$A79),creditcard[當月停卡數],"")</f>
        <v/>
      </c>
      <c r="G79" s="172">
        <f t="array" ref="G79">_xlfn.XLOOKUP(1,(creditcard[YYYYMM]=G$4&amp;"--")*(creditcard[Bank]=$A79),creditcard[當月停卡數],"")</f>
        <v/>
      </c>
      <c r="H79" s="172">
        <f t="array" ref="H79">_xlfn.XLOOKUP(1,(creditcard[YYYYMM]=H$4&amp;"--")*(creditcard[Bank]=$A79),creditcard[當月停卡數],"")</f>
        <v/>
      </c>
      <c r="I79" s="182">
        <f t="array" ref="I79">_xlfn.XLOOKUP(1,(creditcard[YYYYMM]=I$4&amp;"--")*(creditcard[Bank]=$A79),creditcard[當月停卡數],"")</f>
        <v/>
      </c>
      <c r="J79" s="182">
        <f t="array" ref="J79">_xlfn.XLOOKUP(1,(creditcard[YYYYMM]=J$4&amp;"--")*(creditcard[Bank]=$A79),creditcard[當月停卡數],"")</f>
        <v/>
      </c>
      <c r="K79" s="182">
        <f t="array" ref="K79">_xlfn.XLOOKUP(1,(creditcard[YYYYMM]=K$4&amp;"--")*(creditcard[Bank]=$A79),creditcard[當月停卡數],"")</f>
        <v/>
      </c>
      <c r="L79" s="182">
        <f t="array" ref="L79">_xlfn.XLOOKUP(1,(creditcard[YYYYMM]=L$4&amp;"--")*(creditcard[Bank]=$A79),creditcard[當月停卡數],"")</f>
        <v/>
      </c>
      <c r="M79" s="182">
        <f t="array" ref="M79">_xlfn.XLOOKUP(1,(creditcard[YYYYMM]=M$4&amp;"--")*(creditcard[Bank]=$A79),creditcard[當月停卡數],"")</f>
        <v/>
      </c>
      <c r="N79" s="180">
        <f>IFERROR((L79/H79)^(1/4)-1,"")</f>
        <v/>
      </c>
      <c r="O79" s="180">
        <f>IFERROR(F79/E79-1,"")</f>
        <v/>
      </c>
      <c r="P79" s="180">
        <f>IFERROR((G79-F79)/F79,"")</f>
        <v/>
      </c>
      <c r="Q79" s="180">
        <f>IFERROR((H79-G79)/G79,"")</f>
        <v/>
      </c>
      <c r="R79" s="180">
        <f>IFERROR((I79-H79)/H79,"")</f>
        <v/>
      </c>
      <c r="S79" s="180">
        <f>IFERROR((J79-I79)/I79,"")</f>
        <v/>
      </c>
      <c r="T79" s="180">
        <f>IFERROR((K79-J79)/J79,"")</f>
        <v/>
      </c>
      <c r="U79" s="180">
        <f>IFERROR((L79-K79)/K79,"")</f>
        <v/>
      </c>
      <c r="V79" s="180">
        <f>IFERROR((M79-L79)/L79,"")</f>
        <v/>
      </c>
    </row>
    <row r="80">
      <c r="A80" s="174" t="inlineStr">
        <is>
          <t>國泰</t>
        </is>
      </c>
      <c r="B80" s="172">
        <f t="array" ref="B80">_xlfn.XLOOKUP(1,(creditcard[YYYYMM]=B$4&amp;"--")*(creditcard[Bank]=$A80),creditcard[當月停卡數],"")</f>
        <v/>
      </c>
      <c r="C80" s="172">
        <f t="array" ref="C80">_xlfn.XLOOKUP(1,(creditcard[YYYYMM]=C$4&amp;"--")*(creditcard[Bank]=$A80),creditcard[當月停卡數],"")</f>
        <v/>
      </c>
      <c r="D80" s="172">
        <f t="array" ref="D80">_xlfn.XLOOKUP(1,(creditcard[YYYYMM]=D$4&amp;"--")*(creditcard[Bank]=$A80),creditcard[當月停卡數],"")</f>
        <v/>
      </c>
      <c r="E80" s="172">
        <f t="array" ref="E80">_xlfn.XLOOKUP(1,(creditcard[YYYYMM]=E$4&amp;"--")*(creditcard[Bank]=$A80),creditcard[當月停卡數],"")</f>
        <v/>
      </c>
      <c r="F80" s="172">
        <f t="array" ref="F80">_xlfn.XLOOKUP(1,(creditcard[YYYYMM]=F$4&amp;"--")*(creditcard[Bank]=$A80),creditcard[當月停卡數],"")</f>
        <v/>
      </c>
      <c r="G80" s="172">
        <f t="array" ref="G80">_xlfn.XLOOKUP(1,(creditcard[YYYYMM]=G$4&amp;"--")*(creditcard[Bank]=$A80),creditcard[當月停卡數],"")</f>
        <v/>
      </c>
      <c r="H80" s="172">
        <f t="array" ref="H80">_xlfn.XLOOKUP(1,(creditcard[YYYYMM]=H$4&amp;"--")*(creditcard[Bank]=$A80),creditcard[當月停卡數],"")</f>
        <v/>
      </c>
      <c r="I80" s="182">
        <f t="array" ref="I80">_xlfn.XLOOKUP(1,(creditcard[YYYYMM]=I$4&amp;"--")*(creditcard[Bank]=$A80),creditcard[當月停卡數],"")</f>
        <v/>
      </c>
      <c r="J80" s="182">
        <f t="array" ref="J80">_xlfn.XLOOKUP(1,(creditcard[YYYYMM]=J$4&amp;"--")*(creditcard[Bank]=$A80),creditcard[當月停卡數],"")</f>
        <v/>
      </c>
      <c r="K80" s="182">
        <f t="array" ref="K80">_xlfn.XLOOKUP(1,(creditcard[YYYYMM]=K$4&amp;"--")*(creditcard[Bank]=$A80),creditcard[當月停卡數],"")</f>
        <v/>
      </c>
      <c r="L80" s="182">
        <f t="array" ref="L80">_xlfn.XLOOKUP(1,(creditcard[YYYYMM]=L$4&amp;"--")*(creditcard[Bank]=$A80),creditcard[當月停卡數],"")</f>
        <v/>
      </c>
      <c r="M80" s="182">
        <f t="array" ref="M80">_xlfn.XLOOKUP(1,(creditcard[YYYYMM]=M$4&amp;"--")*(creditcard[Bank]=$A80),creditcard[當月停卡數],"")</f>
        <v/>
      </c>
      <c r="N80" s="180">
        <f>IFERROR((L80/H80)^(1/4)-1,"")</f>
        <v/>
      </c>
      <c r="O80" s="180">
        <f>IFERROR(F80/E80-1,"")</f>
        <v/>
      </c>
      <c r="P80" s="180">
        <f>IFERROR((G80-F80)/F80,"")</f>
        <v/>
      </c>
      <c r="Q80" s="180">
        <f>IFERROR((H80-G80)/G80,"")</f>
        <v/>
      </c>
      <c r="R80" s="180">
        <f>IFERROR((I80-H80)/H80,"")</f>
        <v/>
      </c>
      <c r="S80" s="180">
        <f>IFERROR((J80-I80)/I80,"")</f>
        <v/>
      </c>
      <c r="T80" s="180">
        <f>IFERROR((K80-J80)/J80,"")</f>
        <v/>
      </c>
      <c r="U80" s="180">
        <f>IFERROR((L80-K80)/K80,"")</f>
        <v/>
      </c>
      <c r="V80" s="180">
        <f>IFERROR((M80-L80)/L80,"")</f>
        <v/>
      </c>
    </row>
    <row r="81">
      <c r="A81" s="174" t="inlineStr">
        <is>
          <t>玉山</t>
        </is>
      </c>
      <c r="B81" s="172">
        <f t="array" ref="B81">_xlfn.XLOOKUP(1,(creditcard[YYYYMM]=B$4&amp;"--")*(creditcard[Bank]=$A81),creditcard[當月停卡數],"")</f>
        <v/>
      </c>
      <c r="C81" s="172">
        <f t="array" ref="C81">_xlfn.XLOOKUP(1,(creditcard[YYYYMM]=C$4&amp;"--")*(creditcard[Bank]=$A81),creditcard[當月停卡數],"")</f>
        <v/>
      </c>
      <c r="D81" s="172">
        <f t="array" ref="D81">_xlfn.XLOOKUP(1,(creditcard[YYYYMM]=D$4&amp;"--")*(creditcard[Bank]=$A81),creditcard[當月停卡數],"")</f>
        <v/>
      </c>
      <c r="E81" s="172">
        <f t="array" ref="E81">_xlfn.XLOOKUP(1,(creditcard[YYYYMM]=E$4&amp;"--")*(creditcard[Bank]=$A81),creditcard[當月停卡數],"")</f>
        <v/>
      </c>
      <c r="F81" s="172">
        <f t="array" ref="F81">_xlfn.XLOOKUP(1,(creditcard[YYYYMM]=F$4&amp;"--")*(creditcard[Bank]=$A81),creditcard[當月停卡數],"")</f>
        <v/>
      </c>
      <c r="G81" s="172">
        <f t="array" ref="G81">_xlfn.XLOOKUP(1,(creditcard[YYYYMM]=G$4&amp;"--")*(creditcard[Bank]=$A81),creditcard[當月停卡數],"")</f>
        <v/>
      </c>
      <c r="H81" s="172">
        <f t="array" ref="H81">_xlfn.XLOOKUP(1,(creditcard[YYYYMM]=H$4&amp;"--")*(creditcard[Bank]=$A81),creditcard[當月停卡數],"")</f>
        <v/>
      </c>
      <c r="I81" s="182">
        <f t="array" ref="I81">_xlfn.XLOOKUP(1,(creditcard[YYYYMM]=I$4&amp;"--")*(creditcard[Bank]=$A81),creditcard[當月停卡數],"")</f>
        <v/>
      </c>
      <c r="J81" s="182">
        <f t="array" ref="J81">_xlfn.XLOOKUP(1,(creditcard[YYYYMM]=J$4&amp;"--")*(creditcard[Bank]=$A81),creditcard[當月停卡數],"")</f>
        <v/>
      </c>
      <c r="K81" s="182">
        <f t="array" ref="K81">_xlfn.XLOOKUP(1,(creditcard[YYYYMM]=K$4&amp;"--")*(creditcard[Bank]=$A81),creditcard[當月停卡數],"")</f>
        <v/>
      </c>
      <c r="L81" s="182">
        <f t="array" ref="L81">_xlfn.XLOOKUP(1,(creditcard[YYYYMM]=L$4&amp;"--")*(creditcard[Bank]=$A81),creditcard[當月停卡數],"")</f>
        <v/>
      </c>
      <c r="M81" s="182">
        <f t="array" ref="M81">_xlfn.XLOOKUP(1,(creditcard[YYYYMM]=M$4&amp;"--")*(creditcard[Bank]=$A81),creditcard[當月停卡數],"")</f>
        <v/>
      </c>
      <c r="N81" s="180">
        <f>IFERROR((L81/H81)^(1/4)-1,"")</f>
        <v/>
      </c>
      <c r="O81" s="180">
        <f>IFERROR(F81/E81-1,"")</f>
        <v/>
      </c>
      <c r="P81" s="180">
        <f>IFERROR((G81-F81)/F81,"")</f>
        <v/>
      </c>
      <c r="Q81" s="180">
        <f>IFERROR((H81-G81)/G81,"")</f>
        <v/>
      </c>
      <c r="R81" s="180">
        <f>IFERROR((I81-H81)/H81,"")</f>
        <v/>
      </c>
      <c r="S81" s="180">
        <f>IFERROR((J81-I81)/I81,"")</f>
        <v/>
      </c>
      <c r="T81" s="180">
        <f>IFERROR((K81-J81)/J81,"")</f>
        <v/>
      </c>
      <c r="U81" s="180">
        <f>IFERROR((L81-K81)/K81,"")</f>
        <v/>
      </c>
      <c r="V81" s="180">
        <f>IFERROR((M81-L81)/L81,"")</f>
        <v/>
      </c>
    </row>
    <row r="82">
      <c r="A82" s="174" t="inlineStr">
        <is>
          <t>台新</t>
        </is>
      </c>
      <c r="B82" s="172">
        <f t="array" ref="B82">_xlfn.XLOOKUP(1,(creditcard[YYYYMM]=B$4&amp;"--")*(creditcard[Bank]=$A82),creditcard[當月停卡數],"")</f>
        <v/>
      </c>
      <c r="C82" s="172">
        <f t="array" ref="C82">_xlfn.XLOOKUP(1,(creditcard[YYYYMM]=C$4&amp;"--")*(creditcard[Bank]=$A82),creditcard[當月停卡數],"")</f>
        <v/>
      </c>
      <c r="D82" s="172">
        <f t="array" ref="D82">_xlfn.XLOOKUP(1,(creditcard[YYYYMM]=D$4&amp;"--")*(creditcard[Bank]=$A82),creditcard[當月停卡數],"")</f>
        <v/>
      </c>
      <c r="E82" s="172">
        <f t="array" ref="E82">_xlfn.XLOOKUP(1,(creditcard[YYYYMM]=E$4&amp;"--")*(creditcard[Bank]=$A82),creditcard[當月停卡數],"")</f>
        <v/>
      </c>
      <c r="F82" s="172">
        <f t="array" ref="F82">_xlfn.XLOOKUP(1,(creditcard[YYYYMM]=F$4&amp;"--")*(creditcard[Bank]=$A82),creditcard[當月停卡數],"")</f>
        <v/>
      </c>
      <c r="G82" s="172">
        <f t="array" ref="G82">_xlfn.XLOOKUP(1,(creditcard[YYYYMM]=G$4&amp;"--")*(creditcard[Bank]=$A82),creditcard[當月停卡數],"")</f>
        <v/>
      </c>
      <c r="H82" s="172">
        <f t="array" ref="H82">_xlfn.XLOOKUP(1,(creditcard[YYYYMM]=H$4&amp;"--")*(creditcard[Bank]=$A82),creditcard[當月停卡數],"")</f>
        <v/>
      </c>
      <c r="I82" s="182">
        <f t="array" ref="I82">_xlfn.XLOOKUP(1,(creditcard[YYYYMM]=I$4&amp;"--")*(creditcard[Bank]=$A82),creditcard[當月停卡數],"")</f>
        <v/>
      </c>
      <c r="J82" s="182">
        <f t="array" ref="J82">_xlfn.XLOOKUP(1,(creditcard[YYYYMM]=J$4&amp;"--")*(creditcard[Bank]=$A82),creditcard[當月停卡數],"")</f>
        <v/>
      </c>
      <c r="K82" s="182">
        <f t="array" ref="K82">_xlfn.XLOOKUP(1,(creditcard[YYYYMM]=K$4&amp;"--")*(creditcard[Bank]=$A82),creditcard[當月停卡數],"")</f>
        <v/>
      </c>
      <c r="L82" s="182">
        <f t="array" ref="L82">_xlfn.XLOOKUP(1,(creditcard[YYYYMM]=L$4&amp;"--")*(creditcard[Bank]=$A82),creditcard[當月停卡數],"")</f>
        <v/>
      </c>
      <c r="M82" s="182">
        <f t="array" ref="M82">_xlfn.XLOOKUP(1,(creditcard[YYYYMM]=M$4&amp;"--")*(creditcard[Bank]=$A82),creditcard[當月停卡數],"")</f>
        <v/>
      </c>
      <c r="N82" s="180">
        <f>IFERROR((L82/H82)^(1/4)-1,"")</f>
        <v/>
      </c>
      <c r="O82" s="180">
        <f>IFERROR(F82/E82-1,"")</f>
        <v/>
      </c>
      <c r="P82" s="180">
        <f>IFERROR((G82-F82)/F82,"")</f>
        <v/>
      </c>
      <c r="Q82" s="180">
        <f>IFERROR((H82-G82)/G82,"")</f>
        <v/>
      </c>
      <c r="R82" s="180">
        <f>IFERROR((I82-H82)/H82,"")</f>
        <v/>
      </c>
      <c r="S82" s="180">
        <f>IFERROR((J82-I82)/I82,"")</f>
        <v/>
      </c>
      <c r="T82" s="180">
        <f>IFERROR((K82-J82)/J82,"")</f>
        <v/>
      </c>
      <c r="U82" s="180">
        <f>IFERROR((L82-K82)/K82,"")</f>
        <v/>
      </c>
      <c r="V82" s="180">
        <f>IFERROR((M82-L82)/L82,"")</f>
        <v/>
      </c>
    </row>
    <row r="83">
      <c r="A83" s="174" t="inlineStr">
        <is>
          <t>星展</t>
        </is>
      </c>
      <c r="B83" s="172">
        <f t="array" ref="B83">_xlfn.XLOOKUP(1,(creditcard[YYYYMM]=B$4&amp;"--")*(creditcard[Bank]=$A83),creditcard[當月停卡數],"")</f>
        <v/>
      </c>
      <c r="C83" s="172">
        <f t="array" ref="C83">_xlfn.XLOOKUP(1,(creditcard[YYYYMM]=C$4&amp;"--")*(creditcard[Bank]=$A83),creditcard[當月停卡數],"")</f>
        <v/>
      </c>
      <c r="D83" s="172">
        <f t="array" ref="D83">_xlfn.XLOOKUP(1,(creditcard[YYYYMM]=D$4&amp;"--")*(creditcard[Bank]=$A83),creditcard[當月停卡數],"")</f>
        <v/>
      </c>
      <c r="E83" s="172">
        <f t="array" ref="E83">_xlfn.XLOOKUP(1,(creditcard[YYYYMM]=E$4&amp;"--")*(creditcard[Bank]=$A83),creditcard[當月停卡數],"")</f>
        <v/>
      </c>
      <c r="F83" s="172">
        <f t="array" ref="F83">_xlfn.XLOOKUP(1,(creditcard[YYYYMM]=F$4&amp;"--")*(creditcard[Bank]=$A83),creditcard[當月停卡數],"")</f>
        <v/>
      </c>
      <c r="G83" s="172">
        <f t="array" ref="G83">_xlfn.XLOOKUP(1,(creditcard[YYYYMM]=G$4&amp;"--")*(creditcard[Bank]=$A83),creditcard[當月停卡數],"")</f>
        <v/>
      </c>
      <c r="H83" s="172">
        <f t="array" ref="H83">_xlfn.XLOOKUP(1,(creditcard[YYYYMM]=H$4&amp;"--")*(creditcard[Bank]=$A83),creditcard[當月停卡數],"")</f>
        <v/>
      </c>
      <c r="I83" s="172">
        <f t="array" ref="I83">_xlfn.XLOOKUP(1,(creditcard[YYYYMM]=I$4&amp;"--")*(creditcard[Bank]=$A83),creditcard[當月停卡數],"")</f>
        <v/>
      </c>
      <c r="J83" s="182">
        <f t="array" ref="J83">_xlfn.XLOOKUP(1,(creditcard[YYYYMM]=J$4&amp;"--")*(creditcard[Bank]=$A83),creditcard[當月停卡數],"")</f>
        <v/>
      </c>
      <c r="K83" s="182">
        <f t="array" ref="K83">_xlfn.XLOOKUP(1,(creditcard[YYYYMM]=K$4&amp;"--")*(creditcard[Bank]=$A83),creditcard[當月停卡數],"")</f>
        <v/>
      </c>
      <c r="L83" s="182">
        <f t="array" ref="L83">_xlfn.XLOOKUP(1,(creditcard[YYYYMM]=L$4&amp;"--")*(creditcard[Bank]=$A83),creditcard[當月停卡數],"")</f>
        <v/>
      </c>
      <c r="M83" s="182">
        <f t="array" ref="M83">_xlfn.XLOOKUP(1,(creditcard[YYYYMM]=M$4&amp;"--")*(creditcard[Bank]=$A83),creditcard[當月停卡數],"")</f>
        <v/>
      </c>
      <c r="N83" s="180">
        <f>IFERROR((L83/H83)^(1/4)-1,"")</f>
        <v/>
      </c>
      <c r="O83" s="180">
        <f>IFERROR(F83/E83-1,"")</f>
        <v/>
      </c>
      <c r="P83" s="180">
        <f>IFERROR((G83-F83)/F83,"")</f>
        <v/>
      </c>
      <c r="Q83" s="180">
        <f>IFERROR((H83-G83)/G83,"")</f>
        <v/>
      </c>
      <c r="R83" s="180">
        <f>IFERROR((I83-H83)/H83,"")</f>
        <v/>
      </c>
      <c r="S83" s="180">
        <f>IFERROR((J83-I83)/I83,"")</f>
        <v/>
      </c>
      <c r="T83" s="180">
        <f>IFERROR((K83-J83)/J83,"")</f>
        <v/>
      </c>
      <c r="U83" s="180">
        <f>IFERROR((L83-K83)/K83,"")</f>
        <v/>
      </c>
      <c r="V83" s="180">
        <f>IFERROR((M83-L83)/L83,"")</f>
        <v/>
      </c>
    </row>
    <row r="84" ht="14.25" customHeight="1" s="142">
      <c r="A84" s="174" t="inlineStr">
        <is>
          <t>聯邦</t>
        </is>
      </c>
      <c r="B84" s="172">
        <f t="array" ref="B84">_xlfn.XLOOKUP(1,(creditcard[YYYYMM]=B$4&amp;"--")*(creditcard[Bank]=$A84),creditcard[當月停卡數],"")</f>
        <v/>
      </c>
      <c r="C84" s="172">
        <f t="array" ref="C84">_xlfn.XLOOKUP(1,(creditcard[YYYYMM]=C$4&amp;"--")*(creditcard[Bank]=$A84),creditcard[當月停卡數],"")</f>
        <v/>
      </c>
      <c r="D84" s="172">
        <f t="array" ref="D84">_xlfn.XLOOKUP(1,(creditcard[YYYYMM]=D$4&amp;"--")*(creditcard[Bank]=$A84),creditcard[當月停卡數],"")</f>
        <v/>
      </c>
      <c r="E84" s="172">
        <f t="array" ref="E84">_xlfn.XLOOKUP(1,(creditcard[YYYYMM]=E$4&amp;"--")*(creditcard[Bank]=$A84),creditcard[當月停卡數],"")</f>
        <v/>
      </c>
      <c r="F84" s="172">
        <f t="array" ref="F84">_xlfn.XLOOKUP(1,(creditcard[YYYYMM]=F$4&amp;"--")*(creditcard[Bank]=$A84),creditcard[當月停卡數],"")</f>
        <v/>
      </c>
      <c r="G84" s="172">
        <f t="array" ref="G84">_xlfn.XLOOKUP(1,(creditcard[YYYYMM]=G$4&amp;"--")*(creditcard[Bank]=$A84),creditcard[當月停卡數],"")</f>
        <v/>
      </c>
      <c r="H84" s="172">
        <f t="array" ref="H84">_xlfn.XLOOKUP(1,(creditcard[YYYYMM]=H$4&amp;"--")*(creditcard[Bank]=$A84),creditcard[當月停卡數],"")</f>
        <v/>
      </c>
      <c r="I84" s="182">
        <f t="array" ref="I84">_xlfn.XLOOKUP(1,(creditcard[YYYYMM]=I$4&amp;"--")*(creditcard[Bank]=$A84),creditcard[當月停卡數],"")</f>
        <v/>
      </c>
      <c r="J84" s="182">
        <f t="array" ref="J84">_xlfn.XLOOKUP(1,(creditcard[YYYYMM]=J$4&amp;"--")*(creditcard[Bank]=$A84),creditcard[當月停卡數],"")</f>
        <v/>
      </c>
      <c r="K84" s="182">
        <f t="array" ref="K84">_xlfn.XLOOKUP(1,(creditcard[YYYYMM]=K$4&amp;"--")*(creditcard[Bank]=$A84),creditcard[當月停卡數],"")</f>
        <v/>
      </c>
      <c r="L84" s="182">
        <f t="array" ref="L84">_xlfn.XLOOKUP(1,(creditcard[YYYYMM]=L$4&amp;"--")*(creditcard[Bank]=$A84),creditcard[當月停卡數],"")</f>
        <v/>
      </c>
      <c r="M84" s="182">
        <f t="array" ref="M84">_xlfn.XLOOKUP(1,(creditcard[YYYYMM]=M$4&amp;"--")*(creditcard[Bank]=$A84),creditcard[當月停卡數],"")</f>
        <v/>
      </c>
      <c r="N84" s="180">
        <f>IFERROR((L84/H84)^(1/4)-1,"")</f>
        <v/>
      </c>
      <c r="O84" s="180">
        <f>IFERROR(F84/E84-1,"")</f>
        <v/>
      </c>
      <c r="P84" s="180">
        <f>IFERROR((G84-F84)/F84,"")</f>
        <v/>
      </c>
      <c r="Q84" s="180">
        <f>IFERROR((H84-G84)/G84,"")</f>
        <v/>
      </c>
      <c r="R84" s="180">
        <f>IFERROR((I84-H84)/H84,"")</f>
        <v/>
      </c>
      <c r="S84" s="180">
        <f>IFERROR((J84-I84)/I84,"")</f>
        <v/>
      </c>
      <c r="T84" s="180">
        <f>IFERROR((K84-J84)/J84,"")</f>
        <v/>
      </c>
      <c r="U84" s="180">
        <f>IFERROR((L84-K84)/K84,"")</f>
        <v/>
      </c>
      <c r="V84" s="180">
        <f>IFERROR((M84-L84)/L84,"")</f>
        <v/>
      </c>
    </row>
    <row r="85">
      <c r="A85" s="174" t="inlineStr">
        <is>
          <t>永豐</t>
        </is>
      </c>
      <c r="B85" s="172">
        <f t="array" ref="B85">_xlfn.XLOOKUP(1,(creditcard[YYYYMM]=B$4&amp;"--")*(creditcard[Bank]=$A85),creditcard[當月停卡數],"")</f>
        <v/>
      </c>
      <c r="C85" s="172">
        <f t="array" ref="C85">_xlfn.XLOOKUP(1,(creditcard[YYYYMM]=C$4&amp;"--")*(creditcard[Bank]=$A85),creditcard[當月停卡數],"")</f>
        <v/>
      </c>
      <c r="D85" s="172">
        <f t="array" ref="D85">_xlfn.XLOOKUP(1,(creditcard[YYYYMM]=D$4&amp;"--")*(creditcard[Bank]=$A85),creditcard[當月停卡數],"")</f>
        <v/>
      </c>
      <c r="E85" s="172">
        <f t="array" ref="E85">_xlfn.XLOOKUP(1,(creditcard[YYYYMM]=E$4&amp;"--")*(creditcard[Bank]=$A85),creditcard[當月停卡數],"")</f>
        <v/>
      </c>
      <c r="F85" s="172">
        <f t="array" ref="F85">_xlfn.XLOOKUP(1,(creditcard[YYYYMM]=F$4&amp;"--")*(creditcard[Bank]=$A85),creditcard[當月停卡數],"")</f>
        <v/>
      </c>
      <c r="G85" s="172">
        <f t="array" ref="G85">_xlfn.XLOOKUP(1,(creditcard[YYYYMM]=G$4&amp;"--")*(creditcard[Bank]=$A85),creditcard[當月停卡數],"")</f>
        <v/>
      </c>
      <c r="H85" s="172">
        <f t="array" ref="H85">_xlfn.XLOOKUP(1,(creditcard[YYYYMM]=H$4&amp;"--")*(creditcard[Bank]=$A85),creditcard[當月停卡數],"")</f>
        <v/>
      </c>
      <c r="I85" s="182">
        <f t="array" ref="I85">_xlfn.XLOOKUP(1,(creditcard[YYYYMM]=I$4&amp;"--")*(creditcard[Bank]=$A85),creditcard[當月停卡數],"")</f>
        <v/>
      </c>
      <c r="J85" s="182">
        <f t="array" ref="J85">_xlfn.XLOOKUP(1,(creditcard[YYYYMM]=J$4&amp;"--")*(creditcard[Bank]=$A85),creditcard[當月停卡數],"")</f>
        <v/>
      </c>
      <c r="K85" s="182">
        <f t="array" ref="K85">_xlfn.XLOOKUP(1,(creditcard[YYYYMM]=K$4&amp;"--")*(creditcard[Bank]=$A85),creditcard[當月停卡數],"")</f>
        <v/>
      </c>
      <c r="L85" s="182">
        <f t="array" ref="L85">_xlfn.XLOOKUP(1,(creditcard[YYYYMM]=L$4&amp;"--")*(creditcard[Bank]=$A85),creditcard[當月停卡數],"")</f>
        <v/>
      </c>
      <c r="M85" s="182">
        <f t="array" ref="M85">_xlfn.XLOOKUP(1,(creditcard[YYYYMM]=M$4&amp;"--")*(creditcard[Bank]=$A85),creditcard[當月停卡數],"")</f>
        <v/>
      </c>
      <c r="N85" s="180">
        <f>IFERROR((L85/H85)^(1/4)-1,"")</f>
        <v/>
      </c>
      <c r="O85" s="180">
        <f>IFERROR(F85/E85-1,"")</f>
        <v/>
      </c>
      <c r="P85" s="180">
        <f>IFERROR((G85-F85)/F85,"")</f>
        <v/>
      </c>
      <c r="Q85" s="180">
        <f>IFERROR((H85-G85)/G85,"")</f>
        <v/>
      </c>
      <c r="R85" s="180">
        <f>IFERROR((I85-H85)/H85,"")</f>
        <v/>
      </c>
      <c r="S85" s="180">
        <f>IFERROR((J85-I85)/I85,"")</f>
        <v/>
      </c>
      <c r="T85" s="180">
        <f>IFERROR((K85-J85)/J85,"")</f>
        <v/>
      </c>
      <c r="U85" s="180">
        <f>IFERROR((L85-K85)/K85,"")</f>
        <v/>
      </c>
      <c r="V85" s="180">
        <f>IFERROR((M85-L85)/L85,"")</f>
        <v/>
      </c>
    </row>
    <row r="86">
      <c r="A86" s="174" t="inlineStr">
        <is>
          <t>第一</t>
        </is>
      </c>
      <c r="B86" s="172">
        <f t="array" ref="B86">_xlfn.XLOOKUP(1,(creditcard[YYYYMM]=B$4&amp;"--")*(creditcard[Bank]=$A86),creditcard[當月停卡數],"")</f>
        <v/>
      </c>
      <c r="C86" s="172">
        <f t="array" ref="C86">_xlfn.XLOOKUP(1,(creditcard[YYYYMM]=C$4&amp;"--")*(creditcard[Bank]=$A86),creditcard[當月停卡數],"")</f>
        <v/>
      </c>
      <c r="D86" s="172">
        <f t="array" ref="D86">_xlfn.XLOOKUP(1,(creditcard[YYYYMM]=D$4&amp;"--")*(creditcard[Bank]=$A86),creditcard[當月停卡數],"")</f>
        <v/>
      </c>
      <c r="E86" s="172">
        <f t="array" ref="E86">_xlfn.XLOOKUP(1,(creditcard[YYYYMM]=E$4&amp;"--")*(creditcard[Bank]=$A86),creditcard[當月停卡數],"")</f>
        <v/>
      </c>
      <c r="F86" s="172">
        <f t="array" ref="F86">_xlfn.XLOOKUP(1,(creditcard[YYYYMM]=F$4&amp;"--")*(creditcard[Bank]=$A86),creditcard[當月停卡數],"")</f>
        <v/>
      </c>
      <c r="G86" s="172">
        <f t="array" ref="G86">_xlfn.XLOOKUP(1,(creditcard[YYYYMM]=G$4&amp;"--")*(creditcard[Bank]=$A86),creditcard[當月停卡數],"")</f>
        <v/>
      </c>
      <c r="H86" s="172">
        <f t="array" ref="H86">_xlfn.XLOOKUP(1,(creditcard[YYYYMM]=H$4&amp;"--")*(creditcard[Bank]=$A86),creditcard[當月停卡數],"")</f>
        <v/>
      </c>
      <c r="I86" s="182">
        <f t="array" ref="I86">_xlfn.XLOOKUP(1,(creditcard[YYYYMM]=I$4&amp;"--")*(creditcard[Bank]=$A86),creditcard[當月停卡數],"")</f>
        <v/>
      </c>
      <c r="J86" s="182">
        <f t="array" ref="J86">_xlfn.XLOOKUP(1,(creditcard[YYYYMM]=J$4&amp;"--")*(creditcard[Bank]=$A86),creditcard[當月停卡數],"")</f>
        <v/>
      </c>
      <c r="K86" s="182">
        <f t="array" ref="K86">_xlfn.XLOOKUP(1,(creditcard[YYYYMM]=K$4&amp;"--")*(creditcard[Bank]=$A86),creditcard[當月停卡數],"")</f>
        <v/>
      </c>
      <c r="L86" s="182">
        <f t="array" ref="L86">_xlfn.XLOOKUP(1,(creditcard[YYYYMM]=L$4&amp;"--")*(creditcard[Bank]=$A86),creditcard[當月停卡數],"")</f>
        <v/>
      </c>
      <c r="M86" s="182">
        <f t="array" ref="M86">_xlfn.XLOOKUP(1,(creditcard[YYYYMM]=M$4&amp;"--")*(creditcard[Bank]=$A86),creditcard[當月停卡數],"")</f>
        <v/>
      </c>
      <c r="N86" s="180">
        <f>IFERROR((L86/H86)^(1/4)-1,"")</f>
        <v/>
      </c>
      <c r="O86" s="180">
        <f>IFERROR(F86/E86-1,"")</f>
        <v/>
      </c>
      <c r="P86" s="180">
        <f>IFERROR((G86-F86)/F86,"")</f>
        <v/>
      </c>
      <c r="Q86" s="180">
        <f>IFERROR((H86-G86)/G86,"")</f>
        <v/>
      </c>
      <c r="R86" s="180">
        <f>IFERROR((I86-H86)/H86,"")</f>
        <v/>
      </c>
      <c r="S86" s="180">
        <f>IFERROR((J86-I86)/I86,"")</f>
        <v/>
      </c>
      <c r="T86" s="180">
        <f>IFERROR((K86-J86)/J86,"")</f>
        <v/>
      </c>
      <c r="U86" s="180">
        <f>IFERROR((L86-K86)/K86,"")</f>
        <v/>
      </c>
      <c r="V86" s="180">
        <f>IFERROR((M86-L86)/L86,"")</f>
        <v/>
      </c>
    </row>
    <row r="87">
      <c r="A87" s="174" t="inlineStr">
        <is>
          <t>遠東</t>
        </is>
      </c>
      <c r="B87" s="172">
        <f t="array" ref="B87">_xlfn.XLOOKUP(1,(creditcard[YYYYMM]=B$4&amp;"--")*(creditcard[Bank]=$A87),creditcard[當月停卡數],"")</f>
        <v/>
      </c>
      <c r="C87" s="172">
        <f t="array" ref="C87">_xlfn.XLOOKUP(1,(creditcard[YYYYMM]=C$4&amp;"--")*(creditcard[Bank]=$A87),creditcard[當月停卡數],"")</f>
        <v/>
      </c>
      <c r="D87" s="172">
        <f t="array" ref="D87">_xlfn.XLOOKUP(1,(creditcard[YYYYMM]=D$4&amp;"--")*(creditcard[Bank]=$A87),creditcard[當月停卡數],"")</f>
        <v/>
      </c>
      <c r="E87" s="172">
        <f t="array" ref="E87">_xlfn.XLOOKUP(1,(creditcard[YYYYMM]=E$4&amp;"--")*(creditcard[Bank]=$A87),creditcard[當月停卡數],"")</f>
        <v/>
      </c>
      <c r="F87" s="172">
        <f t="array" ref="F87">_xlfn.XLOOKUP(1,(creditcard[YYYYMM]=F$4&amp;"--")*(creditcard[Bank]=$A87),creditcard[當月停卡數],"")</f>
        <v/>
      </c>
      <c r="G87" s="172">
        <f t="array" ref="G87">_xlfn.XLOOKUP(1,(creditcard[YYYYMM]=G$4&amp;"--")*(creditcard[Bank]=$A87),creditcard[當月停卡數],"")</f>
        <v/>
      </c>
      <c r="H87" s="172">
        <f t="array" ref="H87">_xlfn.XLOOKUP(1,(creditcard[YYYYMM]=H$4&amp;"--")*(creditcard[Bank]=$A87),creditcard[當月停卡數],"")</f>
        <v/>
      </c>
      <c r="I87" s="182">
        <f t="array" ref="I87">_xlfn.XLOOKUP(1,(creditcard[YYYYMM]=I$4&amp;"--")*(creditcard[Bank]=$A87),creditcard[當月停卡數],"")</f>
        <v/>
      </c>
      <c r="J87" s="182">
        <f t="array" ref="J87">_xlfn.XLOOKUP(1,(creditcard[YYYYMM]=J$4&amp;"--")*(creditcard[Bank]=$A87),creditcard[當月停卡數],"")</f>
        <v/>
      </c>
      <c r="K87" s="182">
        <f t="array" ref="K87">_xlfn.XLOOKUP(1,(creditcard[YYYYMM]=K$4&amp;"--")*(creditcard[Bank]=$A87),creditcard[當月停卡數],"")</f>
        <v/>
      </c>
      <c r="L87" s="182">
        <f t="array" ref="L87">_xlfn.XLOOKUP(1,(creditcard[YYYYMM]=L$4&amp;"--")*(creditcard[Bank]=$A87),creditcard[當月停卡數],"")</f>
        <v/>
      </c>
      <c r="M87" s="182">
        <f t="array" ref="M87">_xlfn.XLOOKUP(1,(creditcard[YYYYMM]=M$4&amp;"--")*(creditcard[Bank]=$A87),creditcard[當月停卡數],"")</f>
        <v/>
      </c>
      <c r="N87" s="180">
        <f>IFERROR((L87/H87)^(1/4)-1,"")</f>
        <v/>
      </c>
      <c r="O87" s="180">
        <f>IFERROR(F87/E87-1,"")</f>
        <v/>
      </c>
      <c r="P87" s="180">
        <f>IFERROR((G87-F87)/F87,"")</f>
        <v/>
      </c>
      <c r="Q87" s="180">
        <f>IFERROR((H87-G87)/G87,"")</f>
        <v/>
      </c>
      <c r="R87" s="180">
        <f>IFERROR((I87-H87)/H87,"")</f>
        <v/>
      </c>
      <c r="S87" s="180">
        <f>IFERROR((J87-I87)/I87,"")</f>
        <v/>
      </c>
      <c r="T87" s="180">
        <f>IFERROR((K87-J87)/J87,"")</f>
        <v/>
      </c>
      <c r="U87" s="180">
        <f>IFERROR((L87-K87)/K87,"")</f>
        <v/>
      </c>
      <c r="V87" s="180">
        <f>IFERROR((M87-L87)/L87,"")</f>
        <v/>
      </c>
    </row>
    <row r="88">
      <c r="A88" s="170" t="inlineStr">
        <is>
          <t>市場總計</t>
        </is>
      </c>
      <c r="B88" s="170">
        <f t="array" ref="B88">_xlfn.XLOOKUP(1,(creditcard[YYYYMM]=B$4&amp;"--")*(creditcard[Bank]=$A88),creditcard[當月停卡數],"")</f>
        <v/>
      </c>
      <c r="C88" s="170">
        <f t="array" ref="C88">_xlfn.XLOOKUP(1,(creditcard[YYYYMM]=C$4&amp;"--")*(creditcard[Bank]=$A88),creditcard[當月停卡數],"")</f>
        <v/>
      </c>
      <c r="D88" s="170">
        <f t="array" ref="D88">_xlfn.XLOOKUP(1,(creditcard[YYYYMM]=D$4&amp;"--")*(creditcard[Bank]=$A88),creditcard[當月停卡數],"")</f>
        <v/>
      </c>
      <c r="E88" s="170">
        <f t="array" ref="E88">_xlfn.XLOOKUP(1,(creditcard[YYYYMM]=E$4&amp;"--")*(creditcard[Bank]=$A88),creditcard[當月停卡數],"")</f>
        <v/>
      </c>
      <c r="F88" s="170">
        <f t="array" ref="F88">_xlfn.XLOOKUP(1,(creditcard[YYYYMM]=F$4&amp;"--")*(creditcard[Bank]=$A88),creditcard[當月停卡數],"")</f>
        <v/>
      </c>
      <c r="G88" s="170">
        <f t="array" ref="G88">_xlfn.XLOOKUP(1,(creditcard[YYYYMM]=G$4&amp;"--")*(creditcard[Bank]=$A88),creditcard[當月停卡數],"")</f>
        <v/>
      </c>
      <c r="H88" s="170">
        <f t="array" ref="H88">_xlfn.XLOOKUP(1,(creditcard[YYYYMM]=H$4&amp;"--")*(creditcard[Bank]=$A88),creditcard[當月停卡數],"")</f>
        <v/>
      </c>
      <c r="I88" s="184">
        <f t="array" ref="I88">_xlfn.XLOOKUP(1,(creditcard[YYYYMM]=I$4&amp;"--")*(creditcard[Bank]=$A88),creditcard[當月停卡數],"")</f>
        <v/>
      </c>
      <c r="J88" s="184">
        <f t="array" ref="J88">_xlfn.XLOOKUP(1,(creditcard[YYYYMM]=J$4&amp;"--")*(creditcard[Bank]=$A88),creditcard[當月停卡數],"")</f>
        <v/>
      </c>
      <c r="K88" s="184">
        <f t="array" ref="K88">_xlfn.XLOOKUP(1,(creditcard[YYYYMM]=K$4&amp;"--")*(creditcard[Bank]=$A88),creditcard[當月停卡數],"")</f>
        <v/>
      </c>
      <c r="L88" s="184">
        <f t="array" ref="L88">_xlfn.XLOOKUP(1,(creditcard[YYYYMM]=L$4&amp;"--")*(creditcard[Bank]=$A88),creditcard[當月停卡數],"")</f>
        <v/>
      </c>
      <c r="M88" s="199">
        <f t="array" ref="M88">_xlfn.XLOOKUP(1,(creditcard[YYYYMM]=M$4&amp;"--")*(creditcard[Bank]=$A88),creditcard[當月停卡數],"")</f>
        <v/>
      </c>
      <c r="N88" s="194">
        <f>IFERROR((L88/H88)^(1/4)-1,"")</f>
        <v/>
      </c>
      <c r="O88" s="194">
        <f>IFERROR(F88/E88-1,"")</f>
        <v/>
      </c>
      <c r="P88" s="194">
        <f>IFERROR((G88-F88)/F88,"")</f>
        <v/>
      </c>
      <c r="Q88" s="194">
        <f>IFERROR((H88-G88)/G88,"")</f>
        <v/>
      </c>
      <c r="R88" s="194">
        <f>IFERROR((I88-H88)/H88,"")</f>
        <v/>
      </c>
      <c r="S88" s="194">
        <f>IFERROR((J88-I88)/I88,"")</f>
        <v/>
      </c>
      <c r="T88" s="194">
        <f>IFERROR((K88-J88)/J88,"")</f>
        <v/>
      </c>
      <c r="U88" s="194">
        <f>IFERROR((L88-K88)/K88,"")</f>
        <v/>
      </c>
      <c r="V88" s="195">
        <f>IFERROR((M88-L88)/L88,"")</f>
        <v/>
      </c>
    </row>
    <row r="89" ht="12.75" customFormat="1" customHeight="1" s="73">
      <c r="A89" s="176" t="inlineStr">
        <is>
          <t>TOP5</t>
        </is>
      </c>
      <c r="B89" s="176" t="n"/>
      <c r="C89" s="176" t="n"/>
      <c r="D89" s="176" t="n"/>
      <c r="E89" s="177" t="n"/>
      <c r="F89" s="177" t="n"/>
      <c r="G89" s="177" t="n"/>
      <c r="H89" s="177" t="n"/>
      <c r="I89" s="177" t="n"/>
      <c r="J89" s="177" t="n"/>
      <c r="K89" s="177" t="n"/>
      <c r="L89" s="177" t="n"/>
      <c r="M89" s="177" t="n"/>
      <c r="N89" s="177" t="n"/>
      <c r="O89" s="177" t="n"/>
      <c r="P89" s="177" t="n"/>
      <c r="Q89" s="177" t="n"/>
      <c r="R89" s="177" t="n"/>
      <c r="S89" s="177" t="n"/>
      <c r="T89" s="177" t="n"/>
      <c r="U89" s="177" t="n"/>
      <c r="V89" s="177" t="n"/>
    </row>
    <row r="90" ht="12.75" customFormat="1" customHeight="1" s="73">
      <c r="A90" s="176" t="inlineStr">
        <is>
          <t>TOP10</t>
        </is>
      </c>
      <c r="B90" s="176" t="n"/>
      <c r="C90" s="176" t="n"/>
      <c r="D90" s="176" t="n"/>
      <c r="E90" s="177" t="n"/>
      <c r="F90" s="177" t="n"/>
      <c r="G90" s="177" t="n"/>
      <c r="H90" s="177" t="n"/>
      <c r="I90" s="177" t="n"/>
      <c r="J90" s="177" t="n"/>
      <c r="K90" s="177" t="n"/>
      <c r="L90" s="177" t="n"/>
      <c r="M90" s="177" t="n"/>
      <c r="N90" s="177" t="n"/>
      <c r="O90" s="177" t="n"/>
      <c r="P90" s="177" t="n"/>
      <c r="Q90" s="177" t="n"/>
      <c r="R90" s="177" t="n"/>
      <c r="S90" s="177" t="n"/>
      <c r="T90" s="177" t="n"/>
      <c r="U90" s="177" t="n"/>
      <c r="V90" s="177" t="n"/>
    </row>
    <row r="91" ht="12.75" customFormat="1" customHeight="1" s="73">
      <c r="A91" s="176" t="n"/>
      <c r="B91" s="176" t="n"/>
      <c r="C91" s="176" t="n"/>
      <c r="D91" s="176" t="n"/>
      <c r="E91" s="177" t="n"/>
      <c r="F91" s="177" t="n"/>
      <c r="G91" s="177" t="n"/>
      <c r="H91" s="177" t="n"/>
      <c r="I91" s="177" t="n"/>
      <c r="J91" s="177" t="n"/>
      <c r="K91" s="177" t="n"/>
      <c r="L91" s="177" t="n"/>
      <c r="M91" s="177" t="n"/>
      <c r="N91" s="177" t="n"/>
      <c r="O91" s="177" t="n"/>
      <c r="P91" s="177" t="n"/>
      <c r="Q91" s="177" t="n"/>
      <c r="R91" s="177" t="n"/>
      <c r="S91" s="177" t="n"/>
      <c r="T91" s="177" t="n"/>
      <c r="U91" s="177" t="n"/>
      <c r="V91" s="177" t="n"/>
    </row>
    <row r="92">
      <c r="A92" s="141" t="inlineStr">
        <is>
          <t>簽帳金額(百萬)</t>
        </is>
      </c>
      <c r="B92" s="141">
        <f>B$1</f>
        <v/>
      </c>
      <c r="C92" s="141">
        <f>C$1</f>
        <v/>
      </c>
      <c r="D92" s="141">
        <f>D$1</f>
        <v/>
      </c>
      <c r="E92" s="141">
        <f>E$1</f>
        <v/>
      </c>
      <c r="F92" s="141">
        <f>F$1</f>
        <v/>
      </c>
      <c r="G92" s="141">
        <f>G$1</f>
        <v/>
      </c>
      <c r="H92" s="141">
        <f>H$1</f>
        <v/>
      </c>
      <c r="I92" s="141">
        <f>I$1</f>
        <v/>
      </c>
      <c r="J92" s="141">
        <f>J$1</f>
        <v/>
      </c>
      <c r="K92" s="141">
        <f>K$1</f>
        <v/>
      </c>
      <c r="L92" s="141">
        <f>L$1</f>
        <v/>
      </c>
      <c r="M92" s="141">
        <f>M$1</f>
        <v/>
      </c>
      <c r="N92" s="141">
        <f>N$1</f>
        <v/>
      </c>
      <c r="O92" s="141">
        <f>O$1</f>
        <v/>
      </c>
      <c r="P92" s="141">
        <f>P$1</f>
        <v/>
      </c>
      <c r="Q92" s="141">
        <f>Q$1</f>
        <v/>
      </c>
      <c r="R92" s="141">
        <f>R$1</f>
        <v/>
      </c>
      <c r="S92" s="141">
        <f>S$1</f>
        <v/>
      </c>
      <c r="T92" s="141">
        <f>T$1</f>
        <v/>
      </c>
      <c r="U92" s="141">
        <f>U$1</f>
        <v/>
      </c>
      <c r="V92" s="141">
        <f>V$1</f>
        <v/>
      </c>
    </row>
    <row r="93">
      <c r="A93" s="174" t="inlineStr">
        <is>
          <t>中信</t>
        </is>
      </c>
      <c r="B93" s="172">
        <f t="array" ref="B93">_xlfn.XLOOKUP(1,(creditcard[YYYYMM]=B$4&amp;"--")*(creditcard[Bank]=$A93),creditcard[當月簽帳金額],"")</f>
        <v/>
      </c>
      <c r="C93" s="172">
        <f t="array" ref="C93">_xlfn.XLOOKUP(1,(creditcard[YYYYMM]=C$4&amp;"--")*(creditcard[Bank]=$A93),creditcard[當月簽帳金額],"")</f>
        <v/>
      </c>
      <c r="D93" s="172">
        <f t="array" ref="D93">_xlfn.XLOOKUP(1,(creditcard[YYYYMM]=D$4&amp;"--")*(creditcard[Bank]=$A93),creditcard[當月簽帳金額],"")</f>
        <v/>
      </c>
      <c r="E93" s="172">
        <f t="array" ref="E93">_xlfn.XLOOKUP(1,(creditcard[YYYYMM]=E$4&amp;"--")*(creditcard[Bank]=$A93),creditcard[當月簽帳金額],"")</f>
        <v/>
      </c>
      <c r="F93" s="172">
        <f t="array" ref="F93">_xlfn.XLOOKUP(1,(creditcard[YYYYMM]=F$4&amp;"--")*(creditcard[Bank]=$A93),creditcard[當月簽帳金額],"")</f>
        <v/>
      </c>
      <c r="G93" s="172">
        <f t="array" ref="G93">_xlfn.XLOOKUP(1,(creditcard[YYYYMM]=G$4&amp;"--")*(creditcard[Bank]=$A93),creditcard[當月簽帳金額],"")</f>
        <v/>
      </c>
      <c r="H93" s="172">
        <f t="array" ref="H93">_xlfn.XLOOKUP(1,(creditcard[YYYYMM]=H$4&amp;"--")*(creditcard[Bank]=$A93),creditcard[當月簽帳金額],"")</f>
        <v/>
      </c>
      <c r="I93" s="182">
        <f t="array" ref="I93">_xlfn.XLOOKUP(1,(creditcard[YYYYMM]=I$4&amp;"--")*(creditcard[Bank]=$A93),creditcard[當月簽帳金額],"")</f>
        <v/>
      </c>
      <c r="J93" s="182">
        <f t="array" ref="J93">_xlfn.XLOOKUP(1,(creditcard[YYYYMM]=J$4&amp;"--")*(creditcard[Bank]=$A93),creditcard[當月簽帳金額],"")</f>
        <v/>
      </c>
      <c r="K93" s="182">
        <f t="array" ref="K93">_xlfn.XLOOKUP(1,(creditcard[YYYYMM]=K$4&amp;"--")*(creditcard[Bank]=$A93),creditcard[當月簽帳金額],"")</f>
        <v/>
      </c>
      <c r="L93" s="182">
        <f t="array" ref="L93">_xlfn.XLOOKUP(1,(creditcard[YYYYMM]=L$4&amp;"--")*(creditcard[Bank]=$A93),creditcard[當月簽帳金額],"")</f>
        <v/>
      </c>
      <c r="M93" s="182">
        <f t="array" ref="M93">_xlfn.XLOOKUP(1,(creditcard[YYYYMM]=M$4&amp;"--")*(creditcard[Bank]=$A93),creditcard[當月簽帳金額],"")</f>
        <v/>
      </c>
      <c r="N93" s="180">
        <f>IFERROR((L93/H93)^(1/4)-1,"")</f>
        <v/>
      </c>
      <c r="O93" s="180">
        <f>IFERROR(F93/E93-1,"")</f>
        <v/>
      </c>
      <c r="P93" s="180">
        <f>IFERROR((G93-F93)/F93,"")</f>
        <v/>
      </c>
      <c r="Q93" s="180">
        <f>IFERROR((H93-G93)/G93,"")</f>
        <v/>
      </c>
      <c r="R93" s="180">
        <f>IFERROR((I93-H93)/H93,"")</f>
        <v/>
      </c>
      <c r="S93" s="180">
        <f>IFERROR((J93-I93)/I93,"")</f>
        <v/>
      </c>
      <c r="T93" s="180">
        <f>IFERROR((K93-J93)/J93,"")</f>
        <v/>
      </c>
      <c r="U93" s="180">
        <f>IFERROR((L93-K93)/K93,"")</f>
        <v/>
      </c>
      <c r="V93" s="180">
        <f>IFERROR((M93-L93)/L93,"")</f>
        <v/>
      </c>
    </row>
    <row r="94">
      <c r="A94" s="174" t="inlineStr">
        <is>
          <t>富邦</t>
        </is>
      </c>
      <c r="B94" s="172">
        <f t="array" ref="B94">_xlfn.XLOOKUP(1,(creditcard[YYYYMM]=B$4&amp;"--")*(creditcard[Bank]=$A94),creditcard[當月簽帳金額],"")</f>
        <v/>
      </c>
      <c r="C94" s="172">
        <f t="array" ref="C94">_xlfn.XLOOKUP(1,(creditcard[YYYYMM]=C$4&amp;"--")*(creditcard[Bank]=$A94),creditcard[當月簽帳金額],"")</f>
        <v/>
      </c>
      <c r="D94" s="172">
        <f t="array" ref="D94">_xlfn.XLOOKUP(1,(creditcard[YYYYMM]=D$4&amp;"--")*(creditcard[Bank]=$A94),creditcard[當月簽帳金額],"")</f>
        <v/>
      </c>
      <c r="E94" s="172">
        <f t="array" ref="E94">_xlfn.XLOOKUP(1,(creditcard[YYYYMM]=E$4&amp;"--")*(creditcard[Bank]=$A94),creditcard[當月簽帳金額],"")</f>
        <v/>
      </c>
      <c r="F94" s="172">
        <f t="array" ref="F94">_xlfn.XLOOKUP(1,(creditcard[YYYYMM]=F$4&amp;"--")*(creditcard[Bank]=$A94),creditcard[當月簽帳金額],"")</f>
        <v/>
      </c>
      <c r="G94" s="172">
        <f t="array" ref="G94">_xlfn.XLOOKUP(1,(creditcard[YYYYMM]=G$4&amp;"--")*(creditcard[Bank]=$A94),creditcard[當月簽帳金額],"")</f>
        <v/>
      </c>
      <c r="H94" s="172">
        <f t="array" ref="H94">_xlfn.XLOOKUP(1,(creditcard[YYYYMM]=H$4&amp;"--")*(creditcard[Bank]=$A94),creditcard[當月簽帳金額],"")</f>
        <v/>
      </c>
      <c r="I94" s="182">
        <f t="array" ref="I94">_xlfn.XLOOKUP(1,(creditcard[YYYYMM]=I$4&amp;"--")*(creditcard[Bank]=$A94),creditcard[當月簽帳金額],"")</f>
        <v/>
      </c>
      <c r="J94" s="182">
        <f t="array" ref="J94">_xlfn.XLOOKUP(1,(creditcard[YYYYMM]=J$4&amp;"--")*(creditcard[Bank]=$A94),creditcard[當月簽帳金額],"")</f>
        <v/>
      </c>
      <c r="K94" s="182">
        <f t="array" ref="K94">_xlfn.XLOOKUP(1,(creditcard[YYYYMM]=K$4&amp;"--")*(creditcard[Bank]=$A94),creditcard[當月簽帳金額],"")</f>
        <v/>
      </c>
      <c r="L94" s="182">
        <f t="array" ref="L94">_xlfn.XLOOKUP(1,(creditcard[YYYYMM]=L$4&amp;"--")*(creditcard[Bank]=$A94),creditcard[當月簽帳金額],"")</f>
        <v/>
      </c>
      <c r="M94" s="182">
        <f t="array" ref="M94">_xlfn.XLOOKUP(1,(creditcard[YYYYMM]=M$4&amp;"--")*(creditcard[Bank]=$A94),creditcard[當月簽帳金額],"")</f>
        <v/>
      </c>
      <c r="N94" s="180">
        <f>IFERROR((L94/H94)^(1/4)-1,"")</f>
        <v/>
      </c>
      <c r="O94" s="180">
        <f>IFERROR(F94/E94-1,"")</f>
        <v/>
      </c>
      <c r="P94" s="180">
        <f>IFERROR((G94-F94)/F94,"")</f>
        <v/>
      </c>
      <c r="Q94" s="180">
        <f>IFERROR((H94-G94)/G94,"")</f>
        <v/>
      </c>
      <c r="R94" s="180">
        <f>IFERROR((I94-H94)/H94,"")</f>
        <v/>
      </c>
      <c r="S94" s="180">
        <f>IFERROR((J94-I94)/I94,"")</f>
        <v/>
      </c>
      <c r="T94" s="180">
        <f>IFERROR((K94-J94)/J94,"")</f>
        <v/>
      </c>
      <c r="U94" s="180">
        <f>IFERROR((L94-K94)/K94,"")</f>
        <v/>
      </c>
      <c r="V94" s="180">
        <f>IFERROR((M94-L94)/L94,"")</f>
        <v/>
      </c>
    </row>
    <row r="95">
      <c r="A95" s="174" t="inlineStr">
        <is>
          <t>國泰</t>
        </is>
      </c>
      <c r="B95" s="172">
        <f t="array" ref="B95">_xlfn.XLOOKUP(1,(creditcard[YYYYMM]=B$4&amp;"--")*(creditcard[Bank]=$A95),creditcard[當月簽帳金額],"")</f>
        <v/>
      </c>
      <c r="C95" s="172">
        <f t="array" ref="C95">_xlfn.XLOOKUP(1,(creditcard[YYYYMM]=C$4&amp;"--")*(creditcard[Bank]=$A95),creditcard[當月簽帳金額],"")</f>
        <v/>
      </c>
      <c r="D95" s="172">
        <f t="array" ref="D95">_xlfn.XLOOKUP(1,(creditcard[YYYYMM]=D$4&amp;"--")*(creditcard[Bank]=$A95),creditcard[當月簽帳金額],"")</f>
        <v/>
      </c>
      <c r="E95" s="172">
        <f t="array" ref="E95">_xlfn.XLOOKUP(1,(creditcard[YYYYMM]=E$4&amp;"--")*(creditcard[Bank]=$A95),creditcard[當月簽帳金額],"")</f>
        <v/>
      </c>
      <c r="F95" s="172">
        <f t="array" ref="F95">_xlfn.XLOOKUP(1,(creditcard[YYYYMM]=F$4&amp;"--")*(creditcard[Bank]=$A95),creditcard[當月簽帳金額],"")</f>
        <v/>
      </c>
      <c r="G95" s="172">
        <f t="array" ref="G95">_xlfn.XLOOKUP(1,(creditcard[YYYYMM]=G$4&amp;"--")*(creditcard[Bank]=$A95),creditcard[當月簽帳金額],"")</f>
        <v/>
      </c>
      <c r="H95" s="172">
        <f t="array" ref="H95">_xlfn.XLOOKUP(1,(creditcard[YYYYMM]=H$4&amp;"--")*(creditcard[Bank]=$A95),creditcard[當月簽帳金額],"")</f>
        <v/>
      </c>
      <c r="I95" s="182">
        <f t="array" ref="I95">_xlfn.XLOOKUP(1,(creditcard[YYYYMM]=I$4&amp;"--")*(creditcard[Bank]=$A95),creditcard[當月簽帳金額],"")</f>
        <v/>
      </c>
      <c r="J95" s="182">
        <f t="array" ref="J95">_xlfn.XLOOKUP(1,(creditcard[YYYYMM]=J$4&amp;"--")*(creditcard[Bank]=$A95),creditcard[當月簽帳金額],"")</f>
        <v/>
      </c>
      <c r="K95" s="182">
        <f t="array" ref="K95">_xlfn.XLOOKUP(1,(creditcard[YYYYMM]=K$4&amp;"--")*(creditcard[Bank]=$A95),creditcard[當月簽帳金額],"")</f>
        <v/>
      </c>
      <c r="L95" s="182">
        <f t="array" ref="L95">_xlfn.XLOOKUP(1,(creditcard[YYYYMM]=L$4&amp;"--")*(creditcard[Bank]=$A95),creditcard[當月簽帳金額],"")</f>
        <v/>
      </c>
      <c r="M95" s="182">
        <f t="array" ref="M95">_xlfn.XLOOKUP(1,(creditcard[YYYYMM]=M$4&amp;"--")*(creditcard[Bank]=$A95),creditcard[當月簽帳金額],"")</f>
        <v/>
      </c>
      <c r="N95" s="180">
        <f>IFERROR((L95/H95)^(1/4)-1,"")</f>
        <v/>
      </c>
      <c r="O95" s="180">
        <f>IFERROR(F95/E95-1,"")</f>
        <v/>
      </c>
      <c r="P95" s="180">
        <f>IFERROR((G95-F95)/F95,"")</f>
        <v/>
      </c>
      <c r="Q95" s="180">
        <f>IFERROR((H95-G95)/G95,"")</f>
        <v/>
      </c>
      <c r="R95" s="180">
        <f>IFERROR((I95-H95)/H95,"")</f>
        <v/>
      </c>
      <c r="S95" s="180">
        <f>IFERROR((J95-I95)/I95,"")</f>
        <v/>
      </c>
      <c r="T95" s="180">
        <f>IFERROR((K95-J95)/J95,"")</f>
        <v/>
      </c>
      <c r="U95" s="180">
        <f>IFERROR((L95-K95)/K95,"")</f>
        <v/>
      </c>
      <c r="V95" s="180">
        <f>IFERROR((M95-L95)/L95,"")</f>
        <v/>
      </c>
    </row>
    <row r="96">
      <c r="A96" s="174" t="inlineStr">
        <is>
          <t>玉山</t>
        </is>
      </c>
      <c r="B96" s="172">
        <f t="array" ref="B96">_xlfn.XLOOKUP(1,(creditcard[YYYYMM]=B$4&amp;"--")*(creditcard[Bank]=$A96),creditcard[當月簽帳金額],"")</f>
        <v/>
      </c>
      <c r="C96" s="172">
        <f t="array" ref="C96">_xlfn.XLOOKUP(1,(creditcard[YYYYMM]=C$4&amp;"--")*(creditcard[Bank]=$A96),creditcard[當月簽帳金額],"")</f>
        <v/>
      </c>
      <c r="D96" s="172">
        <f t="array" ref="D96">_xlfn.XLOOKUP(1,(creditcard[YYYYMM]=D$4&amp;"--")*(creditcard[Bank]=$A96),creditcard[當月簽帳金額],"")</f>
        <v/>
      </c>
      <c r="E96" s="172">
        <f t="array" ref="E96">_xlfn.XLOOKUP(1,(creditcard[YYYYMM]=E$4&amp;"--")*(creditcard[Bank]=$A96),creditcard[當月簽帳金額],"")</f>
        <v/>
      </c>
      <c r="F96" s="172">
        <f t="array" ref="F96">_xlfn.XLOOKUP(1,(creditcard[YYYYMM]=F$4&amp;"--")*(creditcard[Bank]=$A96),creditcard[當月簽帳金額],"")</f>
        <v/>
      </c>
      <c r="G96" s="172">
        <f t="array" ref="G96">_xlfn.XLOOKUP(1,(creditcard[YYYYMM]=G$4&amp;"--")*(creditcard[Bank]=$A96),creditcard[當月簽帳金額],"")</f>
        <v/>
      </c>
      <c r="H96" s="172">
        <f t="array" ref="H96">_xlfn.XLOOKUP(1,(creditcard[YYYYMM]=H$4&amp;"--")*(creditcard[Bank]=$A96),creditcard[當月簽帳金額],"")</f>
        <v/>
      </c>
      <c r="I96" s="182">
        <f t="array" ref="I96">_xlfn.XLOOKUP(1,(creditcard[YYYYMM]=I$4&amp;"--")*(creditcard[Bank]=$A96),creditcard[當月簽帳金額],"")</f>
        <v/>
      </c>
      <c r="J96" s="182">
        <f t="array" ref="J96">_xlfn.XLOOKUP(1,(creditcard[YYYYMM]=J$4&amp;"--")*(creditcard[Bank]=$A96),creditcard[當月簽帳金額],"")</f>
        <v/>
      </c>
      <c r="K96" s="182">
        <f t="array" ref="K96">_xlfn.XLOOKUP(1,(creditcard[YYYYMM]=K$4&amp;"--")*(creditcard[Bank]=$A96),creditcard[當月簽帳金額],"")</f>
        <v/>
      </c>
      <c r="L96" s="182">
        <f t="array" ref="L96">_xlfn.XLOOKUP(1,(creditcard[YYYYMM]=L$4&amp;"--")*(creditcard[Bank]=$A96),creditcard[當月簽帳金額],"")</f>
        <v/>
      </c>
      <c r="M96" s="182">
        <f t="array" ref="M96">_xlfn.XLOOKUP(1,(creditcard[YYYYMM]=M$4&amp;"--")*(creditcard[Bank]=$A96),creditcard[當月簽帳金額],"")</f>
        <v/>
      </c>
      <c r="N96" s="180">
        <f>IFERROR((L96/H96)^(1/4)-1,"")</f>
        <v/>
      </c>
      <c r="O96" s="180">
        <f>IFERROR(F96/E96-1,"")</f>
        <v/>
      </c>
      <c r="P96" s="180">
        <f>IFERROR((G96-F96)/F96,"")</f>
        <v/>
      </c>
      <c r="Q96" s="180">
        <f>IFERROR((H96-G96)/G96,"")</f>
        <v/>
      </c>
      <c r="R96" s="180">
        <f>IFERROR((I96-H96)/H96,"")</f>
        <v/>
      </c>
      <c r="S96" s="180">
        <f>IFERROR((J96-I96)/I96,"")</f>
        <v/>
      </c>
      <c r="T96" s="180">
        <f>IFERROR((K96-J96)/J96,"")</f>
        <v/>
      </c>
      <c r="U96" s="180">
        <f>IFERROR((L96-K96)/K96,"")</f>
        <v/>
      </c>
      <c r="V96" s="180">
        <f>IFERROR((M96-L96)/L96,"")</f>
        <v/>
      </c>
    </row>
    <row r="97">
      <c r="A97" s="174" t="inlineStr">
        <is>
          <t>台新</t>
        </is>
      </c>
      <c r="B97" s="172">
        <f t="array" ref="B97">_xlfn.XLOOKUP(1,(creditcard[YYYYMM]=B$4&amp;"--")*(creditcard[Bank]=$A97),creditcard[當月簽帳金額],"")</f>
        <v/>
      </c>
      <c r="C97" s="172">
        <f t="array" ref="C97">_xlfn.XLOOKUP(1,(creditcard[YYYYMM]=C$4&amp;"--")*(creditcard[Bank]=$A97),creditcard[當月簽帳金額],"")</f>
        <v/>
      </c>
      <c r="D97" s="172">
        <f t="array" ref="D97">_xlfn.XLOOKUP(1,(creditcard[YYYYMM]=D$4&amp;"--")*(creditcard[Bank]=$A97),creditcard[當月簽帳金額],"")</f>
        <v/>
      </c>
      <c r="E97" s="172">
        <f t="array" ref="E97">_xlfn.XLOOKUP(1,(creditcard[YYYYMM]=E$4&amp;"--")*(creditcard[Bank]=$A97),creditcard[當月簽帳金額],"")</f>
        <v/>
      </c>
      <c r="F97" s="172">
        <f t="array" ref="F97">_xlfn.XLOOKUP(1,(creditcard[YYYYMM]=F$4&amp;"--")*(creditcard[Bank]=$A97),creditcard[當月簽帳金額],"")</f>
        <v/>
      </c>
      <c r="G97" s="172">
        <f t="array" ref="G97">_xlfn.XLOOKUP(1,(creditcard[YYYYMM]=G$4&amp;"--")*(creditcard[Bank]=$A97),creditcard[當月簽帳金額],"")</f>
        <v/>
      </c>
      <c r="H97" s="172">
        <f t="array" ref="H97">_xlfn.XLOOKUP(1,(creditcard[YYYYMM]=H$4&amp;"--")*(creditcard[Bank]=$A97),creditcard[當月簽帳金額],"")</f>
        <v/>
      </c>
      <c r="I97" s="182">
        <f t="array" ref="I97">_xlfn.XLOOKUP(1,(creditcard[YYYYMM]=I$4&amp;"--")*(creditcard[Bank]=$A97),creditcard[當月簽帳金額],"")</f>
        <v/>
      </c>
      <c r="J97" s="182">
        <f t="array" ref="J97">_xlfn.XLOOKUP(1,(creditcard[YYYYMM]=J$4&amp;"--")*(creditcard[Bank]=$A97),creditcard[當月簽帳金額],"")</f>
        <v/>
      </c>
      <c r="K97" s="182">
        <f t="array" ref="K97">_xlfn.XLOOKUP(1,(creditcard[YYYYMM]=K$4&amp;"--")*(creditcard[Bank]=$A97),creditcard[當月簽帳金額],"")</f>
        <v/>
      </c>
      <c r="L97" s="182">
        <f t="array" ref="L97">_xlfn.XLOOKUP(1,(creditcard[YYYYMM]=L$4&amp;"--")*(creditcard[Bank]=$A97),creditcard[當月簽帳金額],"")</f>
        <v/>
      </c>
      <c r="M97" s="182">
        <f t="array" ref="M97">_xlfn.XLOOKUP(1,(creditcard[YYYYMM]=M$4&amp;"--")*(creditcard[Bank]=$A97),creditcard[當月簽帳金額],"")</f>
        <v/>
      </c>
      <c r="N97" s="180">
        <f>IFERROR((L97/H97)^(1/4)-1,"")</f>
        <v/>
      </c>
      <c r="O97" s="180">
        <f>IFERROR(F97/E97-1,"")</f>
        <v/>
      </c>
      <c r="P97" s="180">
        <f>IFERROR((G97-F97)/F97,"")</f>
        <v/>
      </c>
      <c r="Q97" s="180">
        <f>IFERROR((H97-G97)/G97,"")</f>
        <v/>
      </c>
      <c r="R97" s="180">
        <f>IFERROR((I97-H97)/H97,"")</f>
        <v/>
      </c>
      <c r="S97" s="180">
        <f>IFERROR((J97-I97)/I97,"")</f>
        <v/>
      </c>
      <c r="T97" s="180">
        <f>IFERROR((K97-J97)/J97,"")</f>
        <v/>
      </c>
      <c r="U97" s="180">
        <f>IFERROR((L97-K97)/K97,"")</f>
        <v/>
      </c>
      <c r="V97" s="180">
        <f>IFERROR((M97-L97)/L97,"")</f>
        <v/>
      </c>
    </row>
    <row r="98">
      <c r="A98" s="174" t="inlineStr">
        <is>
          <t>星展</t>
        </is>
      </c>
      <c r="B98" s="172">
        <f t="array" ref="B98">_xlfn.XLOOKUP(1,(creditcard[YYYYMM]=B$4&amp;"--")*(creditcard[Bank]=$A98),creditcard[當月簽帳金額],"")</f>
        <v/>
      </c>
      <c r="C98" s="172">
        <f t="array" ref="C98">_xlfn.XLOOKUP(1,(creditcard[YYYYMM]=C$4&amp;"--")*(creditcard[Bank]=$A98),creditcard[當月簽帳金額],"")</f>
        <v/>
      </c>
      <c r="D98" s="172">
        <f t="array" ref="D98">_xlfn.XLOOKUP(1,(creditcard[YYYYMM]=D$4&amp;"--")*(creditcard[Bank]=$A98),creditcard[當月簽帳金額],"")</f>
        <v/>
      </c>
      <c r="E98" s="172">
        <f t="array" ref="E98">_xlfn.XLOOKUP(1,(creditcard[YYYYMM]=E$4&amp;"--")*(creditcard[Bank]=$A98),creditcard[當月簽帳金額],"")</f>
        <v/>
      </c>
      <c r="F98" s="172">
        <f t="array" ref="F98">_xlfn.XLOOKUP(1,(creditcard[YYYYMM]=F$4&amp;"--")*(creditcard[Bank]=$A98),creditcard[當月簽帳金額],"")</f>
        <v/>
      </c>
      <c r="G98" s="172">
        <f t="array" ref="G98">_xlfn.XLOOKUP(1,(creditcard[YYYYMM]=G$4&amp;"--")*(creditcard[Bank]=$A98),creditcard[當月簽帳金額],"")</f>
        <v/>
      </c>
      <c r="H98" s="172">
        <f t="array" ref="H98">_xlfn.XLOOKUP(1,(creditcard[YYYYMM]=H$4&amp;"--")*(creditcard[Bank]=$A98),creditcard[當月簽帳金額],"")</f>
        <v/>
      </c>
      <c r="I98" s="172">
        <f t="array" ref="I98">_xlfn.XLOOKUP(1,(creditcard[YYYYMM]=I$4&amp;"--")*(creditcard[Bank]=$A98),creditcard[當月簽帳金額],"")</f>
        <v/>
      </c>
      <c r="J98" s="182">
        <f t="array" ref="J98">_xlfn.XLOOKUP(1,(creditcard[YYYYMM]=J$4&amp;"--")*(creditcard[Bank]=$A98),creditcard[當月簽帳金額],"")</f>
        <v/>
      </c>
      <c r="K98" s="182">
        <f t="array" ref="K98">_xlfn.XLOOKUP(1,(creditcard[YYYYMM]=K$4&amp;"--")*(creditcard[Bank]=$A98),creditcard[當月簽帳金額],"")</f>
        <v/>
      </c>
      <c r="L98" s="182">
        <f t="array" ref="L98">_xlfn.XLOOKUP(1,(creditcard[YYYYMM]=L$4&amp;"--")*(creditcard[Bank]=$A98),creditcard[當月簽帳金額],"")</f>
        <v/>
      </c>
      <c r="M98" s="182">
        <f t="array" ref="M98">_xlfn.XLOOKUP(1,(creditcard[YYYYMM]=M$4&amp;"--")*(creditcard[Bank]=$A98),creditcard[當月簽帳金額],"")</f>
        <v/>
      </c>
      <c r="N98" s="180">
        <f>IFERROR((L98/H98)^(1/4)-1,"")</f>
        <v/>
      </c>
      <c r="O98" s="180">
        <f>IFERROR(F98/E98-1,"")</f>
        <v/>
      </c>
      <c r="P98" s="180">
        <f>IFERROR((G98-F98)/F98,"")</f>
        <v/>
      </c>
      <c r="Q98" s="180">
        <f>IFERROR((H98-G98)/G98,"")</f>
        <v/>
      </c>
      <c r="R98" s="180">
        <f>IFERROR((I98-H98)/H98,"")</f>
        <v/>
      </c>
      <c r="S98" s="180">
        <f>IFERROR((J98-I98)/I98,"")</f>
        <v/>
      </c>
      <c r="T98" s="180">
        <f>IFERROR((K98-J98)/J98,"")</f>
        <v/>
      </c>
      <c r="U98" s="180">
        <f>IFERROR((L98-K98)/K98,"")</f>
        <v/>
      </c>
      <c r="V98" s="180">
        <f>IFERROR((M98-L98)/L98,"")</f>
        <v/>
      </c>
    </row>
    <row r="99">
      <c r="A99" s="174" t="inlineStr">
        <is>
          <t>聯邦</t>
        </is>
      </c>
      <c r="B99" s="172">
        <f t="array" ref="B99">_xlfn.XLOOKUP(1,(creditcard[YYYYMM]=B$4&amp;"--")*(creditcard[Bank]=$A99),creditcard[當月簽帳金額],"")</f>
        <v/>
      </c>
      <c r="C99" s="172">
        <f t="array" ref="C99">_xlfn.XLOOKUP(1,(creditcard[YYYYMM]=C$4&amp;"--")*(creditcard[Bank]=$A99),creditcard[當月簽帳金額],"")</f>
        <v/>
      </c>
      <c r="D99" s="172">
        <f t="array" ref="D99">_xlfn.XLOOKUP(1,(creditcard[YYYYMM]=D$4&amp;"--")*(creditcard[Bank]=$A99),creditcard[當月簽帳金額],"")</f>
        <v/>
      </c>
      <c r="E99" s="172">
        <f t="array" ref="E99">_xlfn.XLOOKUP(1,(creditcard[YYYYMM]=E$4&amp;"--")*(creditcard[Bank]=$A99),creditcard[當月簽帳金額],"")</f>
        <v/>
      </c>
      <c r="F99" s="172">
        <f t="array" ref="F99">_xlfn.XLOOKUP(1,(creditcard[YYYYMM]=F$4&amp;"--")*(creditcard[Bank]=$A99),creditcard[當月簽帳金額],"")</f>
        <v/>
      </c>
      <c r="G99" s="172">
        <f t="array" ref="G99">_xlfn.XLOOKUP(1,(creditcard[YYYYMM]=G$4&amp;"--")*(creditcard[Bank]=$A99),creditcard[當月簽帳金額],"")</f>
        <v/>
      </c>
      <c r="H99" s="172">
        <f t="array" ref="H99">_xlfn.XLOOKUP(1,(creditcard[YYYYMM]=H$4&amp;"--")*(creditcard[Bank]=$A99),creditcard[當月簽帳金額],"")</f>
        <v/>
      </c>
      <c r="I99" s="182">
        <f t="array" ref="I99">_xlfn.XLOOKUP(1,(creditcard[YYYYMM]=I$4&amp;"--")*(creditcard[Bank]=$A99),creditcard[當月簽帳金額],"")</f>
        <v/>
      </c>
      <c r="J99" s="182">
        <f t="array" ref="J99">_xlfn.XLOOKUP(1,(creditcard[YYYYMM]=J$4&amp;"--")*(creditcard[Bank]=$A99),creditcard[當月簽帳金額],"")</f>
        <v/>
      </c>
      <c r="K99" s="182">
        <f t="array" ref="K99">_xlfn.XLOOKUP(1,(creditcard[YYYYMM]=K$4&amp;"--")*(creditcard[Bank]=$A99),creditcard[當月簽帳金額],"")</f>
        <v/>
      </c>
      <c r="L99" s="182">
        <f t="array" ref="L99">_xlfn.XLOOKUP(1,(creditcard[YYYYMM]=L$4&amp;"--")*(creditcard[Bank]=$A99),creditcard[當月簽帳金額],"")</f>
        <v/>
      </c>
      <c r="M99" s="182">
        <f t="array" ref="M99">_xlfn.XLOOKUP(1,(creditcard[YYYYMM]=M$4&amp;"--")*(creditcard[Bank]=$A99),creditcard[當月簽帳金額],"")</f>
        <v/>
      </c>
      <c r="N99" s="180">
        <f>IFERROR((L99/H99)^(1/4)-1,"")</f>
        <v/>
      </c>
      <c r="O99" s="180">
        <f>IFERROR(F99/E99-1,"")</f>
        <v/>
      </c>
      <c r="P99" s="180">
        <f>IFERROR((G99-F99)/F99,"")</f>
        <v/>
      </c>
      <c r="Q99" s="180">
        <f>IFERROR((H99-G99)/G99,"")</f>
        <v/>
      </c>
      <c r="R99" s="180">
        <f>IFERROR((I99-H99)/H99,"")</f>
        <v/>
      </c>
      <c r="S99" s="180">
        <f>IFERROR((J99-I99)/I99,"")</f>
        <v/>
      </c>
      <c r="T99" s="180">
        <f>IFERROR((K99-J99)/J99,"")</f>
        <v/>
      </c>
      <c r="U99" s="180">
        <f>IFERROR((L99-K99)/K99,"")</f>
        <v/>
      </c>
      <c r="V99" s="180">
        <f>IFERROR((M99-L99)/L99,"")</f>
        <v/>
      </c>
    </row>
    <row r="100">
      <c r="A100" s="174" t="inlineStr">
        <is>
          <t>永豐</t>
        </is>
      </c>
      <c r="B100" s="172">
        <f t="array" ref="B100">_xlfn.XLOOKUP(1,(creditcard[YYYYMM]=B$4&amp;"--")*(creditcard[Bank]=$A100),creditcard[當月簽帳金額],"")</f>
        <v/>
      </c>
      <c r="C100" s="172">
        <f t="array" ref="C100">_xlfn.XLOOKUP(1,(creditcard[YYYYMM]=C$4&amp;"--")*(creditcard[Bank]=$A100),creditcard[當月簽帳金額],"")</f>
        <v/>
      </c>
      <c r="D100" s="172">
        <f t="array" ref="D100">_xlfn.XLOOKUP(1,(creditcard[YYYYMM]=D$4&amp;"--")*(creditcard[Bank]=$A100),creditcard[當月簽帳金額],"")</f>
        <v/>
      </c>
      <c r="E100" s="172">
        <f t="array" ref="E100">_xlfn.XLOOKUP(1,(creditcard[YYYYMM]=E$4&amp;"--")*(creditcard[Bank]=$A100),creditcard[當月簽帳金額],"")</f>
        <v/>
      </c>
      <c r="F100" s="172">
        <f t="array" ref="F100">_xlfn.XLOOKUP(1,(creditcard[YYYYMM]=F$4&amp;"--")*(creditcard[Bank]=$A100),creditcard[當月簽帳金額],"")</f>
        <v/>
      </c>
      <c r="G100" s="172">
        <f t="array" ref="G100">_xlfn.XLOOKUP(1,(creditcard[YYYYMM]=G$4&amp;"--")*(creditcard[Bank]=$A100),creditcard[當月簽帳金額],"")</f>
        <v/>
      </c>
      <c r="H100" s="172">
        <f t="array" ref="H100">_xlfn.XLOOKUP(1,(creditcard[YYYYMM]=H$4&amp;"--")*(creditcard[Bank]=$A100),creditcard[當月簽帳金額],"")</f>
        <v/>
      </c>
      <c r="I100" s="182">
        <f t="array" ref="I100">_xlfn.XLOOKUP(1,(creditcard[YYYYMM]=I$4&amp;"--")*(creditcard[Bank]=$A100),creditcard[當月簽帳金額],"")</f>
        <v/>
      </c>
      <c r="J100" s="182">
        <f t="array" ref="J100">_xlfn.XLOOKUP(1,(creditcard[YYYYMM]=J$4&amp;"--")*(creditcard[Bank]=$A100),creditcard[當月簽帳金額],"")</f>
        <v/>
      </c>
      <c r="K100" s="182">
        <f t="array" ref="K100">_xlfn.XLOOKUP(1,(creditcard[YYYYMM]=K$4&amp;"--")*(creditcard[Bank]=$A100),creditcard[當月簽帳金額],"")</f>
        <v/>
      </c>
      <c r="L100" s="182">
        <f t="array" ref="L100">_xlfn.XLOOKUP(1,(creditcard[YYYYMM]=L$4&amp;"--")*(creditcard[Bank]=$A100),creditcard[當月簽帳金額],"")</f>
        <v/>
      </c>
      <c r="M100" s="182">
        <f t="array" ref="M100">_xlfn.XLOOKUP(1,(creditcard[YYYYMM]=M$4&amp;"--")*(creditcard[Bank]=$A100),creditcard[當月簽帳金額],"")</f>
        <v/>
      </c>
      <c r="N100" s="180">
        <f>IFERROR((L100/H100)^(1/4)-1,"")</f>
        <v/>
      </c>
      <c r="O100" s="180">
        <f>IFERROR(F100/E100-1,"")</f>
        <v/>
      </c>
      <c r="P100" s="180">
        <f>IFERROR((G100-F100)/F100,"")</f>
        <v/>
      </c>
      <c r="Q100" s="180">
        <f>IFERROR((H100-G100)/G100,"")</f>
        <v/>
      </c>
      <c r="R100" s="180">
        <f>IFERROR((I100-H100)/H100,"")</f>
        <v/>
      </c>
      <c r="S100" s="180">
        <f>IFERROR((J100-I100)/I100,"")</f>
        <v/>
      </c>
      <c r="T100" s="180">
        <f>IFERROR((K100-J100)/J100,"")</f>
        <v/>
      </c>
      <c r="U100" s="180">
        <f>IFERROR((L100-K100)/K100,"")</f>
        <v/>
      </c>
      <c r="V100" s="180">
        <f>IFERROR((M100-L100)/L100,"")</f>
        <v/>
      </c>
    </row>
    <row r="101">
      <c r="A101" s="174" t="inlineStr">
        <is>
          <t>第一</t>
        </is>
      </c>
      <c r="B101" s="172">
        <f t="array" ref="B101">_xlfn.XLOOKUP(1,(creditcard[YYYYMM]=B$4&amp;"--")*(creditcard[Bank]=$A101),creditcard[當月簽帳金額],"")</f>
        <v/>
      </c>
      <c r="C101" s="172">
        <f t="array" ref="C101">_xlfn.XLOOKUP(1,(creditcard[YYYYMM]=C$4&amp;"--")*(creditcard[Bank]=$A101),creditcard[當月簽帳金額],"")</f>
        <v/>
      </c>
      <c r="D101" s="172">
        <f t="array" ref="D101">_xlfn.XLOOKUP(1,(creditcard[YYYYMM]=D$4&amp;"--")*(creditcard[Bank]=$A101),creditcard[當月簽帳金額],"")</f>
        <v/>
      </c>
      <c r="E101" s="172">
        <f t="array" ref="E101">_xlfn.XLOOKUP(1,(creditcard[YYYYMM]=E$4&amp;"--")*(creditcard[Bank]=$A101),creditcard[當月簽帳金額],"")</f>
        <v/>
      </c>
      <c r="F101" s="172">
        <f t="array" ref="F101">_xlfn.XLOOKUP(1,(creditcard[YYYYMM]=F$4&amp;"--")*(creditcard[Bank]=$A101),creditcard[當月簽帳金額],"")</f>
        <v/>
      </c>
      <c r="G101" s="172">
        <f t="array" ref="G101">_xlfn.XLOOKUP(1,(creditcard[YYYYMM]=G$4&amp;"--")*(creditcard[Bank]=$A101),creditcard[當月簽帳金額],"")</f>
        <v/>
      </c>
      <c r="H101" s="172">
        <f t="array" ref="H101">_xlfn.XLOOKUP(1,(creditcard[YYYYMM]=H$4&amp;"--")*(creditcard[Bank]=$A101),creditcard[當月簽帳金額],"")</f>
        <v/>
      </c>
      <c r="I101" s="182">
        <f t="array" ref="I101">_xlfn.XLOOKUP(1,(creditcard[YYYYMM]=I$4&amp;"--")*(creditcard[Bank]=$A101),creditcard[當月簽帳金額],"")</f>
        <v/>
      </c>
      <c r="J101" s="182">
        <f t="array" ref="J101">_xlfn.XLOOKUP(1,(creditcard[YYYYMM]=J$4&amp;"--")*(creditcard[Bank]=$A101),creditcard[當月簽帳金額],"")</f>
        <v/>
      </c>
      <c r="K101" s="182">
        <f t="array" ref="K101">_xlfn.XLOOKUP(1,(creditcard[YYYYMM]=K$4&amp;"--")*(creditcard[Bank]=$A101),creditcard[當月簽帳金額],"")</f>
        <v/>
      </c>
      <c r="L101" s="182">
        <f t="array" ref="L101">_xlfn.XLOOKUP(1,(creditcard[YYYYMM]=L$4&amp;"--")*(creditcard[Bank]=$A101),creditcard[當月簽帳金額],"")</f>
        <v/>
      </c>
      <c r="M101" s="182">
        <f t="array" ref="M101">_xlfn.XLOOKUP(1,(creditcard[YYYYMM]=M$4&amp;"--")*(creditcard[Bank]=$A101),creditcard[當月簽帳金額],"")</f>
        <v/>
      </c>
      <c r="N101" s="180">
        <f>IFERROR((L101/H101)^(1/4)-1,"")</f>
        <v/>
      </c>
      <c r="O101" s="180">
        <f>IFERROR(F101/E101-1,"")</f>
        <v/>
      </c>
      <c r="P101" s="180">
        <f>IFERROR((G101-F101)/F101,"")</f>
        <v/>
      </c>
      <c r="Q101" s="180">
        <f>IFERROR((H101-G101)/G101,"")</f>
        <v/>
      </c>
      <c r="R101" s="180">
        <f>IFERROR((I101-H101)/H101,"")</f>
        <v/>
      </c>
      <c r="S101" s="180">
        <f>IFERROR((J101-I101)/I101,"")</f>
        <v/>
      </c>
      <c r="T101" s="180">
        <f>IFERROR((K101-J101)/J101,"")</f>
        <v/>
      </c>
      <c r="U101" s="180">
        <f>IFERROR((L101-K101)/K101,"")</f>
        <v/>
      </c>
      <c r="V101" s="180">
        <f>IFERROR((M101-L101)/L101,"")</f>
        <v/>
      </c>
    </row>
    <row r="102">
      <c r="A102" s="174" t="inlineStr">
        <is>
          <t>遠東</t>
        </is>
      </c>
      <c r="B102" s="172">
        <f t="array" ref="B102">_xlfn.XLOOKUP(1,(creditcard[YYYYMM]=B$4&amp;"--")*(creditcard[Bank]=$A102),creditcard[當月簽帳金額],"")</f>
        <v/>
      </c>
      <c r="C102" s="172">
        <f t="array" ref="C102">_xlfn.XLOOKUP(1,(creditcard[YYYYMM]=C$4&amp;"--")*(creditcard[Bank]=$A102),creditcard[當月簽帳金額],"")</f>
        <v/>
      </c>
      <c r="D102" s="172">
        <f t="array" ref="D102">_xlfn.XLOOKUP(1,(creditcard[YYYYMM]=D$4&amp;"--")*(creditcard[Bank]=$A102),creditcard[當月簽帳金額],"")</f>
        <v/>
      </c>
      <c r="E102" s="172">
        <f t="array" ref="E102">_xlfn.XLOOKUP(1,(creditcard[YYYYMM]=E$4&amp;"--")*(creditcard[Bank]=$A102),creditcard[當月簽帳金額],"")</f>
        <v/>
      </c>
      <c r="F102" s="172">
        <f t="array" ref="F102">_xlfn.XLOOKUP(1,(creditcard[YYYYMM]=F$4&amp;"--")*(creditcard[Bank]=$A102),creditcard[當月簽帳金額],"")</f>
        <v/>
      </c>
      <c r="G102" s="172">
        <f t="array" ref="G102">_xlfn.XLOOKUP(1,(creditcard[YYYYMM]=G$4&amp;"--")*(creditcard[Bank]=$A102),creditcard[當月簽帳金額],"")</f>
        <v/>
      </c>
      <c r="H102" s="172">
        <f t="array" ref="H102">_xlfn.XLOOKUP(1,(creditcard[YYYYMM]=H$4&amp;"--")*(creditcard[Bank]=$A102),creditcard[當月簽帳金額],"")</f>
        <v/>
      </c>
      <c r="I102" s="182">
        <f t="array" ref="I102">_xlfn.XLOOKUP(1,(creditcard[YYYYMM]=I$4&amp;"--")*(creditcard[Bank]=$A102),creditcard[當月簽帳金額],"")</f>
        <v/>
      </c>
      <c r="J102" s="182">
        <f t="array" ref="J102">_xlfn.XLOOKUP(1,(creditcard[YYYYMM]=J$4&amp;"--")*(creditcard[Bank]=$A102),creditcard[當月簽帳金額],"")</f>
        <v/>
      </c>
      <c r="K102" s="182">
        <f t="array" ref="K102">_xlfn.XLOOKUP(1,(creditcard[YYYYMM]=K$4&amp;"--")*(creditcard[Bank]=$A102),creditcard[當月簽帳金額],"")</f>
        <v/>
      </c>
      <c r="L102" s="182">
        <f t="array" ref="L102">_xlfn.XLOOKUP(1,(creditcard[YYYYMM]=L$4&amp;"--")*(creditcard[Bank]=$A102),creditcard[當月簽帳金額],"")</f>
        <v/>
      </c>
      <c r="M102" s="182">
        <f t="array" ref="M102">_xlfn.XLOOKUP(1,(creditcard[YYYYMM]=M$4&amp;"--")*(creditcard[Bank]=$A102),creditcard[當月簽帳金額],"")</f>
        <v/>
      </c>
      <c r="N102" s="180">
        <f>IFERROR((L102/H102)^(1/4)-1,"")</f>
        <v/>
      </c>
      <c r="O102" s="180">
        <f>IFERROR(F102/E102-1,"")</f>
        <v/>
      </c>
      <c r="P102" s="180">
        <f>IFERROR((G102-F102)/F102,"")</f>
        <v/>
      </c>
      <c r="Q102" s="180">
        <f>IFERROR((H102-G102)/G102,"")</f>
        <v/>
      </c>
      <c r="R102" s="180">
        <f>IFERROR((I102-H102)/H102,"")</f>
        <v/>
      </c>
      <c r="S102" s="180">
        <f>IFERROR((J102-I102)/I102,"")</f>
        <v/>
      </c>
      <c r="T102" s="180">
        <f>IFERROR((K102-J102)/J102,"")</f>
        <v/>
      </c>
      <c r="U102" s="180">
        <f>IFERROR((L102-K102)/K102,"")</f>
        <v/>
      </c>
      <c r="V102" s="180">
        <f>IFERROR((M102-L102)/L102,"")</f>
        <v/>
      </c>
    </row>
    <row r="103">
      <c r="A103" s="170" t="inlineStr">
        <is>
          <t>市場總計</t>
        </is>
      </c>
      <c r="B103" s="170">
        <f t="array" ref="B103">_xlfn.XLOOKUP(1,(creditcard[YYYYMM]=B$4&amp;"--")*(creditcard[Bank]=$A103),creditcard[當月簽帳金額],"")</f>
        <v/>
      </c>
      <c r="C103" s="170">
        <f t="array" ref="C103">_xlfn.XLOOKUP(1,(creditcard[YYYYMM]=C$4&amp;"--")*(creditcard[Bank]=$A103),creditcard[當月簽帳金額],"")</f>
        <v/>
      </c>
      <c r="D103" s="170">
        <f t="array" ref="D103">_xlfn.XLOOKUP(1,(creditcard[YYYYMM]=D$4&amp;"--")*(creditcard[Bank]=$A103),creditcard[當月簽帳金額],"")</f>
        <v/>
      </c>
      <c r="E103" s="170">
        <f t="array" ref="E103">_xlfn.XLOOKUP(1,(creditcard[YYYYMM]=E$4&amp;"--")*(creditcard[Bank]=$A103),creditcard[當月簽帳金額],"")</f>
        <v/>
      </c>
      <c r="F103" s="170">
        <f t="array" ref="F103">_xlfn.XLOOKUP(1,(creditcard[YYYYMM]=F$4&amp;"--")*(creditcard[Bank]=$A103),creditcard[當月簽帳金額],"")</f>
        <v/>
      </c>
      <c r="G103" s="170">
        <f t="array" ref="G103">_xlfn.XLOOKUP(1,(creditcard[YYYYMM]=G$4&amp;"--")*(creditcard[Bank]=$A103),creditcard[當月簽帳金額],"")</f>
        <v/>
      </c>
      <c r="H103" s="170">
        <f t="array" ref="H103">_xlfn.XLOOKUP(1,(creditcard[YYYYMM]=H$4&amp;"--")*(creditcard[Bank]=$A103),creditcard[當月簽帳金額],"")</f>
        <v/>
      </c>
      <c r="I103" s="184">
        <f t="array" ref="I103">_xlfn.XLOOKUP(1,(creditcard[YYYYMM]=I$4&amp;"--")*(creditcard[Bank]=$A103),creditcard[當月簽帳金額],"")</f>
        <v/>
      </c>
      <c r="J103" s="184">
        <f t="array" ref="J103">_xlfn.XLOOKUP(1,(creditcard[YYYYMM]=J$4&amp;"--")*(creditcard[Bank]=$A103),creditcard[當月簽帳金額],"")</f>
        <v/>
      </c>
      <c r="K103" s="184">
        <f t="array" ref="K103">_xlfn.XLOOKUP(1,(creditcard[YYYYMM]=K$4&amp;"--")*(creditcard[Bank]=$A103),creditcard[當月簽帳金額],"")</f>
        <v/>
      </c>
      <c r="L103" s="184">
        <f t="array" ref="L103">_xlfn.XLOOKUP(1,(creditcard[YYYYMM]=L$4&amp;"--")*(creditcard[Bank]=$A103),creditcard[當月簽帳金額],"")</f>
        <v/>
      </c>
      <c r="M103" s="199">
        <f t="array" ref="M103">_xlfn.XLOOKUP(1,(creditcard[YYYYMM]=M$4&amp;"--")*(creditcard[Bank]=$A103),creditcard[當月簽帳金額],"")</f>
        <v/>
      </c>
      <c r="N103" s="194">
        <f>IFERROR((L103/H103)^(1/4)-1,"")</f>
        <v/>
      </c>
      <c r="O103" s="194">
        <f>IFERROR(F103/E103-1,"")</f>
        <v/>
      </c>
      <c r="P103" s="194">
        <f>IFERROR((G103-F103)/F103,"")</f>
        <v/>
      </c>
      <c r="Q103" s="194">
        <f>IFERROR((H103-G103)/G103,"")</f>
        <v/>
      </c>
      <c r="R103" s="194">
        <f>IFERROR((I103-H103)/H103,"")</f>
        <v/>
      </c>
      <c r="S103" s="194">
        <f>IFERROR((J103-I103)/I103,"")</f>
        <v/>
      </c>
      <c r="T103" s="194">
        <f>IFERROR((K103-J103)/J103,"")</f>
        <v/>
      </c>
      <c r="U103" s="194">
        <f>IFERROR((L103-K103)/K103,"")</f>
        <v/>
      </c>
      <c r="V103" s="195">
        <f>IFERROR((M103-L103)/L103,"")</f>
        <v/>
      </c>
    </row>
    <row r="104" ht="12.75" customFormat="1" customHeight="1" s="73">
      <c r="A104" s="176" t="inlineStr">
        <is>
          <t>TOP5</t>
        </is>
      </c>
      <c r="B104" s="176" t="n"/>
      <c r="C104" s="176" t="n"/>
      <c r="D104" s="176" t="n"/>
      <c r="E104" s="177" t="n"/>
      <c r="F104" s="177" t="n"/>
      <c r="G104" s="177" t="n"/>
      <c r="H104" s="177" t="n"/>
      <c r="I104" s="177" t="n"/>
      <c r="J104" s="177" t="n"/>
      <c r="K104" s="177" t="n"/>
      <c r="L104" s="177" t="n"/>
      <c r="M104" s="177" t="n"/>
      <c r="N104" s="177" t="n"/>
      <c r="O104" s="177" t="n"/>
      <c r="P104" s="177" t="n"/>
      <c r="Q104" s="177" t="n"/>
      <c r="R104" s="177" t="n"/>
      <c r="S104" s="177" t="n"/>
      <c r="T104" s="177" t="n"/>
      <c r="U104" s="177" t="n"/>
      <c r="V104" s="177" t="n"/>
    </row>
    <row r="105" ht="12.75" customFormat="1" customHeight="1" s="73">
      <c r="A105" s="176" t="inlineStr">
        <is>
          <t>TOP10</t>
        </is>
      </c>
      <c r="B105" s="176" t="n"/>
      <c r="C105" s="176" t="n"/>
      <c r="D105" s="176" t="n"/>
      <c r="E105" s="177" t="n"/>
      <c r="F105" s="177" t="n"/>
      <c r="G105" s="177" t="n"/>
      <c r="H105" s="177" t="n"/>
      <c r="I105" s="177" t="n"/>
      <c r="J105" s="177" t="n"/>
      <c r="K105" s="177" t="n"/>
      <c r="L105" s="177" t="n"/>
      <c r="M105" s="177" t="n"/>
      <c r="N105" s="177" t="n"/>
      <c r="O105" s="177" t="n"/>
      <c r="P105" s="177" t="n"/>
      <c r="Q105" s="177" t="n"/>
      <c r="R105" s="177" t="n"/>
      <c r="S105" s="177" t="n"/>
      <c r="T105" s="177" t="n"/>
      <c r="U105" s="177" t="n"/>
      <c r="V105" s="177" t="n"/>
    </row>
    <row r="106" ht="12.75" customFormat="1" customHeight="1" s="73">
      <c r="A106" s="176" t="n"/>
      <c r="B106" s="176" t="n"/>
      <c r="C106" s="176" t="n"/>
      <c r="D106" s="176" t="n"/>
      <c r="E106" s="177" t="n"/>
      <c r="F106" s="177" t="n"/>
      <c r="G106" s="177" t="n"/>
      <c r="H106" s="177" t="n"/>
      <c r="I106" s="177" t="n"/>
      <c r="J106" s="177" t="n"/>
      <c r="K106" s="177" t="n"/>
      <c r="L106" s="177" t="n"/>
      <c r="M106" s="177" t="n"/>
      <c r="N106" s="177" t="n"/>
      <c r="O106" s="177" t="n"/>
      <c r="P106" s="177" t="n"/>
      <c r="Q106" s="177" t="n"/>
      <c r="R106" s="177" t="n"/>
      <c r="S106" s="177" t="n"/>
      <c r="T106" s="177" t="n"/>
      <c r="U106" s="177" t="n"/>
      <c r="V106" s="177" t="n"/>
    </row>
    <row r="107">
      <c r="A107" s="141" t="inlineStr">
        <is>
          <t>循環餘額(百萬)</t>
        </is>
      </c>
      <c r="B107" s="141">
        <f>B$1</f>
        <v/>
      </c>
      <c r="C107" s="141">
        <f>C$1</f>
        <v/>
      </c>
      <c r="D107" s="141">
        <f>D$1</f>
        <v/>
      </c>
      <c r="E107" s="141">
        <f>E$1</f>
        <v/>
      </c>
      <c r="F107" s="141">
        <f>F$1</f>
        <v/>
      </c>
      <c r="G107" s="141">
        <f>G$1</f>
        <v/>
      </c>
      <c r="H107" s="141">
        <f>H$1</f>
        <v/>
      </c>
      <c r="I107" s="141">
        <f>I$1</f>
        <v/>
      </c>
      <c r="J107" s="141">
        <f>J$1</f>
        <v/>
      </c>
      <c r="K107" s="141">
        <f>K$1</f>
        <v/>
      </c>
      <c r="L107" s="141">
        <f>L$1</f>
        <v/>
      </c>
      <c r="M107" s="141">
        <f>M$1</f>
        <v/>
      </c>
      <c r="N107" s="141">
        <f>N$1</f>
        <v/>
      </c>
      <c r="O107" s="141">
        <f>O$1</f>
        <v/>
      </c>
      <c r="P107" s="141">
        <f>P$1</f>
        <v/>
      </c>
      <c r="Q107" s="141">
        <f>Q$1</f>
        <v/>
      </c>
      <c r="R107" s="141">
        <f>R$1</f>
        <v/>
      </c>
      <c r="S107" s="141">
        <f>S$1</f>
        <v/>
      </c>
      <c r="T107" s="141">
        <f>T$1</f>
        <v/>
      </c>
      <c r="U107" s="141">
        <f>U$1</f>
        <v/>
      </c>
      <c r="V107" s="141">
        <f>V$1</f>
        <v/>
      </c>
    </row>
    <row r="108">
      <c r="A108" s="174" t="inlineStr">
        <is>
          <t>中信</t>
        </is>
      </c>
      <c r="B108" s="172">
        <f t="array" ref="B108">_xlfn.XLOOKUP(1,(creditcard[YYYYMM]=B$4&amp;"--")*(creditcard[Bank]=$A108),creditcard[循環信用餘額],"")</f>
        <v/>
      </c>
      <c r="C108" s="172">
        <f t="array" ref="C108">_xlfn.XLOOKUP(1,(creditcard[YYYYMM]=C$4&amp;"--")*(creditcard[Bank]=$A108),creditcard[循環信用餘額],"")</f>
        <v/>
      </c>
      <c r="D108" s="172">
        <f t="array" ref="D108">_xlfn.XLOOKUP(1,(creditcard[YYYYMM]=D$4&amp;"--")*(creditcard[Bank]=$A108),creditcard[循環信用餘額],"")</f>
        <v/>
      </c>
      <c r="E108" s="172">
        <f t="array" ref="E108">_xlfn.XLOOKUP(1,(creditcard[YYYYMM]=E$4&amp;"--")*(creditcard[Bank]=$A108),creditcard[循環信用餘額],"")</f>
        <v/>
      </c>
      <c r="F108" s="172">
        <f t="array" ref="F108">_xlfn.XLOOKUP(1,(creditcard[YYYYMM]=F$4&amp;"--")*(creditcard[Bank]=$A108),creditcard[循環信用餘額],"")</f>
        <v/>
      </c>
      <c r="G108" s="172">
        <f t="array" ref="G108">_xlfn.XLOOKUP(1,(creditcard[YYYYMM]=G$4&amp;"--")*(creditcard[Bank]=$A108),creditcard[循環信用餘額],"")</f>
        <v/>
      </c>
      <c r="H108" s="172">
        <f t="array" ref="H108">_xlfn.XLOOKUP(1,(creditcard[YYYYMM]=H$4&amp;"--")*(creditcard[Bank]=$A108),creditcard[循環信用餘額],"")</f>
        <v/>
      </c>
      <c r="I108" s="172">
        <f t="array" ref="I108">_xlfn.XLOOKUP(1,(creditcard[YYYYMM]=I$4&amp;"--")*(creditcard[Bank]=$A108),creditcard[循環信用餘額],"")</f>
        <v/>
      </c>
      <c r="J108" s="172">
        <f t="array" ref="J108">_xlfn.XLOOKUP(1,(creditcard[YYYYMM]=J$4&amp;"--")*(creditcard[Bank]=$A108),creditcard[循環信用餘額],"")</f>
        <v/>
      </c>
      <c r="K108" s="172">
        <f t="array" ref="K108">_xlfn.XLOOKUP(1,(creditcard[YYYYMM]=K$4&amp;"--")*(creditcard[Bank]=$A108),creditcard[循環信用餘額],"")</f>
        <v/>
      </c>
      <c r="L108" s="172">
        <f t="array" ref="L108">_xlfn.XLOOKUP(1,(creditcard[YYYYMM]=L$4&amp;"--")*(creditcard[Bank]=$A108),creditcard[循環信用餘額],"")</f>
        <v/>
      </c>
      <c r="M108" s="172">
        <f t="array" ref="M108">_xlfn.XLOOKUP(1,(creditcard[YYYYMM]=M$4&amp;"--")*(creditcard[Bank]=$A108),creditcard[循環信用餘額],"")</f>
        <v/>
      </c>
      <c r="N108" s="180">
        <f>IFERROR((L108/H108)^(1/4)-1,"")</f>
        <v/>
      </c>
      <c r="O108" s="180">
        <f>IFERROR(F108/E108-1,"")</f>
        <v/>
      </c>
      <c r="P108" s="180">
        <f>IFERROR((G108-F108)/F108,"")</f>
        <v/>
      </c>
      <c r="Q108" s="180">
        <f>IFERROR((H108-G108)/G108,"")</f>
        <v/>
      </c>
      <c r="R108" s="180">
        <f>IFERROR((I108-H108)/H108,"")</f>
        <v/>
      </c>
      <c r="S108" s="180">
        <f>IFERROR((J108-I108)/I108,"")</f>
        <v/>
      </c>
      <c r="T108" s="180">
        <f>IFERROR((K108-J108)/J108,"")</f>
        <v/>
      </c>
      <c r="U108" s="180">
        <f>IFERROR((L108-K108)/K108,"")</f>
        <v/>
      </c>
      <c r="V108" s="180">
        <f>IFERROR((M108-L108)/L108,"")</f>
        <v/>
      </c>
    </row>
    <row r="109">
      <c r="A109" s="174" t="inlineStr">
        <is>
          <t>富邦</t>
        </is>
      </c>
      <c r="B109" s="172">
        <f t="array" ref="B109">_xlfn.XLOOKUP(1,(creditcard[YYYYMM]=B$4&amp;"--")*(creditcard[Bank]=$A109),creditcard[循環信用餘額],"")</f>
        <v/>
      </c>
      <c r="C109" s="172">
        <f t="array" ref="C109">_xlfn.XLOOKUP(1,(creditcard[YYYYMM]=C$4&amp;"--")*(creditcard[Bank]=$A109),creditcard[循環信用餘額],"")</f>
        <v/>
      </c>
      <c r="D109" s="172">
        <f t="array" ref="D109">_xlfn.XLOOKUP(1,(creditcard[YYYYMM]=D$4&amp;"--")*(creditcard[Bank]=$A109),creditcard[循環信用餘額],"")</f>
        <v/>
      </c>
      <c r="E109" s="172">
        <f t="array" ref="E109">_xlfn.XLOOKUP(1,(creditcard[YYYYMM]=E$4&amp;"--")*(creditcard[Bank]=$A109),creditcard[循環信用餘額],"")</f>
        <v/>
      </c>
      <c r="F109" s="172">
        <f t="array" ref="F109">_xlfn.XLOOKUP(1,(creditcard[YYYYMM]=F$4&amp;"--")*(creditcard[Bank]=$A109),creditcard[循環信用餘額],"")</f>
        <v/>
      </c>
      <c r="G109" s="172">
        <f t="array" ref="G109">_xlfn.XLOOKUP(1,(creditcard[YYYYMM]=G$4&amp;"--")*(creditcard[Bank]=$A109),creditcard[循環信用餘額],"")</f>
        <v/>
      </c>
      <c r="H109" s="172">
        <f t="array" ref="H109">_xlfn.XLOOKUP(1,(creditcard[YYYYMM]=H$4&amp;"--")*(creditcard[Bank]=$A109),creditcard[循環信用餘額],"")</f>
        <v/>
      </c>
      <c r="I109" s="172">
        <f t="array" ref="I109">_xlfn.XLOOKUP(1,(creditcard[YYYYMM]=I$4&amp;"--")*(creditcard[Bank]=$A109),creditcard[循環信用餘額],"")</f>
        <v/>
      </c>
      <c r="J109" s="172">
        <f t="array" ref="J109">_xlfn.XLOOKUP(1,(creditcard[YYYYMM]=J$4&amp;"--")*(creditcard[Bank]=$A109),creditcard[循環信用餘額],"")</f>
        <v/>
      </c>
      <c r="K109" s="172">
        <f t="array" ref="K109">_xlfn.XLOOKUP(1,(creditcard[YYYYMM]=K$4&amp;"--")*(creditcard[Bank]=$A109),creditcard[循環信用餘額],"")</f>
        <v/>
      </c>
      <c r="L109" s="172">
        <f t="array" ref="L109">_xlfn.XLOOKUP(1,(creditcard[YYYYMM]=L$4&amp;"--")*(creditcard[Bank]=$A109),creditcard[循環信用餘額],"")</f>
        <v/>
      </c>
      <c r="M109" s="172">
        <f t="array" ref="M109">_xlfn.XLOOKUP(1,(creditcard[YYYYMM]=M$4&amp;"--")*(creditcard[Bank]=$A109),creditcard[循環信用餘額],"")</f>
        <v/>
      </c>
      <c r="N109" s="180">
        <f>IFERROR((L109/H109)^(1/4)-1,"")</f>
        <v/>
      </c>
      <c r="O109" s="180">
        <f>IFERROR(F109/E109-1,"")</f>
        <v/>
      </c>
      <c r="P109" s="180">
        <f>IFERROR((G109-F109)/F109,"")</f>
        <v/>
      </c>
      <c r="Q109" s="180">
        <f>IFERROR((H109-G109)/G109,"")</f>
        <v/>
      </c>
      <c r="R109" s="180">
        <f>IFERROR((I109-H109)/H109,"")</f>
        <v/>
      </c>
      <c r="S109" s="180">
        <f>IFERROR((J109-I109)/I109,"")</f>
        <v/>
      </c>
      <c r="T109" s="180">
        <f>IFERROR((K109-J109)/J109,"")</f>
        <v/>
      </c>
      <c r="U109" s="180">
        <f>IFERROR((L109-K109)/K109,"")</f>
        <v/>
      </c>
      <c r="V109" s="180">
        <f>IFERROR((M109-L109)/L109,"")</f>
        <v/>
      </c>
    </row>
    <row r="110">
      <c r="A110" s="174" t="inlineStr">
        <is>
          <t>國泰</t>
        </is>
      </c>
      <c r="B110" s="172">
        <f t="array" ref="B110">_xlfn.XLOOKUP(1,(creditcard[YYYYMM]=B$4&amp;"--")*(creditcard[Bank]=$A110),creditcard[循環信用餘額],"")</f>
        <v/>
      </c>
      <c r="C110" s="172">
        <f t="array" ref="C110">_xlfn.XLOOKUP(1,(creditcard[YYYYMM]=C$4&amp;"--")*(creditcard[Bank]=$A110),creditcard[循環信用餘額],"")</f>
        <v/>
      </c>
      <c r="D110" s="172">
        <f t="array" ref="D110">_xlfn.XLOOKUP(1,(creditcard[YYYYMM]=D$4&amp;"--")*(creditcard[Bank]=$A110),creditcard[循環信用餘額],"")</f>
        <v/>
      </c>
      <c r="E110" s="172">
        <f t="array" ref="E110">_xlfn.XLOOKUP(1,(creditcard[YYYYMM]=E$4&amp;"--")*(creditcard[Bank]=$A110),creditcard[循環信用餘額],"")</f>
        <v/>
      </c>
      <c r="F110" s="172">
        <f t="array" ref="F110">_xlfn.XLOOKUP(1,(creditcard[YYYYMM]=F$4&amp;"--")*(creditcard[Bank]=$A110),creditcard[循環信用餘額],"")</f>
        <v/>
      </c>
      <c r="G110" s="172">
        <f t="array" ref="G110">_xlfn.XLOOKUP(1,(creditcard[YYYYMM]=G$4&amp;"--")*(creditcard[Bank]=$A110),creditcard[循環信用餘額],"")</f>
        <v/>
      </c>
      <c r="H110" s="172">
        <f t="array" ref="H110">_xlfn.XLOOKUP(1,(creditcard[YYYYMM]=H$4&amp;"--")*(creditcard[Bank]=$A110),creditcard[循環信用餘額],"")</f>
        <v/>
      </c>
      <c r="I110" s="172">
        <f t="array" ref="I110">_xlfn.XLOOKUP(1,(creditcard[YYYYMM]=I$4&amp;"--")*(creditcard[Bank]=$A110),creditcard[循環信用餘額],"")</f>
        <v/>
      </c>
      <c r="J110" s="172">
        <f t="array" ref="J110">_xlfn.XLOOKUP(1,(creditcard[YYYYMM]=J$4&amp;"--")*(creditcard[Bank]=$A110),creditcard[循環信用餘額],"")</f>
        <v/>
      </c>
      <c r="K110" s="172">
        <f t="array" ref="K110">_xlfn.XLOOKUP(1,(creditcard[YYYYMM]=K$4&amp;"--")*(creditcard[Bank]=$A110),creditcard[循環信用餘額],"")</f>
        <v/>
      </c>
      <c r="L110" s="172">
        <f t="array" ref="L110">_xlfn.XLOOKUP(1,(creditcard[YYYYMM]=L$4&amp;"--")*(creditcard[Bank]=$A110),creditcard[循環信用餘額],"")</f>
        <v/>
      </c>
      <c r="M110" s="172">
        <f t="array" ref="M110">_xlfn.XLOOKUP(1,(creditcard[YYYYMM]=M$4&amp;"--")*(creditcard[Bank]=$A110),creditcard[循環信用餘額],"")</f>
        <v/>
      </c>
      <c r="N110" s="180">
        <f>IFERROR((L110/H110)^(1/4)-1,"")</f>
        <v/>
      </c>
      <c r="O110" s="180">
        <f>IFERROR(F110/E110-1,"")</f>
        <v/>
      </c>
      <c r="P110" s="180">
        <f>IFERROR((G110-F110)/F110,"")</f>
        <v/>
      </c>
      <c r="Q110" s="180">
        <f>IFERROR((H110-G110)/G110,"")</f>
        <v/>
      </c>
      <c r="R110" s="180">
        <f>IFERROR((I110-H110)/H110,"")</f>
        <v/>
      </c>
      <c r="S110" s="180">
        <f>IFERROR((J110-I110)/I110,"")</f>
        <v/>
      </c>
      <c r="T110" s="180">
        <f>IFERROR((K110-J110)/J110,"")</f>
        <v/>
      </c>
      <c r="U110" s="180">
        <f>IFERROR((L110-K110)/K110,"")</f>
        <v/>
      </c>
      <c r="V110" s="180">
        <f>IFERROR((M110-L110)/L110,"")</f>
        <v/>
      </c>
    </row>
    <row r="111">
      <c r="A111" s="174" t="inlineStr">
        <is>
          <t>玉山</t>
        </is>
      </c>
      <c r="B111" s="172">
        <f t="array" ref="B111">_xlfn.XLOOKUP(1,(creditcard[YYYYMM]=B$4&amp;"--")*(creditcard[Bank]=$A111),creditcard[循環信用餘額],"")</f>
        <v/>
      </c>
      <c r="C111" s="172">
        <f t="array" ref="C111">_xlfn.XLOOKUP(1,(creditcard[YYYYMM]=C$4&amp;"--")*(creditcard[Bank]=$A111),creditcard[循環信用餘額],"")</f>
        <v/>
      </c>
      <c r="D111" s="172">
        <f t="array" ref="D111">_xlfn.XLOOKUP(1,(creditcard[YYYYMM]=D$4&amp;"--")*(creditcard[Bank]=$A111),creditcard[循環信用餘額],"")</f>
        <v/>
      </c>
      <c r="E111" s="172">
        <f t="array" ref="E111">_xlfn.XLOOKUP(1,(creditcard[YYYYMM]=E$4&amp;"--")*(creditcard[Bank]=$A111),creditcard[循環信用餘額],"")</f>
        <v/>
      </c>
      <c r="F111" s="172">
        <f t="array" ref="F111">_xlfn.XLOOKUP(1,(creditcard[YYYYMM]=F$4&amp;"--")*(creditcard[Bank]=$A111),creditcard[循環信用餘額],"")</f>
        <v/>
      </c>
      <c r="G111" s="172">
        <f t="array" ref="G111">_xlfn.XLOOKUP(1,(creditcard[YYYYMM]=G$4&amp;"--")*(creditcard[Bank]=$A111),creditcard[循環信用餘額],"")</f>
        <v/>
      </c>
      <c r="H111" s="172">
        <f t="array" ref="H111">_xlfn.XLOOKUP(1,(creditcard[YYYYMM]=H$4&amp;"--")*(creditcard[Bank]=$A111),creditcard[循環信用餘額],"")</f>
        <v/>
      </c>
      <c r="I111" s="172">
        <f t="array" ref="I111">_xlfn.XLOOKUP(1,(creditcard[YYYYMM]=I$4&amp;"--")*(creditcard[Bank]=$A111),creditcard[循環信用餘額],"")</f>
        <v/>
      </c>
      <c r="J111" s="172">
        <f t="array" ref="J111">_xlfn.XLOOKUP(1,(creditcard[YYYYMM]=J$4&amp;"--")*(creditcard[Bank]=$A111),creditcard[循環信用餘額],"")</f>
        <v/>
      </c>
      <c r="K111" s="172">
        <f t="array" ref="K111">_xlfn.XLOOKUP(1,(creditcard[YYYYMM]=K$4&amp;"--")*(creditcard[Bank]=$A111),creditcard[循環信用餘額],"")</f>
        <v/>
      </c>
      <c r="L111" s="172">
        <f t="array" ref="L111">_xlfn.XLOOKUP(1,(creditcard[YYYYMM]=L$4&amp;"--")*(creditcard[Bank]=$A111),creditcard[循環信用餘額],"")</f>
        <v/>
      </c>
      <c r="M111" s="172">
        <f t="array" ref="M111">_xlfn.XLOOKUP(1,(creditcard[YYYYMM]=M$4&amp;"--")*(creditcard[Bank]=$A111),creditcard[循環信用餘額],"")</f>
        <v/>
      </c>
      <c r="N111" s="180">
        <f>IFERROR((L111/H111)^(1/4)-1,"")</f>
        <v/>
      </c>
      <c r="O111" s="180">
        <f>IFERROR(F111/E111-1,"")</f>
        <v/>
      </c>
      <c r="P111" s="180">
        <f>IFERROR((G111-F111)/F111,"")</f>
        <v/>
      </c>
      <c r="Q111" s="180">
        <f>IFERROR((H111-G111)/G111,"")</f>
        <v/>
      </c>
      <c r="R111" s="180">
        <f>IFERROR((I111-H111)/H111,"")</f>
        <v/>
      </c>
      <c r="S111" s="180">
        <f>IFERROR((J111-I111)/I111,"")</f>
        <v/>
      </c>
      <c r="T111" s="180">
        <f>IFERROR((K111-J111)/J111,"")</f>
        <v/>
      </c>
      <c r="U111" s="180">
        <f>IFERROR((L111-K111)/K111,"")</f>
        <v/>
      </c>
      <c r="V111" s="180">
        <f>IFERROR((M111-L111)/L111,"")</f>
        <v/>
      </c>
    </row>
    <row r="112">
      <c r="A112" s="174" t="inlineStr">
        <is>
          <t>台新</t>
        </is>
      </c>
      <c r="B112" s="172">
        <f t="array" ref="B112">_xlfn.XLOOKUP(1,(creditcard[YYYYMM]=B$4&amp;"--")*(creditcard[Bank]=$A112),creditcard[循環信用餘額],"")</f>
        <v/>
      </c>
      <c r="C112" s="172">
        <f t="array" ref="C112">_xlfn.XLOOKUP(1,(creditcard[YYYYMM]=C$4&amp;"--")*(creditcard[Bank]=$A112),creditcard[循環信用餘額],"")</f>
        <v/>
      </c>
      <c r="D112" s="172">
        <f t="array" ref="D112">_xlfn.XLOOKUP(1,(creditcard[YYYYMM]=D$4&amp;"--")*(creditcard[Bank]=$A112),creditcard[循環信用餘額],"")</f>
        <v/>
      </c>
      <c r="E112" s="172">
        <f t="array" ref="E112">_xlfn.XLOOKUP(1,(creditcard[YYYYMM]=E$4&amp;"--")*(creditcard[Bank]=$A112),creditcard[循環信用餘額],"")</f>
        <v/>
      </c>
      <c r="F112" s="172">
        <f t="array" ref="F112">_xlfn.XLOOKUP(1,(creditcard[YYYYMM]=F$4&amp;"--")*(creditcard[Bank]=$A112),creditcard[循環信用餘額],"")</f>
        <v/>
      </c>
      <c r="G112" s="172">
        <f t="array" ref="G112">_xlfn.XLOOKUP(1,(creditcard[YYYYMM]=G$4&amp;"--")*(creditcard[Bank]=$A112),creditcard[循環信用餘額],"")</f>
        <v/>
      </c>
      <c r="H112" s="172">
        <f t="array" ref="H112">_xlfn.XLOOKUP(1,(creditcard[YYYYMM]=H$4&amp;"--")*(creditcard[Bank]=$A112),creditcard[循環信用餘額],"")</f>
        <v/>
      </c>
      <c r="I112" s="172">
        <f t="array" ref="I112">_xlfn.XLOOKUP(1,(creditcard[YYYYMM]=I$4&amp;"--")*(creditcard[Bank]=$A112),creditcard[循環信用餘額],"")</f>
        <v/>
      </c>
      <c r="J112" s="172">
        <f t="array" ref="J112">_xlfn.XLOOKUP(1,(creditcard[YYYYMM]=J$4&amp;"--")*(creditcard[Bank]=$A112),creditcard[循環信用餘額],"")</f>
        <v/>
      </c>
      <c r="K112" s="172">
        <f t="array" ref="K112">_xlfn.XLOOKUP(1,(creditcard[YYYYMM]=K$4&amp;"--")*(creditcard[Bank]=$A112),creditcard[循環信用餘額],"")</f>
        <v/>
      </c>
      <c r="L112" s="172">
        <f t="array" ref="L112">_xlfn.XLOOKUP(1,(creditcard[YYYYMM]=L$4&amp;"--")*(creditcard[Bank]=$A112),creditcard[循環信用餘額],"")</f>
        <v/>
      </c>
      <c r="M112" s="172">
        <f t="array" ref="M112">_xlfn.XLOOKUP(1,(creditcard[YYYYMM]=M$4&amp;"--")*(creditcard[Bank]=$A112),creditcard[循環信用餘額],"")</f>
        <v/>
      </c>
      <c r="N112" s="180">
        <f>IFERROR((L112/H112)^(1/4)-1,"")</f>
        <v/>
      </c>
      <c r="O112" s="180">
        <f>IFERROR(F112/E112-1,"")</f>
        <v/>
      </c>
      <c r="P112" s="180">
        <f>IFERROR((G112-F112)/F112,"")</f>
        <v/>
      </c>
      <c r="Q112" s="180">
        <f>IFERROR((H112-G112)/G112,"")</f>
        <v/>
      </c>
      <c r="R112" s="180">
        <f>IFERROR((I112-H112)/H112,"")</f>
        <v/>
      </c>
      <c r="S112" s="180">
        <f>IFERROR((J112-I112)/I112,"")</f>
        <v/>
      </c>
      <c r="T112" s="180">
        <f>IFERROR((K112-J112)/J112,"")</f>
        <v/>
      </c>
      <c r="U112" s="180">
        <f>IFERROR((L112-K112)/K112,"")</f>
        <v/>
      </c>
      <c r="V112" s="180">
        <f>IFERROR((M112-L112)/L112,"")</f>
        <v/>
      </c>
    </row>
    <row r="113">
      <c r="A113" s="174" t="inlineStr">
        <is>
          <t>星展</t>
        </is>
      </c>
      <c r="B113" s="172">
        <f t="array" ref="B113">_xlfn.XLOOKUP(1,(creditcard[YYYYMM]=B$4&amp;"--")*(creditcard[Bank]=$A113),creditcard[循環信用餘額],"")</f>
        <v/>
      </c>
      <c r="C113" s="172">
        <f t="array" ref="C113">_xlfn.XLOOKUP(1,(creditcard[YYYYMM]=C$4&amp;"--")*(creditcard[Bank]=$A113),creditcard[循環信用餘額],"")</f>
        <v/>
      </c>
      <c r="D113" s="172">
        <f t="array" ref="D113">_xlfn.XLOOKUP(1,(creditcard[YYYYMM]=D$4&amp;"--")*(creditcard[Bank]=$A113),creditcard[循環信用餘額],"")</f>
        <v/>
      </c>
      <c r="E113" s="172">
        <f t="array" ref="E113">_xlfn.XLOOKUP(1,(creditcard[YYYYMM]=E$4&amp;"--")*(creditcard[Bank]=$A113),creditcard[循環信用餘額],"")</f>
        <v/>
      </c>
      <c r="F113" s="172">
        <f t="array" ref="F113">_xlfn.XLOOKUP(1,(creditcard[YYYYMM]=F$4&amp;"--")*(creditcard[Bank]=$A113),creditcard[循環信用餘額],"")</f>
        <v/>
      </c>
      <c r="G113" s="172">
        <f t="array" ref="G113">_xlfn.XLOOKUP(1,(creditcard[YYYYMM]=G$4&amp;"--")*(creditcard[Bank]=$A113),creditcard[循環信用餘額],"")</f>
        <v/>
      </c>
      <c r="H113" s="172">
        <f t="array" ref="H113">_xlfn.XLOOKUP(1,(creditcard[YYYYMM]=H$4&amp;"--")*(creditcard[Bank]=$A113),creditcard[循環信用餘額],"")</f>
        <v/>
      </c>
      <c r="I113" s="172">
        <f t="array" ref="I113">_xlfn.XLOOKUP(1,(creditcard[YYYYMM]=I$4&amp;"--")*(creditcard[Bank]=$A113),creditcard[循環信用餘額],"")</f>
        <v/>
      </c>
      <c r="J113" s="172">
        <f t="array" ref="J113">_xlfn.XLOOKUP(1,(creditcard[YYYYMM]=J$4&amp;"--")*(creditcard[Bank]=$A113),creditcard[循環信用餘額],"")</f>
        <v/>
      </c>
      <c r="K113" s="172">
        <f t="array" ref="K113">_xlfn.XLOOKUP(1,(creditcard[YYYYMM]=K$4&amp;"--")*(creditcard[Bank]=$A113),creditcard[循環信用餘額],"")</f>
        <v/>
      </c>
      <c r="L113" s="172">
        <f t="array" ref="L113">_xlfn.XLOOKUP(1,(creditcard[YYYYMM]=L$4&amp;"--")*(creditcard[Bank]=$A113),creditcard[循環信用餘額],"")</f>
        <v/>
      </c>
      <c r="M113" s="172">
        <f t="array" ref="M113">_xlfn.XLOOKUP(1,(creditcard[YYYYMM]=M$4&amp;"--")*(creditcard[Bank]=$A113),creditcard[循環信用餘額],"")</f>
        <v/>
      </c>
      <c r="N113" s="180">
        <f>IFERROR((L113/H113)^(1/4)-1,"")</f>
        <v/>
      </c>
      <c r="O113" s="180">
        <f>IFERROR(F113/E113-1,"")</f>
        <v/>
      </c>
      <c r="P113" s="180">
        <f>IFERROR((G113-F113)/F113,"")</f>
        <v/>
      </c>
      <c r="Q113" s="180">
        <f>IFERROR((H113-G113)/G113,"")</f>
        <v/>
      </c>
      <c r="R113" s="180">
        <f>IFERROR((I113-H113)/H113,"")</f>
        <v/>
      </c>
      <c r="S113" s="180">
        <f>IFERROR((J113-I113)/I113,"")</f>
        <v/>
      </c>
      <c r="T113" s="180">
        <f>IFERROR((K113-J113)/J113,"")</f>
        <v/>
      </c>
      <c r="U113" s="180">
        <f>IFERROR((L113-K113)/K113,"")</f>
        <v/>
      </c>
      <c r="V113" s="180">
        <f>IFERROR((M113-L113)/L113,"")</f>
        <v/>
      </c>
    </row>
    <row r="114">
      <c r="A114" s="174" t="inlineStr">
        <is>
          <t>聯邦</t>
        </is>
      </c>
      <c r="B114" s="172">
        <f t="array" ref="B114">_xlfn.XLOOKUP(1,(creditcard[YYYYMM]=B$4&amp;"--")*(creditcard[Bank]=$A114),creditcard[循環信用餘額],"")</f>
        <v/>
      </c>
      <c r="C114" s="172">
        <f t="array" ref="C114">_xlfn.XLOOKUP(1,(creditcard[YYYYMM]=C$4&amp;"--")*(creditcard[Bank]=$A114),creditcard[循環信用餘額],"")</f>
        <v/>
      </c>
      <c r="D114" s="172">
        <f t="array" ref="D114">_xlfn.XLOOKUP(1,(creditcard[YYYYMM]=D$4&amp;"--")*(creditcard[Bank]=$A114),creditcard[循環信用餘額],"")</f>
        <v/>
      </c>
      <c r="E114" s="172">
        <f t="array" ref="E114">_xlfn.XLOOKUP(1,(creditcard[YYYYMM]=E$4&amp;"--")*(creditcard[Bank]=$A114),creditcard[循環信用餘額],"")</f>
        <v/>
      </c>
      <c r="F114" s="172">
        <f t="array" ref="F114">_xlfn.XLOOKUP(1,(creditcard[YYYYMM]=F$4&amp;"--")*(creditcard[Bank]=$A114),creditcard[循環信用餘額],"")</f>
        <v/>
      </c>
      <c r="G114" s="172">
        <f t="array" ref="G114">_xlfn.XLOOKUP(1,(creditcard[YYYYMM]=G$4&amp;"--")*(creditcard[Bank]=$A114),creditcard[循環信用餘額],"")</f>
        <v/>
      </c>
      <c r="H114" s="172">
        <f t="array" ref="H114">_xlfn.XLOOKUP(1,(creditcard[YYYYMM]=H$4&amp;"--")*(creditcard[Bank]=$A114),creditcard[循環信用餘額],"")</f>
        <v/>
      </c>
      <c r="I114" s="172">
        <f t="array" ref="I114">_xlfn.XLOOKUP(1,(creditcard[YYYYMM]=I$4&amp;"--")*(creditcard[Bank]=$A114),creditcard[循環信用餘額],"")</f>
        <v/>
      </c>
      <c r="J114" s="172">
        <f t="array" ref="J114">_xlfn.XLOOKUP(1,(creditcard[YYYYMM]=J$4&amp;"--")*(creditcard[Bank]=$A114),creditcard[循環信用餘額],"")</f>
        <v/>
      </c>
      <c r="K114" s="172">
        <f t="array" ref="K114">_xlfn.XLOOKUP(1,(creditcard[YYYYMM]=K$4&amp;"--")*(creditcard[Bank]=$A114),creditcard[循環信用餘額],"")</f>
        <v/>
      </c>
      <c r="L114" s="172">
        <f t="array" ref="L114">_xlfn.XLOOKUP(1,(creditcard[YYYYMM]=L$4&amp;"--")*(creditcard[Bank]=$A114),creditcard[循環信用餘額],"")</f>
        <v/>
      </c>
      <c r="M114" s="172">
        <f t="array" ref="M114">_xlfn.XLOOKUP(1,(creditcard[YYYYMM]=M$4&amp;"--")*(creditcard[Bank]=$A114),creditcard[循環信用餘額],"")</f>
        <v/>
      </c>
      <c r="N114" s="180">
        <f>IFERROR((L114/H114)^(1/4)-1,"")</f>
        <v/>
      </c>
      <c r="O114" s="180">
        <f>IFERROR(F114/E114-1,"")</f>
        <v/>
      </c>
      <c r="P114" s="180">
        <f>IFERROR((G114-F114)/F114,"")</f>
        <v/>
      </c>
      <c r="Q114" s="180">
        <f>IFERROR((H114-G114)/G114,"")</f>
        <v/>
      </c>
      <c r="R114" s="180">
        <f>IFERROR((I114-H114)/H114,"")</f>
        <v/>
      </c>
      <c r="S114" s="180">
        <f>IFERROR((J114-I114)/I114,"")</f>
        <v/>
      </c>
      <c r="T114" s="180">
        <f>IFERROR((K114-J114)/J114,"")</f>
        <v/>
      </c>
      <c r="U114" s="180">
        <f>IFERROR((L114-K114)/K114,"")</f>
        <v/>
      </c>
      <c r="V114" s="180">
        <f>IFERROR((M114-L114)/L114,"")</f>
        <v/>
      </c>
    </row>
    <row r="115">
      <c r="A115" s="174" t="inlineStr">
        <is>
          <t>永豐</t>
        </is>
      </c>
      <c r="B115" s="172">
        <f t="array" ref="B115">_xlfn.XLOOKUP(1,(creditcard[YYYYMM]=B$4&amp;"--")*(creditcard[Bank]=$A115),creditcard[循環信用餘額],"")</f>
        <v/>
      </c>
      <c r="C115" s="172">
        <f t="array" ref="C115">_xlfn.XLOOKUP(1,(creditcard[YYYYMM]=C$4&amp;"--")*(creditcard[Bank]=$A115),creditcard[循環信用餘額],"")</f>
        <v/>
      </c>
      <c r="D115" s="172">
        <f t="array" ref="D115">_xlfn.XLOOKUP(1,(creditcard[YYYYMM]=D$4&amp;"--")*(creditcard[Bank]=$A115),creditcard[循環信用餘額],"")</f>
        <v/>
      </c>
      <c r="E115" s="172">
        <f t="array" ref="E115">_xlfn.XLOOKUP(1,(creditcard[YYYYMM]=E$4&amp;"--")*(creditcard[Bank]=$A115),creditcard[循環信用餘額],"")</f>
        <v/>
      </c>
      <c r="F115" s="172">
        <f t="array" ref="F115">_xlfn.XLOOKUP(1,(creditcard[YYYYMM]=F$4&amp;"--")*(creditcard[Bank]=$A115),creditcard[循環信用餘額],"")</f>
        <v/>
      </c>
      <c r="G115" s="172">
        <f t="array" ref="G115">_xlfn.XLOOKUP(1,(creditcard[YYYYMM]=G$4&amp;"--")*(creditcard[Bank]=$A115),creditcard[循環信用餘額],"")</f>
        <v/>
      </c>
      <c r="H115" s="172">
        <f t="array" ref="H115">_xlfn.XLOOKUP(1,(creditcard[YYYYMM]=H$4&amp;"--")*(creditcard[Bank]=$A115),creditcard[循環信用餘額],"")</f>
        <v/>
      </c>
      <c r="I115" s="172">
        <f t="array" ref="I115">_xlfn.XLOOKUP(1,(creditcard[YYYYMM]=I$4&amp;"--")*(creditcard[Bank]=$A115),creditcard[循環信用餘額],"")</f>
        <v/>
      </c>
      <c r="J115" s="172">
        <f t="array" ref="J115">_xlfn.XLOOKUP(1,(creditcard[YYYYMM]=J$4&amp;"--")*(creditcard[Bank]=$A115),creditcard[循環信用餘額],"")</f>
        <v/>
      </c>
      <c r="K115" s="172">
        <f t="array" ref="K115">_xlfn.XLOOKUP(1,(creditcard[YYYYMM]=K$4&amp;"--")*(creditcard[Bank]=$A115),creditcard[循環信用餘額],"")</f>
        <v/>
      </c>
      <c r="L115" s="172">
        <f t="array" ref="L115">_xlfn.XLOOKUP(1,(creditcard[YYYYMM]=L$4&amp;"--")*(creditcard[Bank]=$A115),creditcard[循環信用餘額],"")</f>
        <v/>
      </c>
      <c r="M115" s="172">
        <f t="array" ref="M115">_xlfn.XLOOKUP(1,(creditcard[YYYYMM]=M$4&amp;"--")*(creditcard[Bank]=$A115),creditcard[循環信用餘額],"")</f>
        <v/>
      </c>
      <c r="N115" s="180">
        <f>IFERROR((L115/H115)^(1/4)-1,"")</f>
        <v/>
      </c>
      <c r="O115" s="180">
        <f>IFERROR(F115/E115-1,"")</f>
        <v/>
      </c>
      <c r="P115" s="180">
        <f>IFERROR((G115-F115)/F115,"")</f>
        <v/>
      </c>
      <c r="Q115" s="180">
        <f>IFERROR((H115-G115)/G115,"")</f>
        <v/>
      </c>
      <c r="R115" s="180">
        <f>IFERROR((I115-H115)/H115,"")</f>
        <v/>
      </c>
      <c r="S115" s="180">
        <f>IFERROR((J115-I115)/I115,"")</f>
        <v/>
      </c>
      <c r="T115" s="180">
        <f>IFERROR((K115-J115)/J115,"")</f>
        <v/>
      </c>
      <c r="U115" s="180">
        <f>IFERROR((L115-K115)/K115,"")</f>
        <v/>
      </c>
      <c r="V115" s="180">
        <f>IFERROR((M115-L115)/L115,"")</f>
        <v/>
      </c>
    </row>
    <row r="116">
      <c r="A116" s="174" t="inlineStr">
        <is>
          <t>第一</t>
        </is>
      </c>
      <c r="B116" s="172">
        <f t="array" ref="B116">_xlfn.XLOOKUP(1,(creditcard[YYYYMM]=B$4&amp;"--")*(creditcard[Bank]=$A116),creditcard[循環信用餘額],"")</f>
        <v/>
      </c>
      <c r="C116" s="172">
        <f t="array" ref="C116">_xlfn.XLOOKUP(1,(creditcard[YYYYMM]=C$4&amp;"--")*(creditcard[Bank]=$A116),creditcard[循環信用餘額],"")</f>
        <v/>
      </c>
      <c r="D116" s="172">
        <f t="array" ref="D116">_xlfn.XLOOKUP(1,(creditcard[YYYYMM]=D$4&amp;"--")*(creditcard[Bank]=$A116),creditcard[循環信用餘額],"")</f>
        <v/>
      </c>
      <c r="E116" s="172">
        <f t="array" ref="E116">_xlfn.XLOOKUP(1,(creditcard[YYYYMM]=E$4&amp;"--")*(creditcard[Bank]=$A116),creditcard[循環信用餘額],"")</f>
        <v/>
      </c>
      <c r="F116" s="172">
        <f t="array" ref="F116">_xlfn.XLOOKUP(1,(creditcard[YYYYMM]=F$4&amp;"--")*(creditcard[Bank]=$A116),creditcard[循環信用餘額],"")</f>
        <v/>
      </c>
      <c r="G116" s="172">
        <f t="array" ref="G116">_xlfn.XLOOKUP(1,(creditcard[YYYYMM]=G$4&amp;"--")*(creditcard[Bank]=$A116),creditcard[循環信用餘額],"")</f>
        <v/>
      </c>
      <c r="H116" s="172">
        <f t="array" ref="H116">_xlfn.XLOOKUP(1,(creditcard[YYYYMM]=H$4&amp;"--")*(creditcard[Bank]=$A116),creditcard[循環信用餘額],"")</f>
        <v/>
      </c>
      <c r="I116" s="172">
        <f t="array" ref="I116">_xlfn.XLOOKUP(1,(creditcard[YYYYMM]=I$4&amp;"--")*(creditcard[Bank]=$A116),creditcard[循環信用餘額],"")</f>
        <v/>
      </c>
      <c r="J116" s="172">
        <f t="array" ref="J116">_xlfn.XLOOKUP(1,(creditcard[YYYYMM]=J$4&amp;"--")*(creditcard[Bank]=$A116),creditcard[循環信用餘額],"")</f>
        <v/>
      </c>
      <c r="K116" s="172">
        <f t="array" ref="K116">_xlfn.XLOOKUP(1,(creditcard[YYYYMM]=K$4&amp;"--")*(creditcard[Bank]=$A116),creditcard[循環信用餘額],"")</f>
        <v/>
      </c>
      <c r="L116" s="172">
        <f t="array" ref="L116">_xlfn.XLOOKUP(1,(creditcard[YYYYMM]=L$4&amp;"--")*(creditcard[Bank]=$A116),creditcard[循環信用餘額],"")</f>
        <v/>
      </c>
      <c r="M116" s="172">
        <f t="array" ref="M116">_xlfn.XLOOKUP(1,(creditcard[YYYYMM]=M$4&amp;"--")*(creditcard[Bank]=$A116),creditcard[循環信用餘額],"")</f>
        <v/>
      </c>
      <c r="N116" s="180">
        <f>IFERROR((L116/H116)^(1/4)-1,"")</f>
        <v/>
      </c>
      <c r="O116" s="180">
        <f>IFERROR(F116/E116-1,"")</f>
        <v/>
      </c>
      <c r="P116" s="180">
        <f>IFERROR((G116-F116)/F116,"")</f>
        <v/>
      </c>
      <c r="Q116" s="180">
        <f>IFERROR((H116-G116)/G116,"")</f>
        <v/>
      </c>
      <c r="R116" s="180">
        <f>IFERROR((I116-H116)/H116,"")</f>
        <v/>
      </c>
      <c r="S116" s="180">
        <f>IFERROR((J116-I116)/I116,"")</f>
        <v/>
      </c>
      <c r="T116" s="180">
        <f>IFERROR((K116-J116)/J116,"")</f>
        <v/>
      </c>
      <c r="U116" s="180">
        <f>IFERROR((L116-K116)/K116,"")</f>
        <v/>
      </c>
      <c r="V116" s="180">
        <f>IFERROR((M116-L116)/L116,"")</f>
        <v/>
      </c>
    </row>
    <row r="117">
      <c r="A117" s="174" t="inlineStr">
        <is>
          <t>遠東</t>
        </is>
      </c>
      <c r="B117" s="172">
        <f t="array" ref="B117">_xlfn.XLOOKUP(1,(creditcard[YYYYMM]=B$4&amp;"--")*(creditcard[Bank]=$A117),creditcard[循環信用餘額],"")</f>
        <v/>
      </c>
      <c r="C117" s="172">
        <f t="array" ref="C117">_xlfn.XLOOKUP(1,(creditcard[YYYYMM]=C$4&amp;"--")*(creditcard[Bank]=$A117),creditcard[循環信用餘額],"")</f>
        <v/>
      </c>
      <c r="D117" s="172">
        <f t="array" ref="D117">_xlfn.XLOOKUP(1,(creditcard[YYYYMM]=D$4&amp;"--")*(creditcard[Bank]=$A117),creditcard[循環信用餘額],"")</f>
        <v/>
      </c>
      <c r="E117" s="172">
        <f t="array" ref="E117">_xlfn.XLOOKUP(1,(creditcard[YYYYMM]=E$4&amp;"--")*(creditcard[Bank]=$A117),creditcard[循環信用餘額],"")</f>
        <v/>
      </c>
      <c r="F117" s="172">
        <f t="array" ref="F117">_xlfn.XLOOKUP(1,(creditcard[YYYYMM]=F$4&amp;"--")*(creditcard[Bank]=$A117),creditcard[循環信用餘額],"")</f>
        <v/>
      </c>
      <c r="G117" s="172">
        <f t="array" ref="G117">_xlfn.XLOOKUP(1,(creditcard[YYYYMM]=G$4&amp;"--")*(creditcard[Bank]=$A117),creditcard[循環信用餘額],"")</f>
        <v/>
      </c>
      <c r="H117" s="172">
        <f t="array" ref="H117">_xlfn.XLOOKUP(1,(creditcard[YYYYMM]=H$4&amp;"--")*(creditcard[Bank]=$A117),creditcard[循環信用餘額],"")</f>
        <v/>
      </c>
      <c r="I117" s="172">
        <f t="array" ref="I117">_xlfn.XLOOKUP(1,(creditcard[YYYYMM]=I$4&amp;"--")*(creditcard[Bank]=$A117),creditcard[循環信用餘額],"")</f>
        <v/>
      </c>
      <c r="J117" s="172">
        <f t="array" ref="J117">_xlfn.XLOOKUP(1,(creditcard[YYYYMM]=J$4&amp;"--")*(creditcard[Bank]=$A117),creditcard[循環信用餘額],"")</f>
        <v/>
      </c>
      <c r="K117" s="172">
        <f t="array" ref="K117">_xlfn.XLOOKUP(1,(creditcard[YYYYMM]=K$4&amp;"--")*(creditcard[Bank]=$A117),creditcard[循環信用餘額],"")</f>
        <v/>
      </c>
      <c r="L117" s="172">
        <f t="array" ref="L117">_xlfn.XLOOKUP(1,(creditcard[YYYYMM]=L$4&amp;"--")*(creditcard[Bank]=$A117),creditcard[循環信用餘額],"")</f>
        <v/>
      </c>
      <c r="M117" s="172">
        <f t="array" ref="M117">_xlfn.XLOOKUP(1,(creditcard[YYYYMM]=M$4&amp;"--")*(creditcard[Bank]=$A117),creditcard[循環信用餘額],"")</f>
        <v/>
      </c>
      <c r="N117" s="180">
        <f>IFERROR((L117/H117)^(1/4)-1,"")</f>
        <v/>
      </c>
      <c r="O117" s="180">
        <f>IFERROR(F117/E117-1,"")</f>
        <v/>
      </c>
      <c r="P117" s="180">
        <f>IFERROR((G117-F117)/F117,"")</f>
        <v/>
      </c>
      <c r="Q117" s="180">
        <f>IFERROR((H117-G117)/G117,"")</f>
        <v/>
      </c>
      <c r="R117" s="180">
        <f>IFERROR((I117-H117)/H117,"")</f>
        <v/>
      </c>
      <c r="S117" s="180">
        <f>IFERROR((J117-I117)/I117,"")</f>
        <v/>
      </c>
      <c r="T117" s="180">
        <f>IFERROR((K117-J117)/J117,"")</f>
        <v/>
      </c>
      <c r="U117" s="180">
        <f>IFERROR((L117-K117)/K117,"")</f>
        <v/>
      </c>
      <c r="V117" s="180">
        <f>IFERROR((M117-L117)/L117,"")</f>
        <v/>
      </c>
    </row>
    <row r="118">
      <c r="A118" s="170" t="inlineStr">
        <is>
          <t>市場總計</t>
        </is>
      </c>
      <c r="B118" s="170">
        <f t="array" ref="B118">_xlfn.XLOOKUP(1,(creditcard[YYYYMM]=B$4&amp;"--")*(creditcard[Bank]=$A118),creditcard[循環信用餘額],"")</f>
        <v/>
      </c>
      <c r="C118" s="170">
        <f t="array" ref="C118">_xlfn.XLOOKUP(1,(creditcard[YYYYMM]=C$4&amp;"--")*(creditcard[Bank]=$A118),creditcard[循環信用餘額],"")</f>
        <v/>
      </c>
      <c r="D118" s="170">
        <f t="array" ref="D118">_xlfn.XLOOKUP(1,(creditcard[YYYYMM]=D$4&amp;"--")*(creditcard[Bank]=$A118),creditcard[循環信用餘額],"")</f>
        <v/>
      </c>
      <c r="E118" s="170">
        <f t="array" ref="E118">_xlfn.XLOOKUP(1,(creditcard[YYYYMM]=E$4&amp;"--")*(creditcard[Bank]=$A118),creditcard[循環信用餘額],"")</f>
        <v/>
      </c>
      <c r="F118" s="170">
        <f t="array" ref="F118">_xlfn.XLOOKUP(1,(creditcard[YYYYMM]=F$4&amp;"--")*(creditcard[Bank]=$A118),creditcard[循環信用餘額],"")</f>
        <v/>
      </c>
      <c r="G118" s="170">
        <f t="array" ref="G118">_xlfn.XLOOKUP(1,(creditcard[YYYYMM]=G$4&amp;"--")*(creditcard[Bank]=$A118),creditcard[循環信用餘額],"")</f>
        <v/>
      </c>
      <c r="H118" s="170">
        <f t="array" ref="H118">_xlfn.XLOOKUP(1,(creditcard[YYYYMM]=H$4&amp;"--")*(creditcard[Bank]=$A118),creditcard[循環信用餘額],"")</f>
        <v/>
      </c>
      <c r="I118" s="170">
        <f t="array" ref="I118">_xlfn.XLOOKUP(1,(creditcard[YYYYMM]=I$4&amp;"--")*(creditcard[Bank]=$A118),creditcard[循環信用餘額],"")</f>
        <v/>
      </c>
      <c r="J118" s="170">
        <f t="array" ref="J118">_xlfn.XLOOKUP(1,(creditcard[YYYYMM]=J$4&amp;"--")*(creditcard[Bank]=$A118),creditcard[循環信用餘額],"")</f>
        <v/>
      </c>
      <c r="K118" s="170">
        <f t="array" ref="K118">_xlfn.XLOOKUP(1,(creditcard[YYYYMM]=K$4&amp;"--")*(creditcard[Bank]=$A118),creditcard[循環信用餘額],"")</f>
        <v/>
      </c>
      <c r="L118" s="170">
        <f t="array" ref="L118">_xlfn.XLOOKUP(1,(creditcard[YYYYMM]=L$4&amp;"--")*(creditcard[Bank]=$A118),creditcard[循環信用餘額],"")</f>
        <v/>
      </c>
      <c r="M118" s="193">
        <f t="array" ref="M118">_xlfn.XLOOKUP(1,(creditcard[YYYYMM]=M$4&amp;"--")*(creditcard[Bank]=$A118),creditcard[循環信用餘額],"")</f>
        <v/>
      </c>
      <c r="N118" s="194">
        <f>IFERROR((L118/H118)^(1/4)-1,"")</f>
        <v/>
      </c>
      <c r="O118" s="194">
        <f>IFERROR(F118/E118-1,"")</f>
        <v/>
      </c>
      <c r="P118" s="194">
        <f>IFERROR((G118-F118)/F118,"")</f>
        <v/>
      </c>
      <c r="Q118" s="194">
        <f>IFERROR((H118-G118)/G118,"")</f>
        <v/>
      </c>
      <c r="R118" s="194">
        <f>IFERROR((I118-H118)/H118,"")</f>
        <v/>
      </c>
      <c r="S118" s="194">
        <f>IFERROR((J118-I118)/I118,"")</f>
        <v/>
      </c>
      <c r="T118" s="194">
        <f>IFERROR((K118-J118)/J118,"")</f>
        <v/>
      </c>
      <c r="U118" s="194">
        <f>IFERROR((L118-K118)/K118,"")</f>
        <v/>
      </c>
      <c r="V118" s="195">
        <f>IFERROR((M118-L118)/L118,"")</f>
        <v/>
      </c>
    </row>
    <row r="119" ht="12.75" customFormat="1" customHeight="1" s="73">
      <c r="A119" s="176" t="inlineStr">
        <is>
          <t>TOP5</t>
        </is>
      </c>
      <c r="B119" s="176" t="n"/>
      <c r="C119" s="176" t="n"/>
      <c r="D119" s="176" t="n"/>
      <c r="E119" s="177" t="n"/>
      <c r="F119" s="177" t="n"/>
      <c r="G119" s="177" t="n"/>
      <c r="H119" s="177" t="n"/>
      <c r="I119" s="177" t="n"/>
      <c r="J119" s="177" t="n"/>
      <c r="K119" s="177" t="n"/>
      <c r="L119" s="177" t="n"/>
      <c r="M119" s="177" t="n"/>
      <c r="N119" s="177" t="n"/>
      <c r="O119" s="177" t="n"/>
      <c r="P119" s="177" t="n"/>
      <c r="Q119" s="177" t="n"/>
      <c r="R119" s="177" t="n"/>
      <c r="S119" s="177" t="n"/>
      <c r="T119" s="177" t="n"/>
      <c r="U119" s="177" t="n"/>
      <c r="V119" s="177" t="n"/>
    </row>
    <row r="120" ht="12.75" customFormat="1" customHeight="1" s="73">
      <c r="A120" s="176" t="inlineStr">
        <is>
          <t>TOP10</t>
        </is>
      </c>
      <c r="B120" s="176" t="n"/>
      <c r="C120" s="176" t="n"/>
      <c r="D120" s="176" t="n"/>
      <c r="E120" s="177" t="n"/>
      <c r="F120" s="177" t="n"/>
      <c r="G120" s="177" t="n"/>
      <c r="H120" s="177" t="n"/>
      <c r="I120" s="177" t="n"/>
      <c r="J120" s="177" t="n"/>
      <c r="K120" s="177" t="n"/>
      <c r="L120" s="177" t="n"/>
      <c r="M120" s="177" t="n"/>
      <c r="N120" s="177" t="n"/>
      <c r="O120" s="177" t="n"/>
      <c r="P120" s="177" t="n"/>
      <c r="Q120" s="177" t="n"/>
      <c r="R120" s="177" t="n"/>
      <c r="S120" s="177" t="n"/>
      <c r="T120" s="177" t="n"/>
      <c r="U120" s="177" t="n"/>
      <c r="V120" s="177" t="n"/>
    </row>
    <row r="121">
      <c r="A121" s="172" t="n"/>
      <c r="B121" s="172" t="n"/>
      <c r="C121" s="172" t="n"/>
      <c r="D121" s="172" t="n"/>
      <c r="E121" s="172" t="n"/>
      <c r="F121" s="172" t="n"/>
      <c r="G121" s="190" t="n"/>
      <c r="H121" s="190" t="n"/>
      <c r="I121" s="190" t="n"/>
      <c r="J121" s="190" t="n"/>
      <c r="K121" s="190" t="n"/>
      <c r="L121" s="190" t="n"/>
      <c r="M121" s="190" t="n"/>
    </row>
    <row r="122">
      <c r="A122" s="172" t="n"/>
      <c r="B122" s="172" t="n"/>
      <c r="C122" s="172" t="n"/>
      <c r="D122" s="172" t="n"/>
      <c r="E122" s="172" t="n"/>
      <c r="F122" s="172" t="n"/>
    </row>
    <row r="123">
      <c r="A123" s="172" t="n"/>
      <c r="B123" s="172" t="n"/>
      <c r="C123" s="172" t="n"/>
      <c r="D123" s="172" t="n"/>
      <c r="E123" s="172" t="n"/>
      <c r="F123" s="172" t="n"/>
    </row>
    <row r="124">
      <c r="A124" s="172" t="n"/>
      <c r="B124" s="172" t="n"/>
      <c r="C124" s="172" t="n"/>
      <c r="D124" s="172" t="n"/>
      <c r="E124" s="172" t="n"/>
      <c r="F124" s="172" t="n"/>
    </row>
    <row r="125">
      <c r="A125" s="172" t="n"/>
      <c r="B125" s="172" t="n"/>
      <c r="C125" s="172" t="n"/>
      <c r="D125" s="172" t="n"/>
      <c r="E125" s="172" t="n"/>
      <c r="F125" s="172" t="n"/>
    </row>
    <row r="126">
      <c r="A126" s="172" t="n"/>
      <c r="B126" s="172" t="n"/>
      <c r="C126" s="172" t="n"/>
      <c r="D126" s="172" t="n"/>
      <c r="E126" s="172" t="n"/>
      <c r="F126" s="172" t="n"/>
    </row>
    <row r="127">
      <c r="A127" s="172" t="n"/>
      <c r="B127" s="172" t="n"/>
      <c r="C127" s="172" t="n"/>
      <c r="D127" s="172" t="n"/>
      <c r="E127" s="172" t="n"/>
      <c r="F127" s="172" t="n"/>
    </row>
    <row r="128">
      <c r="A128" s="172" t="n"/>
      <c r="B128" s="172" t="n"/>
      <c r="C128" s="172" t="n"/>
      <c r="D128" s="172" t="n"/>
      <c r="E128" s="172" t="n"/>
      <c r="F128" s="172" t="n"/>
    </row>
    <row r="129">
      <c r="A129" s="172" t="n"/>
      <c r="B129" s="172" t="n"/>
      <c r="C129" s="172" t="n"/>
      <c r="D129" s="172" t="n"/>
      <c r="E129" s="172" t="n"/>
      <c r="F129" s="172" t="n"/>
    </row>
    <row r="130">
      <c r="A130" s="172" t="n"/>
      <c r="B130" s="172" t="n"/>
      <c r="C130" s="172" t="n"/>
      <c r="D130" s="172" t="n"/>
      <c r="E130" s="172" t="n"/>
      <c r="F130" s="172" t="n"/>
    </row>
    <row r="131">
      <c r="A131" s="172" t="n"/>
      <c r="B131" s="172" t="n"/>
      <c r="C131" s="172" t="n"/>
      <c r="D131" s="172" t="n"/>
      <c r="E131" s="172" t="n"/>
      <c r="F131" s="172" t="n"/>
    </row>
    <row r="132">
      <c r="A132" s="172" t="n"/>
      <c r="B132" s="172" t="n"/>
      <c r="C132" s="172" t="n"/>
      <c r="D132" s="172" t="n"/>
      <c r="E132" s="172" t="n"/>
      <c r="F132" s="172" t="n"/>
    </row>
    <row r="133">
      <c r="A133" s="172" t="n"/>
      <c r="B133" s="172" t="n"/>
      <c r="C133" s="172" t="n"/>
      <c r="D133" s="172" t="n"/>
      <c r="E133" s="172" t="n"/>
      <c r="F133" s="172" t="n"/>
    </row>
  </sheetData>
  <hyperlinks>
    <hyperlink xmlns:r="http://schemas.openxmlformats.org/officeDocument/2006/relationships" ref="A19" r:id="rId1"/>
  </hyperlinks>
  <pageMargins left="0.7" right="0.7" top="0.75" bottom="0.75" header="0.3" footer="0.3"/>
  <drawing xmlns:r="http://schemas.openxmlformats.org/officeDocument/2006/relationships" r:id="rId2"/>
</worksheet>
</file>

<file path=xl/worksheets/sheet4.xml><?xml version="1.0" encoding="utf-8"?>
<worksheet xmlns="http://schemas.openxmlformats.org/spreadsheetml/2006/main">
  <sheetPr>
    <outlinePr summaryBelow="1" summaryRight="1"/>
    <pageSetUpPr/>
  </sheetPr>
  <dimension ref="A1:R69"/>
  <sheetViews>
    <sheetView topLeftCell="A10" zoomScaleNormal="100" workbookViewId="0">
      <selection activeCell="Q30" sqref="Q30"/>
    </sheetView>
  </sheetViews>
  <sheetFormatPr baseColWidth="8" defaultColWidth="8.453125" defaultRowHeight="17"/>
  <sheetData>
    <row r="1">
      <c r="A1" s="36" t="inlineStr">
        <is>
          <t xml:space="preserve">信用卡　　　　</t>
        </is>
      </c>
      <c r="C1" s="37" t="inlineStr">
        <is>
          <t>95年</t>
        </is>
      </c>
      <c r="D1" s="37" t="inlineStr">
        <is>
          <t>96年</t>
        </is>
      </c>
      <c r="E1" s="37" t="inlineStr">
        <is>
          <t>97年</t>
        </is>
      </c>
      <c r="F1" s="37" t="inlineStr">
        <is>
          <t>98年</t>
        </is>
      </c>
      <c r="G1" s="37" t="inlineStr">
        <is>
          <t>99年</t>
        </is>
      </c>
      <c r="H1" s="37" t="inlineStr">
        <is>
          <t>100年</t>
        </is>
      </c>
      <c r="I1" s="37" t="inlineStr">
        <is>
          <t>101年</t>
        </is>
      </c>
      <c r="J1" s="37" t="inlineStr">
        <is>
          <t>102年</t>
        </is>
      </c>
      <c r="K1" s="37" t="inlineStr">
        <is>
          <t>103年</t>
        </is>
      </c>
      <c r="L1" s="37" t="inlineStr">
        <is>
          <t>104年</t>
        </is>
      </c>
      <c r="M1" s="37" t="inlineStr">
        <is>
          <t>105年</t>
        </is>
      </c>
      <c r="N1" s="37" t="inlineStr">
        <is>
          <t>106年</t>
        </is>
      </c>
      <c r="O1" s="37" t="inlineStr">
        <is>
          <t>107年</t>
        </is>
      </c>
      <c r="P1" s="37" t="inlineStr">
        <is>
          <t>108年</t>
        </is>
      </c>
      <c r="Q1" s="36" t="inlineStr">
        <is>
          <t>有效卡率</t>
        </is>
      </c>
    </row>
    <row r="2">
      <c r="A2" s="36" t="inlineStr">
        <is>
          <t>流通卡數(張)</t>
        </is>
      </c>
      <c r="B2" s="36" t="inlineStr">
        <is>
          <t>總計</t>
        </is>
      </c>
      <c r="C2" s="37" t="n">
        <v>38323706</v>
      </c>
      <c r="D2" s="37" t="n">
        <v>36437097</v>
      </c>
      <c r="E2" s="37" t="n">
        <v>33950436</v>
      </c>
      <c r="F2" s="37" t="n">
        <v>30566700</v>
      </c>
      <c r="G2" s="37" t="n">
        <v>30705583</v>
      </c>
      <c r="H2" s="37" t="n">
        <v>32854677</v>
      </c>
      <c r="I2" s="37" t="n">
        <v>34076153</v>
      </c>
      <c r="J2" s="37" t="n">
        <v>35945865</v>
      </c>
      <c r="K2" s="37" t="n">
        <v>37389298</v>
      </c>
      <c r="L2" s="37" t="n">
        <v>38518206</v>
      </c>
      <c r="M2" s="37" t="n">
        <v>40701606</v>
      </c>
      <c r="N2" s="37" t="n">
        <v>41729994</v>
      </c>
      <c r="O2" s="37" t="n">
        <v>44031472</v>
      </c>
      <c r="P2" s="37" t="n">
        <v>47392036</v>
      </c>
      <c r="Q2" s="200" t="n">
        <v>0.673579185329788</v>
      </c>
    </row>
    <row r="3">
      <c r="B3" s="36" t="inlineStr">
        <is>
          <t>花旗(臺灣)商業銀行</t>
        </is>
      </c>
      <c r="C3" s="37" t="n">
        <v>790322</v>
      </c>
      <c r="D3" s="37" t="n">
        <v>776912</v>
      </c>
      <c r="E3" s="37" t="n">
        <v>434856</v>
      </c>
      <c r="F3" s="37" t="n">
        <v>2388479</v>
      </c>
      <c r="G3" s="37" t="n">
        <v>2397372</v>
      </c>
      <c r="H3" s="37" t="n">
        <v>2518423</v>
      </c>
      <c r="I3" s="37" t="n">
        <v>2655739</v>
      </c>
      <c r="J3" s="37" t="n">
        <v>2753613</v>
      </c>
      <c r="K3" s="37" t="n">
        <v>2908755</v>
      </c>
      <c r="L3" s="37" t="n">
        <v>2913583</v>
      </c>
      <c r="M3" s="37" t="n">
        <v>2883733</v>
      </c>
      <c r="N3" s="37" t="n">
        <v>2898529</v>
      </c>
      <c r="O3" s="37" t="n">
        <v>2902421</v>
      </c>
      <c r="P3" s="37" t="n">
        <v>2897671</v>
      </c>
      <c r="Q3" s="200" t="n">
        <v>0.799948303309796</v>
      </c>
      <c r="R3" s="37" t="n">
        <v>1</v>
      </c>
    </row>
    <row r="4">
      <c r="B4" s="36" t="inlineStr">
        <is>
          <t>華南商業銀行</t>
        </is>
      </c>
      <c r="C4" s="37" t="n">
        <v>700230</v>
      </c>
      <c r="D4" s="37" t="n">
        <v>623934</v>
      </c>
      <c r="E4" s="37" t="n">
        <v>477029</v>
      </c>
      <c r="F4" s="37" t="n">
        <v>443958</v>
      </c>
      <c r="G4" s="37" t="n">
        <v>541724</v>
      </c>
      <c r="H4" s="37" t="n">
        <v>551836</v>
      </c>
      <c r="I4" s="37" t="n">
        <v>570905</v>
      </c>
      <c r="J4" s="37" t="n">
        <v>619404</v>
      </c>
      <c r="K4" s="37" t="n">
        <v>750998</v>
      </c>
      <c r="L4" s="37" t="n">
        <v>810633</v>
      </c>
      <c r="M4" s="37" t="n">
        <v>926221</v>
      </c>
      <c r="N4" s="37" t="n">
        <v>1050367</v>
      </c>
      <c r="O4" s="37" t="n">
        <v>1060362</v>
      </c>
      <c r="P4" s="37" t="n">
        <v>1032094</v>
      </c>
      <c r="Q4" s="200" t="n">
        <v>0.769754499105702</v>
      </c>
      <c r="R4" s="37" t="n">
        <v>2</v>
      </c>
    </row>
    <row r="5">
      <c r="B5" s="36" t="inlineStr">
        <is>
          <t>國泰世華商業銀行</t>
        </is>
      </c>
      <c r="C5" s="37" t="n">
        <v>3413173</v>
      </c>
      <c r="D5" s="37" t="n">
        <v>3456083</v>
      </c>
      <c r="E5" s="37" t="n">
        <v>3332108</v>
      </c>
      <c r="F5" s="37" t="n">
        <v>2960709</v>
      </c>
      <c r="G5" s="37" t="n">
        <v>3045079</v>
      </c>
      <c r="H5" s="37" t="n">
        <v>3258327</v>
      </c>
      <c r="I5" s="37" t="n">
        <v>3443084</v>
      </c>
      <c r="J5" s="37" t="n">
        <v>4290249</v>
      </c>
      <c r="K5" s="37" t="n">
        <v>4762856</v>
      </c>
      <c r="L5" s="37" t="n">
        <v>5153580</v>
      </c>
      <c r="M5" s="37" t="n">
        <v>5889738</v>
      </c>
      <c r="N5" s="37" t="n">
        <v>6053831</v>
      </c>
      <c r="O5" s="37" t="n">
        <v>6351621</v>
      </c>
      <c r="P5" s="37" t="n">
        <v>6734229</v>
      </c>
      <c r="Q5" s="200" t="n">
        <v>0.73870282700514</v>
      </c>
      <c r="R5" s="37" t="n">
        <v>3</v>
      </c>
    </row>
    <row r="6">
      <c r="B6" s="36" t="inlineStr">
        <is>
          <t>匯豐(台灣)商業銀行</t>
        </is>
      </c>
      <c r="C6" s="36" t="inlineStr">
        <is>
          <t>－</t>
        </is>
      </c>
      <c r="D6" s="36" t="inlineStr">
        <is>
          <t>－</t>
        </is>
      </c>
      <c r="E6" s="36" t="inlineStr">
        <is>
          <t>－</t>
        </is>
      </c>
      <c r="F6" s="36" t="inlineStr">
        <is>
          <t>－</t>
        </is>
      </c>
      <c r="G6" s="37" t="n">
        <v>647160</v>
      </c>
      <c r="H6" s="37" t="n">
        <v>704801</v>
      </c>
      <c r="I6" s="37" t="n">
        <v>754082</v>
      </c>
      <c r="J6" s="37" t="n">
        <v>650809</v>
      </c>
      <c r="K6" s="37" t="n">
        <v>615802</v>
      </c>
      <c r="L6" s="37" t="n">
        <v>628249</v>
      </c>
      <c r="M6" s="37" t="n">
        <v>590415</v>
      </c>
      <c r="N6" s="37" t="n">
        <v>589430</v>
      </c>
      <c r="O6" s="37" t="n">
        <v>609606</v>
      </c>
      <c r="P6" s="37" t="n">
        <v>621851</v>
      </c>
      <c r="Q6" s="200" t="n">
        <v>0.719075791467731</v>
      </c>
      <c r="R6" s="37" t="n">
        <v>4</v>
      </c>
    </row>
    <row r="7">
      <c r="B7" s="36" t="inlineStr">
        <is>
          <t>渣打國際商業銀行</t>
        </is>
      </c>
      <c r="C7" s="37" t="n">
        <v>425823</v>
      </c>
      <c r="D7" s="37" t="n">
        <v>516662</v>
      </c>
      <c r="E7" s="37" t="n">
        <v>393268</v>
      </c>
      <c r="F7" s="37" t="n">
        <v>305264</v>
      </c>
      <c r="G7" s="37" t="n">
        <v>271864</v>
      </c>
      <c r="H7" s="37" t="n">
        <v>287866</v>
      </c>
      <c r="I7" s="37" t="n">
        <v>330943</v>
      </c>
      <c r="J7" s="37" t="n">
        <v>366715</v>
      </c>
      <c r="K7" s="37" t="n">
        <v>412834</v>
      </c>
      <c r="L7" s="37" t="n">
        <v>387694</v>
      </c>
      <c r="M7" s="37" t="n">
        <v>350232</v>
      </c>
      <c r="N7" s="37" t="n">
        <v>335373</v>
      </c>
      <c r="O7" s="37" t="n">
        <v>344904</v>
      </c>
      <c r="P7" s="37" t="n">
        <v>369015</v>
      </c>
      <c r="Q7" s="200" t="n">
        <v>0.7180656612874819</v>
      </c>
      <c r="R7" s="37" t="n">
        <v>5</v>
      </c>
    </row>
    <row r="8">
      <c r="B8" s="36" t="inlineStr">
        <is>
          <t>玉山商業銀行</t>
        </is>
      </c>
      <c r="C8" s="37" t="n">
        <v>2231385</v>
      </c>
      <c r="D8" s="37" t="n">
        <v>2312493</v>
      </c>
      <c r="E8" s="37" t="n">
        <v>2471563</v>
      </c>
      <c r="F8" s="37" t="n">
        <v>2474966</v>
      </c>
      <c r="G8" s="37" t="n">
        <v>2621712</v>
      </c>
      <c r="H8" s="37" t="n">
        <v>2837753</v>
      </c>
      <c r="I8" s="37" t="n">
        <v>3162599</v>
      </c>
      <c r="J8" s="37" t="n">
        <v>3477314</v>
      </c>
      <c r="K8" s="37" t="n">
        <v>3694268</v>
      </c>
      <c r="L8" s="37" t="n">
        <v>3950889</v>
      </c>
      <c r="M8" s="37" t="n">
        <v>4293887</v>
      </c>
      <c r="N8" s="37" t="n">
        <v>4573228</v>
      </c>
      <c r="O8" s="37" t="n">
        <v>4869490</v>
      </c>
      <c r="P8" s="37" t="n">
        <v>5824072</v>
      </c>
      <c r="Q8" s="200" t="n">
        <v>0.716649965865807</v>
      </c>
      <c r="R8" s="37" t="n">
        <v>6</v>
      </c>
    </row>
    <row r="9">
      <c r="B9" s="36" t="inlineStr">
        <is>
          <t>台新國際商業銀行</t>
        </is>
      </c>
      <c r="C9" s="37" t="n">
        <v>3393882</v>
      </c>
      <c r="D9" s="37" t="n">
        <v>2993175</v>
      </c>
      <c r="E9" s="37" t="n">
        <v>2624094</v>
      </c>
      <c r="F9" s="37" t="n">
        <v>2318085</v>
      </c>
      <c r="G9" s="37" t="n">
        <v>3002853</v>
      </c>
      <c r="H9" s="37" t="n">
        <v>2960949</v>
      </c>
      <c r="I9" s="37" t="n">
        <v>3146559</v>
      </c>
      <c r="J9" s="37" t="n">
        <v>3450814</v>
      </c>
      <c r="K9" s="37" t="n">
        <v>3497227</v>
      </c>
      <c r="L9" s="37" t="n">
        <v>3550799</v>
      </c>
      <c r="M9" s="37" t="n">
        <v>3776524</v>
      </c>
      <c r="N9" s="37" t="n">
        <v>4119324</v>
      </c>
      <c r="O9" s="37" t="n">
        <v>4644710</v>
      </c>
      <c r="P9" s="37" t="n">
        <v>5353487</v>
      </c>
      <c r="Q9" s="200" t="n">
        <v>0.708706119955087</v>
      </c>
      <c r="R9" s="37" t="n">
        <v>7</v>
      </c>
    </row>
    <row r="10">
      <c r="B10" s="36" t="inlineStr">
        <is>
          <t>三信商業銀行</t>
        </is>
      </c>
      <c r="C10" s="37" t="n">
        <v>35252</v>
      </c>
      <c r="D10" s="37" t="n">
        <v>39612</v>
      </c>
      <c r="E10" s="37" t="n">
        <v>25133</v>
      </c>
      <c r="F10" s="37" t="n">
        <v>21882</v>
      </c>
      <c r="G10" s="37" t="n">
        <v>16822</v>
      </c>
      <c r="H10" s="37" t="n">
        <v>14510</v>
      </c>
      <c r="I10" s="37" t="n">
        <v>14995</v>
      </c>
      <c r="J10" s="37" t="n">
        <v>15383</v>
      </c>
      <c r="K10" s="37" t="n">
        <v>16091</v>
      </c>
      <c r="L10" s="37" t="n">
        <v>16630</v>
      </c>
      <c r="M10" s="37" t="n">
        <v>17073</v>
      </c>
      <c r="N10" s="37" t="n">
        <v>15775</v>
      </c>
      <c r="O10" s="37" t="n">
        <v>15000</v>
      </c>
      <c r="P10" s="37" t="n">
        <v>15149</v>
      </c>
      <c r="Q10" s="200" t="n">
        <v>0.693181068057298</v>
      </c>
      <c r="R10" s="37" t="n">
        <v>8</v>
      </c>
    </row>
    <row r="11">
      <c r="B11" s="36" t="inlineStr">
        <is>
          <t>中國信託商業銀行</t>
        </is>
      </c>
      <c r="C11" s="37" t="n">
        <v>6010831</v>
      </c>
      <c r="D11" s="37" t="n">
        <v>5631569</v>
      </c>
      <c r="E11" s="37" t="n">
        <v>5117509</v>
      </c>
      <c r="F11" s="37" t="n">
        <v>4957310</v>
      </c>
      <c r="G11" s="37" t="n">
        <v>5166407</v>
      </c>
      <c r="H11" s="37" t="n">
        <v>5382359</v>
      </c>
      <c r="I11" s="37" t="n">
        <v>5402703</v>
      </c>
      <c r="J11" s="37" t="n">
        <v>5643285</v>
      </c>
      <c r="K11" s="37" t="n">
        <v>5765205</v>
      </c>
      <c r="L11" s="37" t="n">
        <v>5858730</v>
      </c>
      <c r="M11" s="37" t="n">
        <v>5984594</v>
      </c>
      <c r="N11" s="37" t="n">
        <v>6361648</v>
      </c>
      <c r="O11" s="37" t="n">
        <v>6835717</v>
      </c>
      <c r="P11" s="37" t="n">
        <v>6872801</v>
      </c>
      <c r="Q11" s="200" t="n">
        <v>0.679461692547187</v>
      </c>
      <c r="R11" s="37" t="n">
        <v>9</v>
      </c>
    </row>
    <row r="12">
      <c r="B12" s="36" t="inlineStr">
        <is>
          <t>遠東國際商業銀行</t>
        </is>
      </c>
      <c r="C12" s="37" t="n">
        <v>815104</v>
      </c>
      <c r="D12" s="37" t="n">
        <v>932608</v>
      </c>
      <c r="E12" s="37" t="n">
        <v>1028118</v>
      </c>
      <c r="F12" s="37" t="n">
        <v>1200905</v>
      </c>
      <c r="G12" s="37" t="n">
        <v>1191531</v>
      </c>
      <c r="H12" s="37" t="n">
        <v>1285576</v>
      </c>
      <c r="I12" s="37" t="n">
        <v>1435506</v>
      </c>
      <c r="J12" s="37" t="n">
        <v>1417036</v>
      </c>
      <c r="K12" s="37" t="n">
        <v>1487776</v>
      </c>
      <c r="L12" s="37" t="n">
        <v>1498301</v>
      </c>
      <c r="M12" s="37" t="n">
        <v>1790432</v>
      </c>
      <c r="N12" s="37" t="n">
        <v>1481903</v>
      </c>
      <c r="O12" s="37" t="n">
        <v>1501790</v>
      </c>
      <c r="P12" s="37" t="n">
        <v>1587131</v>
      </c>
      <c r="Q12" s="200" t="n">
        <v>0.662917553749502</v>
      </c>
      <c r="R12" s="37" t="n">
        <v>10</v>
      </c>
    </row>
    <row r="13">
      <c r="B13" s="36" t="inlineStr">
        <is>
          <t>台灣美國運通國際(股)公司</t>
        </is>
      </c>
      <c r="C13" s="37" t="n">
        <v>160693</v>
      </c>
      <c r="D13" s="37" t="n">
        <v>140648</v>
      </c>
      <c r="E13" s="37" t="n">
        <v>133801</v>
      </c>
      <c r="F13" s="37" t="n">
        <v>121594</v>
      </c>
      <c r="G13" s="37" t="n">
        <v>129536</v>
      </c>
      <c r="H13" s="37" t="n">
        <v>139917</v>
      </c>
      <c r="I13" s="37" t="n">
        <v>148680</v>
      </c>
      <c r="J13" s="37" t="n">
        <v>159463</v>
      </c>
      <c r="K13" s="37" t="n">
        <v>161517</v>
      </c>
      <c r="L13" s="37" t="n">
        <v>162490</v>
      </c>
      <c r="M13" s="37" t="n">
        <v>170064</v>
      </c>
      <c r="N13" s="37" t="n">
        <v>168194</v>
      </c>
      <c r="O13" s="37" t="n">
        <v>174379</v>
      </c>
      <c r="P13" s="37" t="n">
        <v>184051</v>
      </c>
      <c r="Q13" s="200" t="n">
        <v>0.658795659898615</v>
      </c>
      <c r="R13" s="37" t="n">
        <v>11</v>
      </c>
    </row>
    <row r="14">
      <c r="B14" s="36" t="inlineStr">
        <is>
          <t>日盛國際商業銀行</t>
        </is>
      </c>
      <c r="C14" s="37" t="n">
        <v>568006</v>
      </c>
      <c r="D14" s="37" t="n">
        <v>485884</v>
      </c>
      <c r="E14" s="37" t="n">
        <v>461824</v>
      </c>
      <c r="F14" s="37" t="n">
        <v>422656</v>
      </c>
      <c r="G14" s="37" t="n">
        <v>399833</v>
      </c>
      <c r="H14" s="37" t="n">
        <v>285496</v>
      </c>
      <c r="I14" s="37" t="n">
        <v>238693</v>
      </c>
      <c r="J14" s="37" t="n">
        <v>201390</v>
      </c>
      <c r="K14" s="37" t="n">
        <v>192802</v>
      </c>
      <c r="L14" s="37" t="n">
        <v>189146</v>
      </c>
      <c r="M14" s="37" t="n">
        <v>174506</v>
      </c>
      <c r="N14" s="37" t="n">
        <v>171181</v>
      </c>
      <c r="O14" s="37" t="n">
        <v>154315</v>
      </c>
      <c r="P14" s="37" t="n">
        <v>149412</v>
      </c>
      <c r="Q14" s="200" t="n">
        <v>0.657330067196745</v>
      </c>
      <c r="R14" s="37" t="n">
        <v>12</v>
      </c>
    </row>
    <row r="15">
      <c r="B15" s="36" t="inlineStr">
        <is>
          <t>兆豐國際商業銀行</t>
        </is>
      </c>
      <c r="C15" s="37" t="n">
        <v>738748</v>
      </c>
      <c r="D15" s="37" t="n">
        <v>667309</v>
      </c>
      <c r="E15" s="37" t="n">
        <v>573031</v>
      </c>
      <c r="F15" s="37" t="n">
        <v>554877</v>
      </c>
      <c r="G15" s="37" t="n">
        <v>522562</v>
      </c>
      <c r="H15" s="37" t="n">
        <v>553118</v>
      </c>
      <c r="I15" s="37" t="n">
        <v>531457</v>
      </c>
      <c r="J15" s="37" t="n">
        <v>527272</v>
      </c>
      <c r="K15" s="37" t="n">
        <v>569483</v>
      </c>
      <c r="L15" s="37" t="n">
        <v>609550</v>
      </c>
      <c r="M15" s="37" t="n">
        <v>603332</v>
      </c>
      <c r="N15" s="37" t="n">
        <v>665596</v>
      </c>
      <c r="O15" s="37" t="n">
        <v>742167</v>
      </c>
      <c r="P15" s="37" t="n">
        <v>890413</v>
      </c>
      <c r="Q15" s="200" t="n">
        <v>0.65104619990948</v>
      </c>
      <c r="R15" s="37" t="n">
        <v>13</v>
      </c>
    </row>
    <row r="16">
      <c r="B16" s="36" t="inlineStr">
        <is>
          <t>合作金庫銀行</t>
        </is>
      </c>
      <c r="C16" s="37" t="n">
        <v>744461</v>
      </c>
      <c r="D16" s="37" t="n">
        <v>680522</v>
      </c>
      <c r="E16" s="37" t="n">
        <v>482609</v>
      </c>
      <c r="F16" s="37" t="n">
        <v>428742</v>
      </c>
      <c r="G16" s="37" t="n">
        <v>392232</v>
      </c>
      <c r="H16" s="37" t="n">
        <v>410727</v>
      </c>
      <c r="I16" s="37" t="n">
        <v>436580</v>
      </c>
      <c r="J16" s="37" t="n">
        <v>411085</v>
      </c>
      <c r="K16" s="37" t="n">
        <v>405147</v>
      </c>
      <c r="L16" s="37" t="n">
        <v>415179</v>
      </c>
      <c r="M16" s="37" t="n">
        <v>457738</v>
      </c>
      <c r="N16" s="37" t="n">
        <v>476479</v>
      </c>
      <c r="O16" s="37" t="n">
        <v>515376</v>
      </c>
      <c r="P16" s="37" t="n">
        <v>547861</v>
      </c>
      <c r="Q16" s="200" t="n">
        <v>0.642130029332258</v>
      </c>
      <c r="R16" s="37" t="n">
        <v>14</v>
      </c>
    </row>
    <row r="17">
      <c r="B17" s="36" t="inlineStr">
        <is>
          <t>台北富邦銀行</t>
        </is>
      </c>
      <c r="C17" s="37" t="n">
        <v>2292391</v>
      </c>
      <c r="D17" s="37" t="n">
        <v>2391390</v>
      </c>
      <c r="E17" s="37" t="n">
        <v>2187774</v>
      </c>
      <c r="F17" s="37" t="n">
        <v>1924327</v>
      </c>
      <c r="G17" s="37" t="n">
        <v>2119294</v>
      </c>
      <c r="H17" s="37" t="n">
        <v>2062066</v>
      </c>
      <c r="I17" s="37" t="n">
        <v>2128030</v>
      </c>
      <c r="J17" s="37" t="n">
        <v>2297851</v>
      </c>
      <c r="K17" s="37" t="n">
        <v>2367995</v>
      </c>
      <c r="L17" s="37" t="n">
        <v>2251364</v>
      </c>
      <c r="M17" s="37" t="n">
        <v>2392960</v>
      </c>
      <c r="N17" s="37" t="n">
        <v>2371653</v>
      </c>
      <c r="O17" s="37" t="n">
        <v>2483835</v>
      </c>
      <c r="P17" s="37" t="n">
        <v>3288239</v>
      </c>
      <c r="Q17" s="200" t="n">
        <v>0.6392549325033861</v>
      </c>
      <c r="R17" s="37" t="n">
        <v>15</v>
      </c>
    </row>
    <row r="18">
      <c r="B18" s="36" t="inlineStr">
        <is>
          <t>第一商業銀行</t>
        </is>
      </c>
      <c r="C18" s="37" t="n">
        <v>599551</v>
      </c>
      <c r="D18" s="37" t="n">
        <v>507442</v>
      </c>
      <c r="E18" s="37" t="n">
        <v>468186</v>
      </c>
      <c r="F18" s="37" t="n">
        <v>490238</v>
      </c>
      <c r="G18" s="37" t="n">
        <v>501143</v>
      </c>
      <c r="H18" s="37" t="n">
        <v>555697</v>
      </c>
      <c r="I18" s="37" t="n">
        <v>630848</v>
      </c>
      <c r="J18" s="37" t="n">
        <v>694680</v>
      </c>
      <c r="K18" s="37" t="n">
        <v>803807</v>
      </c>
      <c r="L18" s="37" t="n">
        <v>900003</v>
      </c>
      <c r="M18" s="37" t="n">
        <v>951071</v>
      </c>
      <c r="N18" s="37" t="n">
        <v>1000449</v>
      </c>
      <c r="O18" s="37" t="n">
        <v>1122732</v>
      </c>
      <c r="P18" s="37" t="n">
        <v>1215047</v>
      </c>
      <c r="Q18" s="200" t="n">
        <v>0.616230483265256</v>
      </c>
      <c r="R18" s="37" t="n">
        <v>16</v>
      </c>
    </row>
    <row r="19">
      <c r="B19" s="36" t="inlineStr">
        <is>
          <t>臺灣新光商業銀行</t>
        </is>
      </c>
      <c r="C19" s="37" t="n">
        <v>1271689</v>
      </c>
      <c r="D19" s="37" t="n">
        <v>1091130</v>
      </c>
      <c r="E19" s="37" t="n">
        <v>945335</v>
      </c>
      <c r="F19" s="37" t="n">
        <v>899676</v>
      </c>
      <c r="G19" s="37" t="n">
        <v>754602</v>
      </c>
      <c r="H19" s="37" t="n">
        <v>806906</v>
      </c>
      <c r="I19" s="37" t="n">
        <v>826840</v>
      </c>
      <c r="J19" s="37" t="n">
        <v>899106</v>
      </c>
      <c r="K19" s="37" t="n">
        <v>919693</v>
      </c>
      <c r="L19" s="37" t="n">
        <v>908037</v>
      </c>
      <c r="M19" s="37" t="n">
        <v>902878</v>
      </c>
      <c r="N19" s="37" t="n">
        <v>883629</v>
      </c>
      <c r="O19" s="37" t="n">
        <v>802649</v>
      </c>
      <c r="P19" s="37" t="n">
        <v>834285</v>
      </c>
      <c r="Q19" s="200" t="n">
        <v>0.603640242842674</v>
      </c>
      <c r="R19" s="37" t="n">
        <v>17</v>
      </c>
    </row>
    <row r="20">
      <c r="B20" s="36" t="inlineStr">
        <is>
          <t>元大商業銀行</t>
        </is>
      </c>
      <c r="C20" s="37" t="n">
        <v>245879</v>
      </c>
      <c r="D20" s="37" t="n">
        <v>303575</v>
      </c>
      <c r="E20" s="37" t="n">
        <v>301380</v>
      </c>
      <c r="F20" s="37" t="n">
        <v>301837</v>
      </c>
      <c r="G20" s="37" t="n">
        <v>292080</v>
      </c>
      <c r="H20" s="37" t="n">
        <v>265179</v>
      </c>
      <c r="I20" s="37" t="n">
        <v>256142</v>
      </c>
      <c r="J20" s="37" t="n">
        <v>251968</v>
      </c>
      <c r="K20" s="37" t="n">
        <v>308050</v>
      </c>
      <c r="L20" s="37" t="n">
        <v>431033</v>
      </c>
      <c r="M20" s="37" t="n">
        <v>578740</v>
      </c>
      <c r="N20" s="37" t="n">
        <v>650964</v>
      </c>
      <c r="O20" s="37" t="n">
        <v>1334410</v>
      </c>
      <c r="P20" s="37" t="n">
        <v>1171979</v>
      </c>
      <c r="Q20" s="200" t="n">
        <v>0.590478157031824</v>
      </c>
      <c r="R20" s="37" t="n">
        <v>18</v>
      </c>
    </row>
    <row r="21">
      <c r="B21" s="36" t="inlineStr">
        <is>
          <t>台中商業銀行</t>
        </is>
      </c>
      <c r="C21" s="37" t="n">
        <v>159553</v>
      </c>
      <c r="D21" s="37" t="n">
        <v>125997</v>
      </c>
      <c r="E21" s="37" t="n">
        <v>106810</v>
      </c>
      <c r="F21" s="37" t="n">
        <v>83740</v>
      </c>
      <c r="G21" s="37" t="n">
        <v>83526</v>
      </c>
      <c r="H21" s="37" t="n">
        <v>102440</v>
      </c>
      <c r="I21" s="37" t="n">
        <v>125218</v>
      </c>
      <c r="J21" s="37" t="n">
        <v>142342</v>
      </c>
      <c r="K21" s="37" t="n">
        <v>155587</v>
      </c>
      <c r="L21" s="37" t="n">
        <v>195966</v>
      </c>
      <c r="M21" s="37" t="n">
        <v>203995</v>
      </c>
      <c r="N21" s="37" t="n">
        <v>148156</v>
      </c>
      <c r="O21" s="37" t="n">
        <v>128006</v>
      </c>
      <c r="P21" s="37" t="n">
        <v>139662</v>
      </c>
      <c r="Q21" s="200" t="n">
        <v>0.589222551588836</v>
      </c>
      <c r="R21" s="37" t="n">
        <v>19</v>
      </c>
    </row>
    <row r="22">
      <c r="B22" s="36" t="inlineStr">
        <is>
          <t>聯邦商業銀行</t>
        </is>
      </c>
      <c r="C22" s="37" t="n">
        <v>2932337</v>
      </c>
      <c r="D22" s="37" t="n">
        <v>2852622</v>
      </c>
      <c r="E22" s="37" t="n">
        <v>2842672</v>
      </c>
      <c r="F22" s="37" t="n">
        <v>2041647</v>
      </c>
      <c r="G22" s="37" t="n">
        <v>1680984</v>
      </c>
      <c r="H22" s="37" t="n">
        <v>2068118</v>
      </c>
      <c r="I22" s="37" t="n">
        <v>1875580</v>
      </c>
      <c r="J22" s="37" t="n">
        <v>1827104</v>
      </c>
      <c r="K22" s="37" t="n">
        <v>1770774</v>
      </c>
      <c r="L22" s="37" t="n">
        <v>1825288</v>
      </c>
      <c r="M22" s="37" t="n">
        <v>2015520</v>
      </c>
      <c r="N22" s="37" t="n">
        <v>2036860</v>
      </c>
      <c r="O22" s="37" t="n">
        <v>2126989</v>
      </c>
      <c r="P22" s="37" t="n">
        <v>2162706</v>
      </c>
      <c r="Q22" s="200" t="n">
        <v>0.585812403535201</v>
      </c>
      <c r="R22" s="37" t="n">
        <v>20</v>
      </c>
    </row>
    <row r="23">
      <c r="B23" s="36" t="inlineStr">
        <is>
          <t>臺灣中小企業銀行</t>
        </is>
      </c>
      <c r="C23" s="37" t="n">
        <v>395527</v>
      </c>
      <c r="D23" s="37" t="n">
        <v>381987</v>
      </c>
      <c r="E23" s="37" t="n">
        <v>354667</v>
      </c>
      <c r="F23" s="37" t="n">
        <v>257012</v>
      </c>
      <c r="G23" s="37" t="n">
        <v>262919</v>
      </c>
      <c r="H23" s="37" t="n">
        <v>276475</v>
      </c>
      <c r="I23" s="37" t="n">
        <v>320797</v>
      </c>
      <c r="J23" s="37" t="n">
        <v>342842</v>
      </c>
      <c r="K23" s="37" t="n">
        <v>337320</v>
      </c>
      <c r="L23" s="37" t="n">
        <v>336551</v>
      </c>
      <c r="M23" s="37" t="n">
        <v>329157</v>
      </c>
      <c r="N23" s="37" t="n">
        <v>324952</v>
      </c>
      <c r="O23" s="37" t="n">
        <v>326737</v>
      </c>
      <c r="P23" s="37" t="n">
        <v>203587</v>
      </c>
      <c r="Q23" s="200" t="n">
        <v>0.5843742478645489</v>
      </c>
      <c r="R23" s="37" t="n">
        <v>21</v>
      </c>
    </row>
    <row r="24">
      <c r="B24" s="36" t="inlineStr">
        <is>
          <t>台灣樂天信用卡股份有限公司</t>
        </is>
      </c>
      <c r="C24" s="36" t="inlineStr">
        <is>
          <t>－</t>
        </is>
      </c>
      <c r="D24" s="36" t="inlineStr">
        <is>
          <t>－</t>
        </is>
      </c>
      <c r="E24" s="36" t="inlineStr">
        <is>
          <t>－</t>
        </is>
      </c>
      <c r="F24" s="36" t="inlineStr">
        <is>
          <t>－</t>
        </is>
      </c>
      <c r="G24" s="36" t="inlineStr">
        <is>
          <t>－</t>
        </is>
      </c>
      <c r="H24" s="36" t="inlineStr">
        <is>
          <t>－</t>
        </is>
      </c>
      <c r="I24" s="36" t="inlineStr">
        <is>
          <t>－</t>
        </is>
      </c>
      <c r="J24" s="36" t="inlineStr">
        <is>
          <t>－</t>
        </is>
      </c>
      <c r="K24" s="37" t="n">
        <v>129</v>
      </c>
      <c r="L24" s="37" t="n">
        <v>73379</v>
      </c>
      <c r="M24" s="37" t="n">
        <v>208479</v>
      </c>
      <c r="N24" s="37" t="n">
        <v>372898</v>
      </c>
      <c r="O24" s="37" t="n">
        <v>485034</v>
      </c>
      <c r="P24" s="37" t="n">
        <v>573990</v>
      </c>
      <c r="Q24" s="200" t="n">
        <v>0.558899980835903</v>
      </c>
      <c r="R24" s="37" t="n">
        <v>22</v>
      </c>
    </row>
    <row r="25">
      <c r="B25" s="36" t="inlineStr">
        <is>
          <t>上海商業儲蓄銀行</t>
        </is>
      </c>
      <c r="C25" s="37" t="n">
        <v>537266</v>
      </c>
      <c r="D25" s="37" t="n">
        <v>492896</v>
      </c>
      <c r="E25" s="37" t="n">
        <v>484669</v>
      </c>
      <c r="F25" s="37" t="n">
        <v>402204</v>
      </c>
      <c r="G25" s="37" t="n">
        <v>389020</v>
      </c>
      <c r="H25" s="37" t="n">
        <v>400251</v>
      </c>
      <c r="I25" s="37" t="n">
        <v>424163</v>
      </c>
      <c r="J25" s="37" t="n">
        <v>417760</v>
      </c>
      <c r="K25" s="37" t="n">
        <v>391762</v>
      </c>
      <c r="L25" s="37" t="n">
        <v>364088</v>
      </c>
      <c r="M25" s="37" t="n">
        <v>355846</v>
      </c>
      <c r="N25" s="37" t="n">
        <v>358618</v>
      </c>
      <c r="O25" s="37" t="n">
        <v>372501</v>
      </c>
      <c r="P25" s="37" t="n">
        <v>431146</v>
      </c>
      <c r="Q25" s="200" t="n">
        <v>0.551270335338841</v>
      </c>
      <c r="R25" s="37" t="n">
        <v>23</v>
      </c>
    </row>
    <row r="26">
      <c r="B26" s="36" t="inlineStr">
        <is>
          <t>星展(台灣)商業銀行</t>
        </is>
      </c>
      <c r="C26" s="36" t="inlineStr">
        <is>
          <t>－</t>
        </is>
      </c>
      <c r="D26" s="36" t="inlineStr">
        <is>
          <t>－</t>
        </is>
      </c>
      <c r="E26" s="36" t="inlineStr">
        <is>
          <t>－</t>
        </is>
      </c>
      <c r="F26" s="36" t="inlineStr">
        <is>
          <t>－</t>
        </is>
      </c>
      <c r="G26" s="36" t="inlineStr">
        <is>
          <t>－</t>
        </is>
      </c>
      <c r="H26" s="36" t="inlineStr">
        <is>
          <t>－</t>
        </is>
      </c>
      <c r="I26" s="37" t="n">
        <v>9965</v>
      </c>
      <c r="J26" s="37" t="n">
        <v>11678</v>
      </c>
      <c r="K26" s="37" t="n">
        <v>12544</v>
      </c>
      <c r="L26" s="37" t="n">
        <v>12668</v>
      </c>
      <c r="M26" s="37" t="n">
        <v>12663</v>
      </c>
      <c r="N26" s="37" t="n">
        <v>548108</v>
      </c>
      <c r="O26" s="37" t="n">
        <v>554049</v>
      </c>
      <c r="P26" s="37" t="n">
        <v>596567</v>
      </c>
      <c r="Q26" s="200" t="n">
        <v>0.546045959632363</v>
      </c>
      <c r="R26" s="37" t="n">
        <v>24</v>
      </c>
    </row>
    <row r="27">
      <c r="B27" s="36" t="inlineStr">
        <is>
          <t>華泰商業銀行</t>
        </is>
      </c>
      <c r="C27" s="37" t="n">
        <v>12297</v>
      </c>
      <c r="D27" s="37" t="n">
        <v>11543</v>
      </c>
      <c r="E27" s="37" t="n">
        <v>12177</v>
      </c>
      <c r="F27" s="37" t="n">
        <v>11545</v>
      </c>
      <c r="G27" s="37" t="n">
        <v>11594</v>
      </c>
      <c r="H27" s="37" t="n">
        <v>11638</v>
      </c>
      <c r="I27" s="37" t="n">
        <v>11713</v>
      </c>
      <c r="J27" s="37" t="n">
        <v>10764</v>
      </c>
      <c r="K27" s="37" t="n">
        <v>10536</v>
      </c>
      <c r="L27" s="37" t="n">
        <v>10249</v>
      </c>
      <c r="M27" s="37" t="n">
        <v>10138</v>
      </c>
      <c r="N27" s="37" t="n">
        <v>10367</v>
      </c>
      <c r="O27" s="37" t="n">
        <v>10049</v>
      </c>
      <c r="P27" s="37" t="n">
        <v>9796</v>
      </c>
      <c r="Q27" s="200" t="n">
        <v>0.5345038791343411</v>
      </c>
      <c r="R27" s="37" t="n">
        <v>25</v>
      </c>
    </row>
    <row r="28">
      <c r="B28" s="36" t="inlineStr">
        <is>
          <t>陽信商業銀行</t>
        </is>
      </c>
      <c r="C28" s="37" t="n">
        <v>161333</v>
      </c>
      <c r="D28" s="37" t="n">
        <v>137658</v>
      </c>
      <c r="E28" s="37" t="n">
        <v>119395</v>
      </c>
      <c r="F28" s="37" t="n">
        <v>60569</v>
      </c>
      <c r="G28" s="37" t="n">
        <v>58618</v>
      </c>
      <c r="H28" s="37" t="n">
        <v>58217</v>
      </c>
      <c r="I28" s="37" t="n">
        <v>54811</v>
      </c>
      <c r="J28" s="37" t="n">
        <v>60465</v>
      </c>
      <c r="K28" s="37" t="n">
        <v>66309</v>
      </c>
      <c r="L28" s="37" t="n">
        <v>70724</v>
      </c>
      <c r="M28" s="37" t="n">
        <v>89207</v>
      </c>
      <c r="N28" s="37" t="n">
        <v>93470</v>
      </c>
      <c r="O28" s="37" t="n">
        <v>100938</v>
      </c>
      <c r="P28" s="37" t="n">
        <v>107555</v>
      </c>
      <c r="Q28" s="200" t="n">
        <v>0.526911812561015</v>
      </c>
      <c r="R28" s="37" t="n">
        <v>26</v>
      </c>
    </row>
    <row r="29">
      <c r="B29" s="36" t="inlineStr">
        <is>
          <t>臺灣銀行</t>
        </is>
      </c>
      <c r="C29" s="37" t="n">
        <v>270589</v>
      </c>
      <c r="D29" s="37" t="n">
        <v>270000</v>
      </c>
      <c r="E29" s="37" t="n">
        <v>267236</v>
      </c>
      <c r="F29" s="37" t="n">
        <v>267312</v>
      </c>
      <c r="G29" s="37" t="n">
        <v>265441</v>
      </c>
      <c r="H29" s="37" t="n">
        <v>235839</v>
      </c>
      <c r="I29" s="37" t="n">
        <v>221929</v>
      </c>
      <c r="J29" s="37" t="n">
        <v>216781</v>
      </c>
      <c r="K29" s="37" t="n">
        <v>226228</v>
      </c>
      <c r="L29" s="37" t="n">
        <v>228441</v>
      </c>
      <c r="M29" s="37" t="n">
        <v>234851</v>
      </c>
      <c r="N29" s="37" t="n">
        <v>240357</v>
      </c>
      <c r="O29" s="37" t="n">
        <v>231344</v>
      </c>
      <c r="P29" s="37" t="n">
        <v>221158</v>
      </c>
      <c r="Q29" s="200" t="n">
        <v>0.5182448747049621</v>
      </c>
      <c r="R29" s="37" t="n">
        <v>27</v>
      </c>
    </row>
    <row r="30">
      <c r="B30" s="36" t="inlineStr">
        <is>
          <t>永豐商業銀行</t>
        </is>
      </c>
      <c r="C30" s="36" t="inlineStr">
        <is>
          <t>－</t>
        </is>
      </c>
      <c r="D30" s="36" t="inlineStr">
        <is>
          <t>－</t>
        </is>
      </c>
      <c r="E30" s="36" t="inlineStr">
        <is>
          <t>－</t>
        </is>
      </c>
      <c r="F30" s="37" t="n">
        <v>1359037</v>
      </c>
      <c r="G30" s="37" t="n">
        <v>1433176</v>
      </c>
      <c r="H30" s="37" t="n">
        <v>2178989</v>
      </c>
      <c r="I30" s="37" t="n">
        <v>2247996</v>
      </c>
      <c r="J30" s="37" t="n">
        <v>2137494</v>
      </c>
      <c r="K30" s="37" t="n">
        <v>2178171</v>
      </c>
      <c r="L30" s="37" t="n">
        <v>2144920</v>
      </c>
      <c r="M30" s="37" t="n">
        <v>1935059</v>
      </c>
      <c r="N30" s="37" t="n">
        <v>1784613</v>
      </c>
      <c r="O30" s="37" t="n">
        <v>1826196</v>
      </c>
      <c r="P30" s="37" t="n">
        <v>1986502</v>
      </c>
      <c r="Q30" s="200" t="n">
        <v>0.511408999336522</v>
      </c>
      <c r="R30" s="37" t="n">
        <v>28</v>
      </c>
    </row>
    <row r="31">
      <c r="B31" s="36" t="inlineStr">
        <is>
          <t>凱基商業銀行</t>
        </is>
      </c>
      <c r="C31" s="37" t="n">
        <v>879757</v>
      </c>
      <c r="D31" s="37" t="n">
        <v>716447</v>
      </c>
      <c r="E31" s="37" t="n">
        <v>641923</v>
      </c>
      <c r="F31" s="37" t="n">
        <v>591196</v>
      </c>
      <c r="G31" s="37" t="n">
        <v>591020</v>
      </c>
      <c r="H31" s="37" t="n">
        <v>602072</v>
      </c>
      <c r="I31" s="37" t="n">
        <v>536374</v>
      </c>
      <c r="J31" s="37" t="n">
        <v>516404</v>
      </c>
      <c r="K31" s="37" t="n">
        <v>495474</v>
      </c>
      <c r="L31" s="37" t="n">
        <v>506103</v>
      </c>
      <c r="M31" s="37" t="n">
        <v>498074</v>
      </c>
      <c r="N31" s="37" t="n">
        <v>451770</v>
      </c>
      <c r="O31" s="37" t="n">
        <v>418810</v>
      </c>
      <c r="P31" s="37" t="n">
        <v>385000</v>
      </c>
      <c r="Q31" s="200" t="n">
        <v>0.508641558441559</v>
      </c>
      <c r="R31" s="37" t="n">
        <v>29</v>
      </c>
    </row>
    <row r="32">
      <c r="B32" s="36" t="inlineStr">
        <is>
          <t>臺灣土地銀行</t>
        </is>
      </c>
      <c r="C32" s="37" t="n">
        <v>279345</v>
      </c>
      <c r="D32" s="37" t="n">
        <v>214844</v>
      </c>
      <c r="E32" s="37" t="n">
        <v>197755</v>
      </c>
      <c r="F32" s="37" t="n">
        <v>134574</v>
      </c>
      <c r="G32" s="37" t="n">
        <v>122757</v>
      </c>
      <c r="H32" s="37" t="n">
        <v>121998</v>
      </c>
      <c r="I32" s="37" t="n">
        <v>121223</v>
      </c>
      <c r="J32" s="37" t="n">
        <v>124923</v>
      </c>
      <c r="K32" s="37" t="n">
        <v>123437</v>
      </c>
      <c r="L32" s="37" t="n">
        <v>185966</v>
      </c>
      <c r="M32" s="37" t="n">
        <v>233952</v>
      </c>
      <c r="N32" s="37" t="n">
        <v>265693</v>
      </c>
      <c r="O32" s="37" t="n">
        <v>308532</v>
      </c>
      <c r="P32" s="37" t="n">
        <v>331978</v>
      </c>
      <c r="Q32" s="200" t="n">
        <v>0.505509401225383</v>
      </c>
      <c r="R32" s="37" t="n">
        <v>30</v>
      </c>
    </row>
    <row r="33">
      <c r="B33" s="36" t="inlineStr">
        <is>
          <t>安泰商業銀行</t>
        </is>
      </c>
      <c r="C33" s="37" t="n">
        <v>340635</v>
      </c>
      <c r="D33" s="37" t="n">
        <v>292040</v>
      </c>
      <c r="E33" s="37" t="n">
        <v>258550</v>
      </c>
      <c r="F33" s="37" t="n">
        <v>240885</v>
      </c>
      <c r="G33" s="37" t="n">
        <v>237171</v>
      </c>
      <c r="H33" s="37" t="n">
        <v>235664</v>
      </c>
      <c r="I33" s="37" t="n">
        <v>235290</v>
      </c>
      <c r="J33" s="37" t="n">
        <v>229602</v>
      </c>
      <c r="K33" s="37" t="n">
        <v>204476</v>
      </c>
      <c r="L33" s="37" t="n">
        <v>188328</v>
      </c>
      <c r="M33" s="37" t="n">
        <v>181469</v>
      </c>
      <c r="N33" s="37" t="n">
        <v>152325</v>
      </c>
      <c r="O33" s="37" t="n">
        <v>124624</v>
      </c>
      <c r="P33" s="37" t="n">
        <v>124493</v>
      </c>
      <c r="Q33" s="200" t="n">
        <v>0.493120095105749</v>
      </c>
      <c r="R33" s="37" t="n">
        <v>31</v>
      </c>
    </row>
    <row r="34">
      <c r="B34" s="36" t="inlineStr">
        <is>
          <t>彰化商業銀行</t>
        </is>
      </c>
      <c r="C34" s="37" t="n">
        <v>184182</v>
      </c>
      <c r="D34" s="37" t="n">
        <v>123408</v>
      </c>
      <c r="E34" s="37" t="n">
        <v>93352</v>
      </c>
      <c r="F34" s="37" t="n">
        <v>84365</v>
      </c>
      <c r="G34" s="37" t="n">
        <v>122066</v>
      </c>
      <c r="H34" s="37" t="n">
        <v>199529</v>
      </c>
      <c r="I34" s="37" t="n">
        <v>289935</v>
      </c>
      <c r="J34" s="37" t="n">
        <v>326794</v>
      </c>
      <c r="K34" s="37" t="n">
        <v>389493</v>
      </c>
      <c r="L34" s="37" t="n">
        <v>441163</v>
      </c>
      <c r="M34" s="37" t="n">
        <v>424551</v>
      </c>
      <c r="N34" s="37" t="n">
        <v>424826</v>
      </c>
      <c r="O34" s="37" t="n">
        <v>478326</v>
      </c>
      <c r="P34" s="37" t="n">
        <v>518004</v>
      </c>
      <c r="Q34" s="200" t="n">
        <v>0.485287758395688</v>
      </c>
      <c r="R34" s="37" t="n">
        <v>32</v>
      </c>
    </row>
    <row r="35">
      <c r="B35" s="36" t="inlineStr">
        <is>
          <t>高雄銀行</t>
        </is>
      </c>
      <c r="C35" s="37" t="n">
        <v>7334</v>
      </c>
      <c r="D35" s="37" t="n">
        <v>6986</v>
      </c>
      <c r="E35" s="37" t="n">
        <v>6331</v>
      </c>
      <c r="F35" s="37" t="n">
        <v>6024</v>
      </c>
      <c r="G35" s="37" t="n">
        <v>5967</v>
      </c>
      <c r="H35" s="37" t="n">
        <v>6372</v>
      </c>
      <c r="I35" s="37" t="n">
        <v>6859</v>
      </c>
      <c r="J35" s="37" t="n">
        <v>6753</v>
      </c>
      <c r="K35" s="37" t="n">
        <v>9032</v>
      </c>
      <c r="L35" s="37" t="n">
        <v>9036</v>
      </c>
      <c r="M35" s="37" t="n">
        <v>10324</v>
      </c>
      <c r="N35" s="37" t="n">
        <v>10723</v>
      </c>
      <c r="O35" s="37" t="n">
        <v>11157</v>
      </c>
      <c r="P35" s="37" t="n">
        <v>11105</v>
      </c>
      <c r="Q35" s="200" t="n">
        <v>0.372805042773525</v>
      </c>
      <c r="R35" s="37" t="n">
        <v>33</v>
      </c>
    </row>
    <row r="36">
      <c r="A36" s="36" t="inlineStr">
        <is>
          <t>有效卡數(張)</t>
        </is>
      </c>
      <c r="B36" s="36" t="inlineStr">
        <is>
          <t>總計</t>
        </is>
      </c>
      <c r="C36" s="37" t="n">
        <v>20406353</v>
      </c>
      <c r="D36" s="37" t="n">
        <v>19764978</v>
      </c>
      <c r="E36" s="37" t="n">
        <v>19455242</v>
      </c>
      <c r="F36" s="37" t="n">
        <v>18827666</v>
      </c>
      <c r="G36" s="37" t="n">
        <v>19527730</v>
      </c>
      <c r="H36" s="37" t="n">
        <v>20759561</v>
      </c>
      <c r="I36" s="37" t="n">
        <v>21497916</v>
      </c>
      <c r="J36" s="37" t="n">
        <v>22564423</v>
      </c>
      <c r="K36" s="37" t="n">
        <v>24365955</v>
      </c>
      <c r="L36" s="37" t="n">
        <v>25357316</v>
      </c>
      <c r="M36" s="37" t="n">
        <v>27023826</v>
      </c>
      <c r="N36" s="37" t="n">
        <v>28034710</v>
      </c>
      <c r="O36" s="37" t="n">
        <v>29573988</v>
      </c>
      <c r="P36" s="37" t="n">
        <v>31922289</v>
      </c>
    </row>
    <row r="37">
      <c r="B37" s="36" t="inlineStr">
        <is>
          <t>臺灣銀行</t>
        </is>
      </c>
      <c r="C37" s="37" t="n">
        <v>125592</v>
      </c>
      <c r="D37" s="37" t="n">
        <v>125543</v>
      </c>
      <c r="E37" s="37" t="n">
        <v>125765</v>
      </c>
      <c r="F37" s="37" t="n">
        <v>122836</v>
      </c>
      <c r="G37" s="37" t="n">
        <v>121385</v>
      </c>
      <c r="H37" s="37" t="n">
        <v>111748</v>
      </c>
      <c r="I37" s="37" t="n">
        <v>111441</v>
      </c>
      <c r="J37" s="37" t="n">
        <v>107808</v>
      </c>
      <c r="K37" s="37" t="n">
        <v>116586</v>
      </c>
      <c r="L37" s="37" t="n">
        <v>112316</v>
      </c>
      <c r="M37" s="37" t="n">
        <v>114969</v>
      </c>
      <c r="N37" s="37" t="n">
        <v>118689</v>
      </c>
      <c r="O37" s="37" t="n">
        <v>110228</v>
      </c>
      <c r="P37" s="37" t="n">
        <v>114614</v>
      </c>
    </row>
    <row r="38">
      <c r="B38" s="36" t="inlineStr">
        <is>
          <t>臺灣土地銀行</t>
        </is>
      </c>
      <c r="C38" s="37" t="n">
        <v>76154</v>
      </c>
      <c r="D38" s="37" t="n">
        <v>68405</v>
      </c>
      <c r="E38" s="37" t="n">
        <v>61081</v>
      </c>
      <c r="F38" s="37" t="n">
        <v>56227</v>
      </c>
      <c r="G38" s="37" t="n">
        <v>59241</v>
      </c>
      <c r="H38" s="37" t="n">
        <v>55883</v>
      </c>
      <c r="I38" s="37" t="n">
        <v>53182</v>
      </c>
      <c r="J38" s="37" t="n">
        <v>53998</v>
      </c>
      <c r="K38" s="37" t="n">
        <v>54848</v>
      </c>
      <c r="L38" s="37" t="n">
        <v>104126</v>
      </c>
      <c r="M38" s="37" t="n">
        <v>129511</v>
      </c>
      <c r="N38" s="37" t="n">
        <v>140970</v>
      </c>
      <c r="O38" s="37" t="n">
        <v>161509</v>
      </c>
      <c r="P38" s="37" t="n">
        <v>167818</v>
      </c>
    </row>
    <row r="39">
      <c r="B39" s="36" t="inlineStr">
        <is>
          <t>合作金庫銀行</t>
        </is>
      </c>
      <c r="C39" s="37" t="n">
        <v>191382</v>
      </c>
      <c r="D39" s="37" t="n">
        <v>179438</v>
      </c>
      <c r="E39" s="37" t="n">
        <v>175212</v>
      </c>
      <c r="F39" s="37" t="n">
        <v>180999</v>
      </c>
      <c r="G39" s="37" t="n">
        <v>198571</v>
      </c>
      <c r="H39" s="37" t="n">
        <v>207450</v>
      </c>
      <c r="I39" s="37" t="n">
        <v>229358</v>
      </c>
      <c r="J39" s="37" t="n">
        <v>231877</v>
      </c>
      <c r="K39" s="37" t="n">
        <v>238755</v>
      </c>
      <c r="L39" s="37" t="n">
        <v>252334</v>
      </c>
      <c r="M39" s="37" t="n">
        <v>278170</v>
      </c>
      <c r="N39" s="37" t="n">
        <v>295094</v>
      </c>
      <c r="O39" s="37" t="n">
        <v>328760</v>
      </c>
      <c r="P39" s="37" t="n">
        <v>351798</v>
      </c>
    </row>
    <row r="40">
      <c r="B40" s="36" t="inlineStr">
        <is>
          <t>第一商業銀行</t>
        </is>
      </c>
      <c r="C40" s="37" t="n">
        <v>229097</v>
      </c>
      <c r="D40" s="37" t="n">
        <v>231135</v>
      </c>
      <c r="E40" s="37" t="n">
        <v>228064</v>
      </c>
      <c r="F40" s="37" t="n">
        <v>300162</v>
      </c>
      <c r="G40" s="37" t="n">
        <v>359743</v>
      </c>
      <c r="H40" s="37" t="n">
        <v>392990</v>
      </c>
      <c r="I40" s="37" t="n">
        <v>439206</v>
      </c>
      <c r="J40" s="37" t="n">
        <v>486414</v>
      </c>
      <c r="K40" s="37" t="n">
        <v>546720</v>
      </c>
      <c r="L40" s="37" t="n">
        <v>603248</v>
      </c>
      <c r="M40" s="37" t="n">
        <v>640575</v>
      </c>
      <c r="N40" s="37" t="n">
        <v>654065</v>
      </c>
      <c r="O40" s="37" t="n">
        <v>715657</v>
      </c>
      <c r="P40" s="37" t="n">
        <v>748749</v>
      </c>
    </row>
    <row r="41">
      <c r="B41" s="36" t="inlineStr">
        <is>
          <t>華南商業銀行</t>
        </is>
      </c>
      <c r="C41" s="37" t="n">
        <v>282995</v>
      </c>
      <c r="D41" s="37" t="n">
        <v>205849</v>
      </c>
      <c r="E41" s="37" t="n">
        <v>197228</v>
      </c>
      <c r="F41" s="37" t="n">
        <v>193791</v>
      </c>
      <c r="G41" s="37" t="n">
        <v>290845</v>
      </c>
      <c r="H41" s="37" t="n">
        <v>318500</v>
      </c>
      <c r="I41" s="37" t="n">
        <v>349430</v>
      </c>
      <c r="J41" s="37" t="n">
        <v>395031</v>
      </c>
      <c r="K41" s="37" t="n">
        <v>514578</v>
      </c>
      <c r="L41" s="37" t="n">
        <v>584547</v>
      </c>
      <c r="M41" s="37" t="n">
        <v>679902</v>
      </c>
      <c r="N41" s="37" t="n">
        <v>791494</v>
      </c>
      <c r="O41" s="37" t="n">
        <v>801778</v>
      </c>
      <c r="P41" s="37" t="n">
        <v>794459</v>
      </c>
    </row>
    <row r="42">
      <c r="B42" s="36" t="inlineStr">
        <is>
          <t>彰化商業銀行</t>
        </is>
      </c>
      <c r="C42" s="37" t="n">
        <v>69601</v>
      </c>
      <c r="D42" s="37" t="n">
        <v>60975</v>
      </c>
      <c r="E42" s="37" t="n">
        <v>55205</v>
      </c>
      <c r="F42" s="37" t="n">
        <v>52570</v>
      </c>
      <c r="G42" s="37" t="n">
        <v>86619</v>
      </c>
      <c r="H42" s="37" t="n">
        <v>139969</v>
      </c>
      <c r="I42" s="37" t="n">
        <v>184549</v>
      </c>
      <c r="J42" s="37" t="n">
        <v>182902</v>
      </c>
      <c r="K42" s="37" t="n">
        <v>208537</v>
      </c>
      <c r="L42" s="37" t="n">
        <v>219270</v>
      </c>
      <c r="M42" s="37" t="n">
        <v>207437</v>
      </c>
      <c r="N42" s="37" t="n">
        <v>200027</v>
      </c>
      <c r="O42" s="37" t="n">
        <v>231433</v>
      </c>
      <c r="P42" s="37" t="n">
        <v>251381</v>
      </c>
    </row>
    <row r="43">
      <c r="B43" s="36" t="inlineStr">
        <is>
          <t>上海商業儲蓄銀行</t>
        </is>
      </c>
      <c r="C43" s="37" t="n">
        <v>231937</v>
      </c>
      <c r="D43" s="37" t="n">
        <v>208897</v>
      </c>
      <c r="E43" s="37" t="n">
        <v>195051</v>
      </c>
      <c r="F43" s="37" t="n">
        <v>215440</v>
      </c>
      <c r="G43" s="37" t="n">
        <v>215153</v>
      </c>
      <c r="H43" s="37" t="n">
        <v>221062</v>
      </c>
      <c r="I43" s="37" t="n">
        <v>228774</v>
      </c>
      <c r="J43" s="37" t="n">
        <v>216955</v>
      </c>
      <c r="K43" s="37" t="n">
        <v>200192</v>
      </c>
      <c r="L43" s="37" t="n">
        <v>188458</v>
      </c>
      <c r="M43" s="37" t="n">
        <v>177568</v>
      </c>
      <c r="N43" s="37" t="n">
        <v>183818</v>
      </c>
      <c r="O43" s="37" t="n">
        <v>189913</v>
      </c>
      <c r="P43" s="37" t="n">
        <v>237678</v>
      </c>
    </row>
    <row r="44">
      <c r="B44" s="36" t="inlineStr">
        <is>
          <t>台北富邦銀行</t>
        </is>
      </c>
      <c r="C44" s="37" t="n">
        <v>1570934</v>
      </c>
      <c r="D44" s="37" t="n">
        <v>1571312</v>
      </c>
      <c r="E44" s="37" t="n">
        <v>1461751</v>
      </c>
      <c r="F44" s="37" t="n">
        <v>1421374</v>
      </c>
      <c r="G44" s="37" t="n">
        <v>1578521</v>
      </c>
      <c r="H44" s="37" t="n">
        <v>1431196</v>
      </c>
      <c r="I44" s="37" t="n">
        <v>1437501</v>
      </c>
      <c r="J44" s="37" t="n">
        <v>1545651</v>
      </c>
      <c r="K44" s="37" t="n">
        <v>1612886</v>
      </c>
      <c r="L44" s="37" t="n">
        <v>1628623</v>
      </c>
      <c r="M44" s="37" t="n">
        <v>1745168</v>
      </c>
      <c r="N44" s="37" t="n">
        <v>1742111</v>
      </c>
      <c r="O44" s="37" t="n">
        <v>1779209</v>
      </c>
      <c r="P44" s="37" t="n">
        <v>2102023</v>
      </c>
    </row>
    <row r="45">
      <c r="B45" s="36" t="inlineStr">
        <is>
          <t>國泰世華商業銀行</t>
        </is>
      </c>
      <c r="C45" s="37" t="n">
        <v>1918421</v>
      </c>
      <c r="D45" s="37" t="n">
        <v>2013898</v>
      </c>
      <c r="E45" s="37" t="n">
        <v>2000323</v>
      </c>
      <c r="F45" s="37" t="n">
        <v>1914136</v>
      </c>
      <c r="G45" s="37" t="n">
        <v>2055552</v>
      </c>
      <c r="H45" s="37" t="n">
        <v>2250354</v>
      </c>
      <c r="I45" s="37" t="n">
        <v>2391378</v>
      </c>
      <c r="J45" s="37" t="n">
        <v>2942089</v>
      </c>
      <c r="K45" s="37" t="n">
        <v>3366147</v>
      </c>
      <c r="L45" s="37" t="n">
        <v>3625066</v>
      </c>
      <c r="M45" s="37" t="n">
        <v>4170575</v>
      </c>
      <c r="N45" s="37" t="n">
        <v>4356648</v>
      </c>
      <c r="O45" s="37" t="n">
        <v>4666053</v>
      </c>
      <c r="P45" s="37" t="n">
        <v>4974594</v>
      </c>
    </row>
    <row r="46">
      <c r="B46" s="36" t="inlineStr">
        <is>
          <t>高雄銀行</t>
        </is>
      </c>
      <c r="C46" s="37" t="n">
        <v>5945</v>
      </c>
      <c r="D46" s="37" t="n">
        <v>3475</v>
      </c>
      <c r="E46" s="37" t="n">
        <v>3270</v>
      </c>
      <c r="F46" s="37" t="n">
        <v>3068</v>
      </c>
      <c r="G46" s="37" t="n">
        <v>3003</v>
      </c>
      <c r="H46" s="37" t="n">
        <v>3152</v>
      </c>
      <c r="I46" s="37" t="n">
        <v>3525</v>
      </c>
      <c r="J46" s="37" t="n">
        <v>3104</v>
      </c>
      <c r="K46" s="37" t="n">
        <v>4839</v>
      </c>
      <c r="L46" s="37" t="n">
        <v>3934</v>
      </c>
      <c r="M46" s="37" t="n">
        <v>4601</v>
      </c>
      <c r="N46" s="37" t="n">
        <v>4533</v>
      </c>
      <c r="O46" s="37" t="n">
        <v>4476</v>
      </c>
      <c r="P46" s="37" t="n">
        <v>4140</v>
      </c>
    </row>
    <row r="47">
      <c r="B47" s="36" t="inlineStr">
        <is>
          <t>兆豐國際商業銀行</t>
        </is>
      </c>
      <c r="C47" s="37" t="n">
        <v>342917</v>
      </c>
      <c r="D47" s="37" t="n">
        <v>318363</v>
      </c>
      <c r="E47" s="37" t="n">
        <v>307717</v>
      </c>
      <c r="F47" s="37" t="n">
        <v>311929</v>
      </c>
      <c r="G47" s="37" t="n">
        <v>342696</v>
      </c>
      <c r="H47" s="37" t="n">
        <v>361299</v>
      </c>
      <c r="I47" s="37" t="n">
        <v>339198</v>
      </c>
      <c r="J47" s="37" t="n">
        <v>354142</v>
      </c>
      <c r="K47" s="37" t="n">
        <v>388042</v>
      </c>
      <c r="L47" s="37" t="n">
        <v>401174</v>
      </c>
      <c r="M47" s="37" t="n">
        <v>416322</v>
      </c>
      <c r="N47" s="37" t="n">
        <v>452664</v>
      </c>
      <c r="O47" s="37" t="n">
        <v>488975</v>
      </c>
      <c r="P47" s="37" t="n">
        <v>579700</v>
      </c>
    </row>
    <row r="48">
      <c r="B48" s="36" t="inlineStr">
        <is>
          <t>花旗(臺灣)商業銀行</t>
        </is>
      </c>
      <c r="C48" s="37" t="n">
        <v>324551</v>
      </c>
      <c r="D48" s="37" t="n">
        <v>305111</v>
      </c>
      <c r="E48" s="37" t="n">
        <v>257750</v>
      </c>
      <c r="F48" s="37" t="n">
        <v>1852826</v>
      </c>
      <c r="G48" s="37" t="n">
        <v>1967871</v>
      </c>
      <c r="H48" s="37" t="n">
        <v>2100104</v>
      </c>
      <c r="I48" s="37" t="n">
        <v>2271777</v>
      </c>
      <c r="J48" s="37" t="n">
        <v>2402793</v>
      </c>
      <c r="K48" s="37" t="n">
        <v>2490900</v>
      </c>
      <c r="L48" s="37" t="n">
        <v>2482087</v>
      </c>
      <c r="M48" s="37" t="n">
        <v>2445067</v>
      </c>
      <c r="N48" s="37" t="n">
        <v>2467008</v>
      </c>
      <c r="O48" s="37" t="n">
        <v>2429395</v>
      </c>
      <c r="P48" s="37" t="n">
        <v>2317987</v>
      </c>
    </row>
    <row r="49">
      <c r="B49" s="36" t="inlineStr">
        <is>
          <t>臺灣中小企業銀行</t>
        </is>
      </c>
      <c r="C49" s="37" t="n">
        <v>120808</v>
      </c>
      <c r="D49" s="37" t="n">
        <v>112078</v>
      </c>
      <c r="E49" s="37" t="n">
        <v>109992</v>
      </c>
      <c r="F49" s="37" t="n">
        <v>105214</v>
      </c>
      <c r="G49" s="37" t="n">
        <v>103278</v>
      </c>
      <c r="H49" s="37" t="n">
        <v>107525</v>
      </c>
      <c r="I49" s="37" t="n">
        <v>143135</v>
      </c>
      <c r="J49" s="37" t="n">
        <v>141099</v>
      </c>
      <c r="K49" s="37" t="n">
        <v>136434</v>
      </c>
      <c r="L49" s="37" t="n">
        <v>133620</v>
      </c>
      <c r="M49" s="37" t="n">
        <v>125384</v>
      </c>
      <c r="N49" s="37" t="n">
        <v>127305</v>
      </c>
      <c r="O49" s="37" t="n">
        <v>126651</v>
      </c>
      <c r="P49" s="37" t="n">
        <v>118971</v>
      </c>
    </row>
    <row r="50">
      <c r="B50" s="36" t="inlineStr">
        <is>
          <t>渣打國際商業銀行</t>
        </is>
      </c>
      <c r="C50" s="37" t="n">
        <v>225665</v>
      </c>
      <c r="D50" s="37" t="n">
        <v>291706</v>
      </c>
      <c r="E50" s="37" t="n">
        <v>244532</v>
      </c>
      <c r="F50" s="37" t="n">
        <v>211773</v>
      </c>
      <c r="G50" s="37" t="n">
        <v>199722</v>
      </c>
      <c r="H50" s="37" t="n">
        <v>200696</v>
      </c>
      <c r="I50" s="37" t="n">
        <v>223427</v>
      </c>
      <c r="J50" s="37" t="n">
        <v>256644</v>
      </c>
      <c r="K50" s="37" t="n">
        <v>271035</v>
      </c>
      <c r="L50" s="37" t="n">
        <v>235945</v>
      </c>
      <c r="M50" s="37" t="n">
        <v>212512</v>
      </c>
      <c r="N50" s="37" t="n">
        <v>200737</v>
      </c>
      <c r="O50" s="37" t="n">
        <v>239514</v>
      </c>
      <c r="P50" s="37" t="n">
        <v>264977</v>
      </c>
    </row>
    <row r="51">
      <c r="B51" s="36" t="inlineStr">
        <is>
          <t>台中商業銀行</t>
        </is>
      </c>
      <c r="C51" s="37" t="n">
        <v>40900</v>
      </c>
      <c r="D51" s="37" t="n">
        <v>27000</v>
      </c>
      <c r="E51" s="37" t="n">
        <v>22873</v>
      </c>
      <c r="F51" s="37" t="n">
        <v>30794</v>
      </c>
      <c r="G51" s="37" t="n">
        <v>32623</v>
      </c>
      <c r="H51" s="37" t="n">
        <v>40186</v>
      </c>
      <c r="I51" s="37" t="n">
        <v>51636</v>
      </c>
      <c r="J51" s="37" t="n">
        <v>54212</v>
      </c>
      <c r="K51" s="37" t="n">
        <v>58884</v>
      </c>
      <c r="L51" s="37" t="n">
        <v>80442</v>
      </c>
      <c r="M51" s="37" t="n">
        <v>79552</v>
      </c>
      <c r="N51" s="37" t="n">
        <v>85414</v>
      </c>
      <c r="O51" s="37" t="n">
        <v>80193</v>
      </c>
      <c r="P51" s="37" t="n">
        <v>82292</v>
      </c>
    </row>
    <row r="52">
      <c r="B52" s="36" t="inlineStr">
        <is>
          <t>匯豐(台灣)商業銀行</t>
        </is>
      </c>
      <c r="C52" s="36" t="inlineStr">
        <is>
          <t>－</t>
        </is>
      </c>
      <c r="D52" s="36" t="inlineStr">
        <is>
          <t>－</t>
        </is>
      </c>
      <c r="E52" s="36" t="inlineStr">
        <is>
          <t>－</t>
        </is>
      </c>
      <c r="F52" s="36" t="inlineStr">
        <is>
          <t>－</t>
        </is>
      </c>
      <c r="G52" s="37" t="n">
        <v>430650</v>
      </c>
      <c r="H52" s="37" t="n">
        <v>469457</v>
      </c>
      <c r="I52" s="37" t="n">
        <v>486851</v>
      </c>
      <c r="J52" s="37" t="n">
        <v>465643</v>
      </c>
      <c r="K52" s="37" t="n">
        <v>440160</v>
      </c>
      <c r="L52" s="37" t="n">
        <v>438284</v>
      </c>
      <c r="M52" s="37" t="n">
        <v>405949</v>
      </c>
      <c r="N52" s="37" t="n">
        <v>409953</v>
      </c>
      <c r="O52" s="37" t="n">
        <v>431532</v>
      </c>
      <c r="P52" s="37" t="n">
        <v>447158</v>
      </c>
    </row>
    <row r="53">
      <c r="B53" s="36" t="inlineStr">
        <is>
          <t>華泰商業銀行</t>
        </is>
      </c>
      <c r="C53" s="37" t="n">
        <v>7836</v>
      </c>
      <c r="D53" s="37" t="n">
        <v>8042</v>
      </c>
      <c r="E53" s="37" t="n">
        <v>8312</v>
      </c>
      <c r="F53" s="37" t="n">
        <v>7973</v>
      </c>
      <c r="G53" s="37" t="n">
        <v>7681</v>
      </c>
      <c r="H53" s="37" t="n">
        <v>7732</v>
      </c>
      <c r="I53" s="37" t="n">
        <v>7378</v>
      </c>
      <c r="J53" s="37" t="n">
        <v>7101</v>
      </c>
      <c r="K53" s="37" t="n">
        <v>6684</v>
      </c>
      <c r="L53" s="37" t="n">
        <v>6386</v>
      </c>
      <c r="M53" s="37" t="n">
        <v>6065</v>
      </c>
      <c r="N53" s="37" t="n">
        <v>5956</v>
      </c>
      <c r="O53" s="37" t="n">
        <v>5455</v>
      </c>
      <c r="P53" s="37" t="n">
        <v>5236</v>
      </c>
    </row>
    <row r="54">
      <c r="B54" s="36" t="inlineStr">
        <is>
          <t>臺灣新光商業銀行</t>
        </is>
      </c>
      <c r="C54" s="37" t="n">
        <v>466283</v>
      </c>
      <c r="D54" s="37" t="n">
        <v>445458</v>
      </c>
      <c r="E54" s="37" t="n">
        <v>411522</v>
      </c>
      <c r="F54" s="37" t="n">
        <v>405288</v>
      </c>
      <c r="G54" s="37" t="n">
        <v>388573</v>
      </c>
      <c r="H54" s="37" t="n">
        <v>415117</v>
      </c>
      <c r="I54" s="37" t="n">
        <v>422049</v>
      </c>
      <c r="J54" s="37" t="n">
        <v>455407</v>
      </c>
      <c r="K54" s="37" t="n">
        <v>451622</v>
      </c>
      <c r="L54" s="37" t="n">
        <v>464420</v>
      </c>
      <c r="M54" s="37" t="n">
        <v>483351</v>
      </c>
      <c r="N54" s="37" t="n">
        <v>480062</v>
      </c>
      <c r="O54" s="37" t="n">
        <v>482598</v>
      </c>
      <c r="P54" s="37" t="n">
        <v>503608</v>
      </c>
    </row>
    <row r="55">
      <c r="B55" s="36" t="inlineStr">
        <is>
          <t>陽信商業銀行</t>
        </is>
      </c>
      <c r="C55" s="37" t="n">
        <v>72505</v>
      </c>
      <c r="D55" s="37" t="n">
        <v>62730</v>
      </c>
      <c r="E55" s="37" t="n">
        <v>56183</v>
      </c>
      <c r="F55" s="37" t="n">
        <v>28877</v>
      </c>
      <c r="G55" s="37" t="n">
        <v>28589</v>
      </c>
      <c r="H55" s="37" t="n">
        <v>29426</v>
      </c>
      <c r="I55" s="37" t="n">
        <v>31702</v>
      </c>
      <c r="J55" s="37" t="n">
        <v>34781</v>
      </c>
      <c r="K55" s="37" t="n">
        <v>37594</v>
      </c>
      <c r="L55" s="37" t="n">
        <v>38212</v>
      </c>
      <c r="M55" s="37" t="n">
        <v>50260</v>
      </c>
      <c r="N55" s="37" t="n">
        <v>49803</v>
      </c>
      <c r="O55" s="37" t="n">
        <v>52202</v>
      </c>
      <c r="P55" s="37" t="n">
        <v>56672</v>
      </c>
    </row>
    <row r="56">
      <c r="B56" s="36" t="inlineStr">
        <is>
          <t>三信商業銀行</t>
        </is>
      </c>
      <c r="C56" s="37" t="n">
        <v>28275</v>
      </c>
      <c r="D56" s="37" t="n">
        <v>31649</v>
      </c>
      <c r="E56" s="37" t="n">
        <v>19419</v>
      </c>
      <c r="F56" s="37" t="n">
        <v>16240</v>
      </c>
      <c r="G56" s="37" t="n">
        <v>10615</v>
      </c>
      <c r="H56" s="37" t="n">
        <v>9571</v>
      </c>
      <c r="I56" s="37" t="n">
        <v>10372</v>
      </c>
      <c r="J56" s="37" t="n">
        <v>11008</v>
      </c>
      <c r="K56" s="37" t="n">
        <v>10957</v>
      </c>
      <c r="L56" s="37" t="n">
        <v>11220</v>
      </c>
      <c r="M56" s="37" t="n">
        <v>11029</v>
      </c>
      <c r="N56" s="37" t="n">
        <v>10751</v>
      </c>
      <c r="O56" s="37" t="n">
        <v>10154</v>
      </c>
      <c r="P56" s="37" t="n">
        <v>10501</v>
      </c>
    </row>
    <row r="57">
      <c r="B57" s="36" t="inlineStr">
        <is>
          <t>聯邦商業銀行</t>
        </is>
      </c>
      <c r="C57" s="37" t="n">
        <v>1268849</v>
      </c>
      <c r="D57" s="37" t="n">
        <v>1231184</v>
      </c>
      <c r="E57" s="37" t="n">
        <v>1178477</v>
      </c>
      <c r="F57" s="37" t="n">
        <v>1078194</v>
      </c>
      <c r="G57" s="37" t="n">
        <v>974536</v>
      </c>
      <c r="H57" s="37" t="n">
        <v>981561</v>
      </c>
      <c r="I57" s="37" t="n">
        <v>791746</v>
      </c>
      <c r="J57" s="37" t="n">
        <v>787833</v>
      </c>
      <c r="K57" s="37" t="n">
        <v>789016</v>
      </c>
      <c r="L57" s="37" t="n">
        <v>812939</v>
      </c>
      <c r="M57" s="37" t="n">
        <v>1083892</v>
      </c>
      <c r="N57" s="37" t="n">
        <v>1152629</v>
      </c>
      <c r="O57" s="37" t="n">
        <v>1174896</v>
      </c>
      <c r="P57" s="37" t="n">
        <v>1266940</v>
      </c>
    </row>
    <row r="58">
      <c r="B58" s="36" t="inlineStr">
        <is>
          <t>遠東國際商業銀行</t>
        </is>
      </c>
      <c r="C58" s="37" t="n">
        <v>382463</v>
      </c>
      <c r="D58" s="37" t="n">
        <v>550988</v>
      </c>
      <c r="E58" s="37" t="n">
        <v>623455</v>
      </c>
      <c r="F58" s="37" t="n">
        <v>739063</v>
      </c>
      <c r="G58" s="37" t="n">
        <v>727843</v>
      </c>
      <c r="H58" s="37" t="n">
        <v>788445</v>
      </c>
      <c r="I58" s="37" t="n">
        <v>893346</v>
      </c>
      <c r="J58" s="37" t="n">
        <v>952952</v>
      </c>
      <c r="K58" s="37" t="n">
        <v>1008679</v>
      </c>
      <c r="L58" s="37" t="n">
        <v>1023468</v>
      </c>
      <c r="M58" s="37" t="n">
        <v>1095414</v>
      </c>
      <c r="N58" s="37" t="n">
        <v>980455</v>
      </c>
      <c r="O58" s="37" t="n">
        <v>1017995</v>
      </c>
      <c r="P58" s="37" t="n">
        <v>1052137</v>
      </c>
    </row>
    <row r="59">
      <c r="B59" s="36" t="inlineStr">
        <is>
          <t>元大商業銀行</t>
        </is>
      </c>
      <c r="C59" s="37" t="n">
        <v>101999</v>
      </c>
      <c r="D59" s="37" t="n">
        <v>125689</v>
      </c>
      <c r="E59" s="37" t="n">
        <v>134274</v>
      </c>
      <c r="F59" s="37" t="n">
        <v>132075</v>
      </c>
      <c r="G59" s="37" t="n">
        <v>125157</v>
      </c>
      <c r="H59" s="37" t="n">
        <v>106972</v>
      </c>
      <c r="I59" s="37" t="n">
        <v>93863</v>
      </c>
      <c r="J59" s="37" t="n">
        <v>90694</v>
      </c>
      <c r="K59" s="37" t="n">
        <v>146943</v>
      </c>
      <c r="L59" s="37" t="n">
        <v>247819</v>
      </c>
      <c r="M59" s="37" t="n">
        <v>370293</v>
      </c>
      <c r="N59" s="37" t="n">
        <v>459608</v>
      </c>
      <c r="O59" s="37" t="n">
        <v>764864</v>
      </c>
      <c r="P59" s="37" t="n">
        <v>692028</v>
      </c>
    </row>
    <row r="60">
      <c r="B60" s="36" t="inlineStr">
        <is>
          <t>永豐商業銀行</t>
        </is>
      </c>
      <c r="C60" s="36" t="inlineStr">
        <is>
          <t>－</t>
        </is>
      </c>
      <c r="D60" s="36" t="inlineStr">
        <is>
          <t>－</t>
        </is>
      </c>
      <c r="E60" s="36" t="inlineStr">
        <is>
          <t>－</t>
        </is>
      </c>
      <c r="F60" s="37" t="n">
        <v>894138</v>
      </c>
      <c r="G60" s="37" t="n">
        <v>886540</v>
      </c>
      <c r="H60" s="37" t="n">
        <v>1344938</v>
      </c>
      <c r="I60" s="37" t="n">
        <v>1323974</v>
      </c>
      <c r="J60" s="37" t="n">
        <v>1308048</v>
      </c>
      <c r="K60" s="37" t="n">
        <v>1325493</v>
      </c>
      <c r="L60" s="37" t="n">
        <v>1323940</v>
      </c>
      <c r="M60" s="37" t="n">
        <v>1273076</v>
      </c>
      <c r="N60" s="37" t="n">
        <v>1030411</v>
      </c>
      <c r="O60" s="37" t="n">
        <v>1015669</v>
      </c>
      <c r="P60" s="37" t="n">
        <v>1015915</v>
      </c>
    </row>
    <row r="61">
      <c r="B61" s="36" t="inlineStr">
        <is>
          <t>玉山商業銀行</t>
        </is>
      </c>
      <c r="C61" s="37" t="n">
        <v>1353647</v>
      </c>
      <c r="D61" s="37" t="n">
        <v>1382314</v>
      </c>
      <c r="E61" s="37" t="n">
        <v>1531266</v>
      </c>
      <c r="F61" s="37" t="n">
        <v>1554341</v>
      </c>
      <c r="G61" s="37" t="n">
        <v>1638228</v>
      </c>
      <c r="H61" s="37" t="n">
        <v>1772391</v>
      </c>
      <c r="I61" s="37" t="n">
        <v>2106291</v>
      </c>
      <c r="J61" s="37" t="n">
        <v>2350835</v>
      </c>
      <c r="K61" s="37" t="n">
        <v>2540538</v>
      </c>
      <c r="L61" s="37" t="n">
        <v>2770051</v>
      </c>
      <c r="M61" s="37" t="n">
        <v>2990512</v>
      </c>
      <c r="N61" s="37" t="n">
        <v>3218922</v>
      </c>
      <c r="O61" s="37" t="n">
        <v>3403851</v>
      </c>
      <c r="P61" s="37" t="n">
        <v>4173821</v>
      </c>
    </row>
    <row r="62">
      <c r="B62" s="36" t="inlineStr">
        <is>
          <t>凱基商業銀行</t>
        </is>
      </c>
      <c r="C62" s="37" t="n">
        <v>351405</v>
      </c>
      <c r="D62" s="37" t="n">
        <v>287949</v>
      </c>
      <c r="E62" s="37" t="n">
        <v>281380</v>
      </c>
      <c r="F62" s="37" t="n">
        <v>255720</v>
      </c>
      <c r="G62" s="37" t="n">
        <v>249424</v>
      </c>
      <c r="H62" s="37" t="n">
        <v>243199</v>
      </c>
      <c r="I62" s="37" t="n">
        <v>218677</v>
      </c>
      <c r="J62" s="37" t="n">
        <v>206425</v>
      </c>
      <c r="K62" s="37" t="n">
        <v>194452</v>
      </c>
      <c r="L62" s="37" t="n">
        <v>210520</v>
      </c>
      <c r="M62" s="37" t="n">
        <v>198100</v>
      </c>
      <c r="N62" s="37" t="n">
        <v>192402</v>
      </c>
      <c r="O62" s="37" t="n">
        <v>193141</v>
      </c>
      <c r="P62" s="37" t="n">
        <v>195827</v>
      </c>
    </row>
    <row r="63">
      <c r="B63" s="36" t="inlineStr">
        <is>
          <t>星展(台灣)商業銀行</t>
        </is>
      </c>
      <c r="C63" s="36" t="inlineStr">
        <is>
          <t>－</t>
        </is>
      </c>
      <c r="D63" s="36" t="inlineStr">
        <is>
          <t>－</t>
        </is>
      </c>
      <c r="E63" s="36" t="inlineStr">
        <is>
          <t>－</t>
        </is>
      </c>
      <c r="F63" s="36" t="inlineStr">
        <is>
          <t>－</t>
        </is>
      </c>
      <c r="G63" s="36" t="inlineStr">
        <is>
          <t>－</t>
        </is>
      </c>
      <c r="H63" s="36" t="inlineStr">
        <is>
          <t>－</t>
        </is>
      </c>
      <c r="I63" s="37" t="n">
        <v>4486</v>
      </c>
      <c r="J63" s="37" t="n">
        <v>6961</v>
      </c>
      <c r="K63" s="37" t="n">
        <v>6638</v>
      </c>
      <c r="L63" s="37" t="n">
        <v>6263</v>
      </c>
      <c r="M63" s="37" t="n">
        <v>5765</v>
      </c>
      <c r="N63" s="37" t="n">
        <v>321791</v>
      </c>
      <c r="O63" s="37" t="n">
        <v>314502</v>
      </c>
      <c r="P63" s="37" t="n">
        <v>325753</v>
      </c>
    </row>
    <row r="64">
      <c r="B64" s="36" t="inlineStr">
        <is>
          <t>台新國際商業銀行</t>
        </is>
      </c>
      <c r="C64" s="37" t="n">
        <v>2026778</v>
      </c>
      <c r="D64" s="37" t="n">
        <v>1772328</v>
      </c>
      <c r="E64" s="37" t="n">
        <v>1670689</v>
      </c>
      <c r="F64" s="37" t="n">
        <v>1560270</v>
      </c>
      <c r="G64" s="37" t="n">
        <v>1819643</v>
      </c>
      <c r="H64" s="37" t="n">
        <v>1904510</v>
      </c>
      <c r="I64" s="37" t="n">
        <v>2000967</v>
      </c>
      <c r="J64" s="37" t="n">
        <v>2162241</v>
      </c>
      <c r="K64" s="37" t="n">
        <v>2402513</v>
      </c>
      <c r="L64" s="37" t="n">
        <v>2464211</v>
      </c>
      <c r="M64" s="37" t="n">
        <v>2640499</v>
      </c>
      <c r="N64" s="37" t="n">
        <v>2920177</v>
      </c>
      <c r="O64" s="37" t="n">
        <v>3261631</v>
      </c>
      <c r="P64" s="37" t="n">
        <v>3794049</v>
      </c>
    </row>
    <row r="65">
      <c r="B65" s="36" t="inlineStr">
        <is>
          <t>日盛國際商業銀行</t>
        </is>
      </c>
      <c r="C65" s="37" t="n">
        <v>326720</v>
      </c>
      <c r="D65" s="37" t="n">
        <v>201561</v>
      </c>
      <c r="E65" s="37" t="n">
        <v>198888</v>
      </c>
      <c r="F65" s="37" t="n">
        <v>187145</v>
      </c>
      <c r="G65" s="37" t="n">
        <v>173263</v>
      </c>
      <c r="H65" s="37" t="n">
        <v>133384</v>
      </c>
      <c r="I65" s="37" t="n">
        <v>114527</v>
      </c>
      <c r="J65" s="37" t="n">
        <v>116116</v>
      </c>
      <c r="K65" s="37" t="n">
        <v>108546</v>
      </c>
      <c r="L65" s="37" t="n">
        <v>101927</v>
      </c>
      <c r="M65" s="37" t="n">
        <v>99902</v>
      </c>
      <c r="N65" s="37" t="n">
        <v>100667</v>
      </c>
      <c r="O65" s="37" t="n">
        <v>101722</v>
      </c>
      <c r="P65" s="37" t="n">
        <v>98213</v>
      </c>
    </row>
    <row r="66">
      <c r="B66" s="36" t="inlineStr">
        <is>
          <t>安泰商業銀行</t>
        </is>
      </c>
      <c r="C66" s="37" t="n">
        <v>103733</v>
      </c>
      <c r="D66" s="37" t="n">
        <v>90638</v>
      </c>
      <c r="E66" s="37" t="n">
        <v>74782</v>
      </c>
      <c r="F66" s="37" t="n">
        <v>70959</v>
      </c>
      <c r="G66" s="37" t="n">
        <v>71101</v>
      </c>
      <c r="H66" s="37" t="n">
        <v>69964</v>
      </c>
      <c r="I66" s="37" t="n">
        <v>73464</v>
      </c>
      <c r="J66" s="37" t="n">
        <v>73008</v>
      </c>
      <c r="K66" s="37" t="n">
        <v>71152</v>
      </c>
      <c r="L66" s="37" t="n">
        <v>72135</v>
      </c>
      <c r="M66" s="37" t="n">
        <v>69831</v>
      </c>
      <c r="N66" s="37" t="n">
        <v>67020</v>
      </c>
      <c r="O66" s="37" t="n">
        <v>64149</v>
      </c>
      <c r="P66" s="37" t="n">
        <v>61390</v>
      </c>
    </row>
    <row r="67">
      <c r="B67" s="36" t="inlineStr">
        <is>
          <t>中國信託商業銀行</t>
        </is>
      </c>
      <c r="C67" s="37" t="n">
        <v>3844878</v>
      </c>
      <c r="D67" s="37" t="n">
        <v>3834246</v>
      </c>
      <c r="E67" s="37" t="n">
        <v>3538766</v>
      </c>
      <c r="F67" s="37" t="n">
        <v>3411468</v>
      </c>
      <c r="G67" s="37" t="n">
        <v>3525062</v>
      </c>
      <c r="H67" s="37" t="n">
        <v>3679229</v>
      </c>
      <c r="I67" s="37" t="n">
        <v>3610775</v>
      </c>
      <c r="J67" s="37" t="n">
        <v>3296334</v>
      </c>
      <c r="K67" s="37" t="n">
        <v>3734067</v>
      </c>
      <c r="L67" s="37" t="n">
        <v>3837764</v>
      </c>
      <c r="M67" s="37" t="n">
        <v>3853818</v>
      </c>
      <c r="N67" s="37" t="n">
        <v>4106622</v>
      </c>
      <c r="O67" s="37" t="n">
        <v>4476559</v>
      </c>
      <c r="P67" s="37" t="n">
        <v>4669805</v>
      </c>
    </row>
    <row r="68">
      <c r="B68" s="36" t="inlineStr">
        <is>
          <t>台灣樂天信用卡股份有限公司</t>
        </is>
      </c>
      <c r="C68" s="36" t="inlineStr">
        <is>
          <t>－</t>
        </is>
      </c>
      <c r="D68" s="36" t="inlineStr">
        <is>
          <t>－</t>
        </is>
      </c>
      <c r="E68" s="36" t="inlineStr">
        <is>
          <t>－</t>
        </is>
      </c>
      <c r="F68" s="36" t="inlineStr">
        <is>
          <t>－</t>
        </is>
      </c>
      <c r="G68" s="36" t="inlineStr">
        <is>
          <t>－</t>
        </is>
      </c>
      <c r="H68" s="36" t="inlineStr">
        <is>
          <t>－</t>
        </is>
      </c>
      <c r="I68" s="36" t="inlineStr">
        <is>
          <t>－</t>
        </is>
      </c>
      <c r="J68" s="36" t="inlineStr">
        <is>
          <t>－</t>
        </is>
      </c>
      <c r="K68" s="37" t="n">
        <v>35</v>
      </c>
      <c r="L68" s="37" t="n">
        <v>59552</v>
      </c>
      <c r="M68" s="37" t="n">
        <v>153990</v>
      </c>
      <c r="N68" s="37" t="n">
        <v>251744</v>
      </c>
      <c r="O68" s="37" t="n">
        <v>306495</v>
      </c>
      <c r="P68" s="37" t="n">
        <v>320803</v>
      </c>
    </row>
    <row r="69">
      <c r="B69" s="36" t="inlineStr">
        <is>
          <t>台灣美國運通國際(股)公司</t>
        </is>
      </c>
      <c r="C69" s="37" t="n">
        <v>106933</v>
      </c>
      <c r="D69" s="37" t="n">
        <v>88737</v>
      </c>
      <c r="E69" s="37" t="n">
        <v>80504</v>
      </c>
      <c r="F69" s="37" t="n">
        <v>71564</v>
      </c>
      <c r="G69" s="37" t="n">
        <v>75129</v>
      </c>
      <c r="H69" s="37" t="n">
        <v>79693</v>
      </c>
      <c r="I69" s="37" t="n">
        <v>84279</v>
      </c>
      <c r="J69" s="37" t="n">
        <v>90279</v>
      </c>
      <c r="K69" s="37" t="n">
        <v>89720</v>
      </c>
      <c r="L69" s="37" t="n">
        <v>88763</v>
      </c>
      <c r="M69" s="37" t="n">
        <v>113332</v>
      </c>
      <c r="N69" s="37" t="n">
        <v>111319</v>
      </c>
      <c r="O69" s="37" t="n">
        <v>115968</v>
      </c>
      <c r="P69" s="37" t="n">
        <v>121252</v>
      </c>
    </row>
  </sheetData>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K161"/>
  <sheetViews>
    <sheetView topLeftCell="A7" zoomScaleNormal="100" workbookViewId="0">
      <selection activeCell="C63" sqref="C63"/>
    </sheetView>
  </sheetViews>
  <sheetFormatPr baseColWidth="8" defaultColWidth="8.453125" defaultRowHeight="17"/>
  <cols>
    <col width="19.90625" customWidth="1" style="142" min="1" max="2"/>
    <col width="14.90625" customWidth="1" style="142" min="3" max="8"/>
    <col width="10.90625" customWidth="1" style="142" min="9" max="10"/>
  </cols>
  <sheetData>
    <row r="1">
      <c r="A1" s="38" t="inlineStr">
        <is>
          <t xml:space="preserve">信用卡　　　　</t>
        </is>
      </c>
      <c r="B1" s="38" t="n"/>
      <c r="C1" s="38" t="n">
        <v>2015</v>
      </c>
      <c r="D1" s="38" t="n">
        <v>2016</v>
      </c>
      <c r="E1" s="38" t="n">
        <v>2017</v>
      </c>
      <c r="F1" s="38" t="n">
        <v>2018</v>
      </c>
      <c r="G1" s="38" t="n">
        <v>2019</v>
      </c>
      <c r="H1" s="38" t="n">
        <v>202003</v>
      </c>
      <c r="I1" s="39" t="inlineStr">
        <is>
          <t>2019市占</t>
        </is>
      </c>
      <c r="J1" s="39" t="inlineStr">
        <is>
          <t>2020市占</t>
        </is>
      </c>
      <c r="K1" s="36" t="inlineStr">
        <is>
          <t>單位：新臺幣百萬元</t>
        </is>
      </c>
    </row>
    <row r="2">
      <c r="A2" s="36" t="inlineStr">
        <is>
          <t>流通卡數(張)</t>
        </is>
      </c>
      <c r="B2" s="36" t="inlineStr">
        <is>
          <t>總計</t>
        </is>
      </c>
      <c r="C2" s="201" t="n">
        <v>38518206</v>
      </c>
      <c r="D2" s="201" t="n">
        <v>40701606</v>
      </c>
      <c r="E2" s="201" t="n">
        <v>41729994</v>
      </c>
      <c r="F2" s="201" t="n">
        <v>44031472</v>
      </c>
      <c r="G2" s="201" t="n">
        <v>47392036</v>
      </c>
      <c r="H2" s="201" t="n">
        <v>48322728</v>
      </c>
    </row>
    <row r="3">
      <c r="A3" s="37" t="n">
        <v>1</v>
      </c>
      <c r="B3" s="36" t="inlineStr">
        <is>
          <t>中國信託商業銀行</t>
        </is>
      </c>
      <c r="C3" s="201" t="n">
        <v>5858730</v>
      </c>
      <c r="D3" s="201" t="n">
        <v>5984594</v>
      </c>
      <c r="E3" s="201" t="n">
        <v>6361648</v>
      </c>
      <c r="F3" s="201" t="n">
        <v>6835717</v>
      </c>
      <c r="G3" s="201" t="n">
        <v>6872801</v>
      </c>
      <c r="H3" s="201" t="n">
        <v>6945990</v>
      </c>
      <c r="I3" s="200">
        <f>G3/$G$2</f>
        <v/>
      </c>
      <c r="J3" s="200">
        <f>H3/$H$2</f>
        <v/>
      </c>
    </row>
    <row r="4">
      <c r="A4" s="37" t="n">
        <v>2</v>
      </c>
      <c r="B4" s="36" t="inlineStr">
        <is>
          <t>國泰世華商業銀行</t>
        </is>
      </c>
      <c r="C4" s="201" t="n">
        <v>5153580</v>
      </c>
      <c r="D4" s="201" t="n">
        <v>5889738</v>
      </c>
      <c r="E4" s="201" t="n">
        <v>6053831</v>
      </c>
      <c r="F4" s="201" t="n">
        <v>6351621</v>
      </c>
      <c r="G4" s="201" t="n">
        <v>6734229</v>
      </c>
      <c r="H4" s="201" t="n">
        <v>6838908</v>
      </c>
      <c r="I4" s="200">
        <f>G4/$G$2</f>
        <v/>
      </c>
      <c r="J4" s="200">
        <f>H4/$H$2</f>
        <v/>
      </c>
    </row>
    <row r="5">
      <c r="A5" s="37" t="n">
        <v>3</v>
      </c>
      <c r="B5" s="36" t="inlineStr">
        <is>
          <t>玉山商業銀行</t>
        </is>
      </c>
      <c r="C5" s="201" t="n">
        <v>3950889</v>
      </c>
      <c r="D5" s="201" t="n">
        <v>4293887</v>
      </c>
      <c r="E5" s="201" t="n">
        <v>4573228</v>
      </c>
      <c r="F5" s="201" t="n">
        <v>4869490</v>
      </c>
      <c r="G5" s="201" t="n">
        <v>5824072</v>
      </c>
      <c r="H5" s="201" t="n">
        <v>6006271</v>
      </c>
      <c r="I5" s="200">
        <f>G5/$G$2</f>
        <v/>
      </c>
      <c r="J5" s="200">
        <f>H5/$H$2</f>
        <v/>
      </c>
    </row>
    <row r="6">
      <c r="A6" s="37" t="n">
        <v>4</v>
      </c>
      <c r="B6" s="36" t="inlineStr">
        <is>
          <t>台新國際商業銀行</t>
        </is>
      </c>
      <c r="C6" s="201" t="n">
        <v>3550799</v>
      </c>
      <c r="D6" s="201" t="n">
        <v>3776524</v>
      </c>
      <c r="E6" s="201" t="n">
        <v>4119324</v>
      </c>
      <c r="F6" s="201" t="n">
        <v>4644710</v>
      </c>
      <c r="G6" s="201" t="n">
        <v>5353487</v>
      </c>
      <c r="H6" s="201" t="n">
        <v>5448102</v>
      </c>
      <c r="I6" s="200">
        <f>G6/$G$2</f>
        <v/>
      </c>
      <c r="J6" s="200">
        <f>H6/$H$2</f>
        <v/>
      </c>
    </row>
    <row r="7">
      <c r="A7" s="37" t="n">
        <v>5</v>
      </c>
      <c r="B7" s="36" t="inlineStr">
        <is>
          <t>台北富邦銀行</t>
        </is>
      </c>
      <c r="C7" s="201" t="n">
        <v>2251364</v>
      </c>
      <c r="D7" s="201" t="n">
        <v>2392960</v>
      </c>
      <c r="E7" s="201" t="n">
        <v>2371653</v>
      </c>
      <c r="F7" s="201" t="n">
        <v>2483835</v>
      </c>
      <c r="G7" s="201" t="n">
        <v>3288239</v>
      </c>
      <c r="H7" s="201" t="n">
        <v>3504874</v>
      </c>
      <c r="I7" s="200">
        <f>G7/$G$2</f>
        <v/>
      </c>
      <c r="J7" s="200">
        <f>H7/$H$2</f>
        <v/>
      </c>
    </row>
    <row r="8">
      <c r="A8" s="37" t="n">
        <v>6</v>
      </c>
      <c r="B8" s="36" t="inlineStr">
        <is>
          <t>花旗(臺灣)商業銀行</t>
        </is>
      </c>
      <c r="C8" s="201" t="n">
        <v>2913583</v>
      </c>
      <c r="D8" s="201" t="n">
        <v>2883733</v>
      </c>
      <c r="E8" s="201" t="n">
        <v>2898529</v>
      </c>
      <c r="F8" s="201" t="n">
        <v>2902421</v>
      </c>
      <c r="G8" s="201" t="n">
        <v>2897671</v>
      </c>
      <c r="H8" s="201" t="n">
        <v>2889279</v>
      </c>
      <c r="I8" s="200">
        <f>G8/$G$2</f>
        <v/>
      </c>
      <c r="J8" s="200">
        <f>H8/$H$2</f>
        <v/>
      </c>
    </row>
    <row r="9">
      <c r="A9" s="37" t="n">
        <v>7</v>
      </c>
      <c r="B9" s="36" t="inlineStr">
        <is>
          <t>聯邦商業銀行</t>
        </is>
      </c>
      <c r="C9" s="201" t="n">
        <v>1825288</v>
      </c>
      <c r="D9" s="201" t="n">
        <v>2015520</v>
      </c>
      <c r="E9" s="201" t="n">
        <v>2036860</v>
      </c>
      <c r="F9" s="201" t="n">
        <v>2126989</v>
      </c>
      <c r="G9" s="201" t="n">
        <v>2162706</v>
      </c>
      <c r="H9" s="201" t="n">
        <v>2215438</v>
      </c>
      <c r="I9" s="200">
        <f>G9/$G$2</f>
        <v/>
      </c>
      <c r="J9" s="200">
        <f>H9/$H$2</f>
        <v/>
      </c>
    </row>
    <row r="10">
      <c r="A10" s="37" t="n">
        <v>8</v>
      </c>
      <c r="B10" s="36" t="inlineStr">
        <is>
          <t>永豐商業銀行</t>
        </is>
      </c>
      <c r="C10" s="201" t="n">
        <v>2144920</v>
      </c>
      <c r="D10" s="201" t="n">
        <v>1935059</v>
      </c>
      <c r="E10" s="201" t="n">
        <v>1784613</v>
      </c>
      <c r="F10" s="201" t="n">
        <v>1826196</v>
      </c>
      <c r="G10" s="201" t="n">
        <v>1986502</v>
      </c>
      <c r="H10" s="201" t="n">
        <v>2040570</v>
      </c>
      <c r="I10" s="200">
        <f>G10/$G$2</f>
        <v/>
      </c>
      <c r="J10" s="200">
        <f>H10/$H$2</f>
        <v/>
      </c>
    </row>
    <row r="11">
      <c r="A11" s="37" t="n">
        <v>9</v>
      </c>
      <c r="B11" s="36" t="inlineStr">
        <is>
          <t>遠東國際商業銀行</t>
        </is>
      </c>
      <c r="C11" s="201" t="n">
        <v>1498301</v>
      </c>
      <c r="D11" s="201" t="n">
        <v>1790432</v>
      </c>
      <c r="E11" s="201" t="n">
        <v>1481903</v>
      </c>
      <c r="F11" s="201" t="n">
        <v>1501790</v>
      </c>
      <c r="G11" s="201" t="n">
        <v>1587131</v>
      </c>
      <c r="H11" s="201" t="n">
        <v>1597899</v>
      </c>
      <c r="I11" s="200">
        <f>G11/$G$2</f>
        <v/>
      </c>
      <c r="J11" s="200">
        <f>H11/$H$2</f>
        <v/>
      </c>
    </row>
    <row r="12">
      <c r="A12" s="36" t="inlineStr">
        <is>
          <t>有效卡數(張)</t>
        </is>
      </c>
      <c r="B12" s="36" t="inlineStr">
        <is>
          <t>總計</t>
        </is>
      </c>
      <c r="C12" s="201" t="n">
        <v>25357316</v>
      </c>
      <c r="D12" s="201" t="n">
        <v>27023826</v>
      </c>
      <c r="E12" s="201" t="n">
        <v>28034710</v>
      </c>
      <c r="F12" s="201" t="n">
        <v>29573988</v>
      </c>
      <c r="G12" s="201" t="n">
        <v>31922289</v>
      </c>
      <c r="H12" s="201" t="n">
        <v>31739512</v>
      </c>
    </row>
    <row r="13">
      <c r="A13" s="37" t="n">
        <v>1</v>
      </c>
      <c r="B13" s="36" t="inlineStr">
        <is>
          <t>中國信託商業銀行</t>
        </is>
      </c>
      <c r="C13" s="201" t="n">
        <v>3837764</v>
      </c>
      <c r="D13" s="201" t="n">
        <v>3853818</v>
      </c>
      <c r="E13" s="201" t="n">
        <v>4106622</v>
      </c>
      <c r="F13" s="201" t="n">
        <v>4476559</v>
      </c>
      <c r="G13" s="201" t="n">
        <v>4669805</v>
      </c>
      <c r="H13" s="201" t="n">
        <v>4640372</v>
      </c>
      <c r="I13" s="200">
        <f>G13/$G$12</f>
        <v/>
      </c>
      <c r="J13" s="200">
        <f>H13/$H$12</f>
        <v/>
      </c>
    </row>
    <row r="14">
      <c r="A14" s="37" t="n">
        <v>2</v>
      </c>
      <c r="B14" s="36" t="inlineStr">
        <is>
          <t>國泰世華商業銀行</t>
        </is>
      </c>
      <c r="C14" s="201" t="n">
        <v>3625066</v>
      </c>
      <c r="D14" s="201" t="n">
        <v>4170575</v>
      </c>
      <c r="E14" s="201" t="n">
        <v>4356648</v>
      </c>
      <c r="F14" s="201" t="n">
        <v>4666053</v>
      </c>
      <c r="G14" s="201" t="n">
        <v>4974594</v>
      </c>
      <c r="H14" s="201" t="n">
        <v>5001551</v>
      </c>
      <c r="I14" s="200">
        <f>G14/$G$12</f>
        <v/>
      </c>
      <c r="J14" s="200">
        <f>H14/$H$12</f>
        <v/>
      </c>
    </row>
    <row r="15">
      <c r="A15" s="37" t="n">
        <v>3</v>
      </c>
      <c r="B15" s="36" t="inlineStr">
        <is>
          <t>玉山商業銀行</t>
        </is>
      </c>
      <c r="C15" s="201" t="n">
        <v>2770051</v>
      </c>
      <c r="D15" s="201" t="n">
        <v>2990512</v>
      </c>
      <c r="E15" s="201" t="n">
        <v>3218922</v>
      </c>
      <c r="F15" s="201" t="n">
        <v>3403851</v>
      </c>
      <c r="G15" s="201" t="n">
        <v>4173821</v>
      </c>
      <c r="H15" s="201" t="n">
        <v>4315393</v>
      </c>
      <c r="I15" s="200">
        <f>G15/$G$12</f>
        <v/>
      </c>
      <c r="J15" s="200">
        <f>H15/$H$12</f>
        <v/>
      </c>
    </row>
    <row r="16">
      <c r="A16" s="37" t="n">
        <v>4</v>
      </c>
      <c r="B16" s="36" t="inlineStr">
        <is>
          <t>台新國際商業銀行</t>
        </is>
      </c>
      <c r="C16" s="201" t="n">
        <v>2464211</v>
      </c>
      <c r="D16" s="201" t="n">
        <v>2640499</v>
      </c>
      <c r="E16" s="201" t="n">
        <v>2920177</v>
      </c>
      <c r="F16" s="201" t="n">
        <v>3261631</v>
      </c>
      <c r="G16" s="201" t="n">
        <v>3794049</v>
      </c>
      <c r="H16" s="201" t="n">
        <v>3809013</v>
      </c>
      <c r="I16" s="200">
        <f>G16/$G$12</f>
        <v/>
      </c>
      <c r="J16" s="200">
        <f>H16/$H$12</f>
        <v/>
      </c>
    </row>
    <row r="17">
      <c r="A17" s="37" t="n">
        <v>5</v>
      </c>
      <c r="B17" s="36" t="inlineStr">
        <is>
          <t>台北富邦銀行</t>
        </is>
      </c>
      <c r="C17" s="201" t="n">
        <v>1628623</v>
      </c>
      <c r="D17" s="201" t="n">
        <v>1745168</v>
      </c>
      <c r="E17" s="201" t="n">
        <v>1742111</v>
      </c>
      <c r="F17" s="201" t="n">
        <v>1779209</v>
      </c>
      <c r="G17" s="201" t="n">
        <v>2102023</v>
      </c>
      <c r="H17" s="201" t="n">
        <v>2228321</v>
      </c>
      <c r="I17" s="200">
        <f>G17/$G$12</f>
        <v/>
      </c>
      <c r="J17" s="200">
        <f>H17/$H$12</f>
        <v/>
      </c>
    </row>
    <row r="18">
      <c r="A18" s="37" t="n">
        <v>6</v>
      </c>
      <c r="B18" s="36" t="inlineStr">
        <is>
          <t>花旗(臺灣)商業銀行</t>
        </is>
      </c>
      <c r="C18" s="201" t="n">
        <v>2482087</v>
      </c>
      <c r="D18" s="201" t="n">
        <v>2445067</v>
      </c>
      <c r="E18" s="201" t="n">
        <v>2467008</v>
      </c>
      <c r="F18" s="201" t="n">
        <v>2429395</v>
      </c>
      <c r="G18" s="201" t="n">
        <v>2317987</v>
      </c>
      <c r="H18" s="201" t="n">
        <v>2293802</v>
      </c>
      <c r="I18" s="200">
        <f>G18/$G$12</f>
        <v/>
      </c>
      <c r="J18" s="200">
        <f>H18/$H$12</f>
        <v/>
      </c>
    </row>
    <row r="19">
      <c r="A19" s="37" t="n">
        <v>7</v>
      </c>
      <c r="B19" s="36" t="inlineStr">
        <is>
          <t>聯邦商業銀行</t>
        </is>
      </c>
      <c r="C19" s="201" t="n">
        <v>812939</v>
      </c>
      <c r="D19" s="201" t="n">
        <v>1083892</v>
      </c>
      <c r="E19" s="201" t="n">
        <v>1152629</v>
      </c>
      <c r="F19" s="201" t="n">
        <v>1174896</v>
      </c>
      <c r="G19" s="201" t="n">
        <v>1266940</v>
      </c>
      <c r="H19" s="201" t="n">
        <v>1293597</v>
      </c>
      <c r="I19" s="200">
        <f>G19/$G$12</f>
        <v/>
      </c>
      <c r="J19" s="200">
        <f>H19/$H$12</f>
        <v/>
      </c>
    </row>
    <row r="20">
      <c r="A20" s="37" t="n">
        <v>8</v>
      </c>
      <c r="B20" s="36" t="inlineStr">
        <is>
          <t>永豐商業銀行</t>
        </is>
      </c>
      <c r="C20" s="201" t="n">
        <v>1323940</v>
      </c>
      <c r="D20" s="201" t="n">
        <v>1273076</v>
      </c>
      <c r="E20" s="201" t="n">
        <v>1030411</v>
      </c>
      <c r="F20" s="201" t="n">
        <v>1015669</v>
      </c>
      <c r="G20" s="201" t="n">
        <v>1015915</v>
      </c>
      <c r="H20" s="201" t="n">
        <v>1048373</v>
      </c>
      <c r="I20" s="200">
        <f>G20/$G$12</f>
        <v/>
      </c>
      <c r="J20" s="200">
        <f>H20/$H$12</f>
        <v/>
      </c>
    </row>
    <row r="21">
      <c r="A21" s="37" t="n">
        <v>9</v>
      </c>
      <c r="B21" s="36" t="inlineStr">
        <is>
          <t>遠東國際商業銀行</t>
        </is>
      </c>
      <c r="C21" s="201" t="n">
        <v>1023468</v>
      </c>
      <c r="D21" s="201" t="n">
        <v>1095414</v>
      </c>
      <c r="E21" s="201" t="n">
        <v>980455</v>
      </c>
      <c r="F21" s="201" t="n">
        <v>1017995</v>
      </c>
      <c r="G21" s="201" t="n">
        <v>1052137</v>
      </c>
      <c r="H21" s="201" t="n">
        <v>1045377</v>
      </c>
      <c r="I21" s="200">
        <f>G21/$G$12</f>
        <v/>
      </c>
      <c r="J21" s="200">
        <f>H21/$H$12</f>
        <v/>
      </c>
    </row>
    <row r="22">
      <c r="A22" s="36" t="inlineStr">
        <is>
          <t>有效卡(%)</t>
        </is>
      </c>
      <c r="B22" s="36" t="inlineStr">
        <is>
          <t>總計</t>
        </is>
      </c>
      <c r="C22" s="40">
        <f>C12/C2</f>
        <v/>
      </c>
      <c r="D22" s="40">
        <f>D12/D2</f>
        <v/>
      </c>
      <c r="E22" s="40">
        <f>E12/E2</f>
        <v/>
      </c>
      <c r="F22" s="40">
        <f>F12/F2</f>
        <v/>
      </c>
      <c r="G22" s="40">
        <f>G12/G2</f>
        <v/>
      </c>
      <c r="H22" s="200">
        <f>H12/H2</f>
        <v/>
      </c>
      <c r="I22" s="40" t="n"/>
    </row>
    <row r="23">
      <c r="A23" s="37" t="n">
        <v>1</v>
      </c>
      <c r="B23" s="36" t="inlineStr">
        <is>
          <t>中國信託商業銀行</t>
        </is>
      </c>
      <c r="C23" s="40">
        <f>C13/C3</f>
        <v/>
      </c>
      <c r="D23" s="40">
        <f>D13/D3</f>
        <v/>
      </c>
      <c r="E23" s="40">
        <f>E13/E3</f>
        <v/>
      </c>
      <c r="F23" s="40">
        <f>F13/F3</f>
        <v/>
      </c>
      <c r="G23" s="40">
        <f>G13/G3</f>
        <v/>
      </c>
      <c r="H23" s="40">
        <f>H13/H3</f>
        <v/>
      </c>
      <c r="I23" s="40" t="n"/>
      <c r="J23" s="37" t="n">
        <v>0.656823679325389</v>
      </c>
    </row>
    <row r="24">
      <c r="A24" s="37" t="n">
        <v>2</v>
      </c>
      <c r="B24" s="36" t="inlineStr">
        <is>
          <t>國泰世華商業銀行</t>
        </is>
      </c>
      <c r="C24" s="40">
        <f>C14/C4</f>
        <v/>
      </c>
      <c r="D24" s="40">
        <f>D14/D4</f>
        <v/>
      </c>
      <c r="E24" s="40">
        <f>E14/E4</f>
        <v/>
      </c>
      <c r="F24" s="40">
        <f>F14/F4</f>
        <v/>
      </c>
      <c r="G24" s="40">
        <f>G14/G4</f>
        <v/>
      </c>
      <c r="H24" s="40">
        <f>H14/H4</f>
        <v/>
      </c>
      <c r="I24" s="40" t="n"/>
    </row>
    <row r="25">
      <c r="A25" s="37" t="n">
        <v>3</v>
      </c>
      <c r="B25" s="36" t="inlineStr">
        <is>
          <t>玉山商業銀行</t>
        </is>
      </c>
      <c r="C25" s="40">
        <f>C15/C5</f>
        <v/>
      </c>
      <c r="D25" s="40">
        <f>D15/D5</f>
        <v/>
      </c>
      <c r="E25" s="40">
        <f>E15/E5</f>
        <v/>
      </c>
      <c r="F25" s="40">
        <f>F15/F5</f>
        <v/>
      </c>
      <c r="G25" s="40">
        <f>G15/G5</f>
        <v/>
      </c>
      <c r="H25" s="40">
        <f>H15/H5</f>
        <v/>
      </c>
      <c r="I25" s="40" t="n"/>
    </row>
    <row r="26">
      <c r="A26" s="37" t="n">
        <v>4</v>
      </c>
      <c r="B26" s="36" t="inlineStr">
        <is>
          <t>台新國際商業銀行</t>
        </is>
      </c>
      <c r="C26" s="40">
        <f>C16/C6</f>
        <v/>
      </c>
      <c r="D26" s="40">
        <f>D16/D6</f>
        <v/>
      </c>
      <c r="E26" s="40">
        <f>E16/E6</f>
        <v/>
      </c>
      <c r="F26" s="40">
        <f>F16/F6</f>
        <v/>
      </c>
      <c r="G26" s="40">
        <f>G16/G6</f>
        <v/>
      </c>
      <c r="H26" s="40">
        <f>H16/H6</f>
        <v/>
      </c>
      <c r="I26" s="40" t="n"/>
    </row>
    <row r="27">
      <c r="A27" s="37" t="n">
        <v>5</v>
      </c>
      <c r="B27" s="36" t="inlineStr">
        <is>
          <t>台北富邦銀行</t>
        </is>
      </c>
      <c r="C27" s="40">
        <f>C17/C7</f>
        <v/>
      </c>
      <c r="D27" s="40">
        <f>D17/D7</f>
        <v/>
      </c>
      <c r="E27" s="40">
        <f>E17/E7</f>
        <v/>
      </c>
      <c r="F27" s="40">
        <f>F17/F7</f>
        <v/>
      </c>
      <c r="G27" s="40">
        <f>G17/G7</f>
        <v/>
      </c>
      <c r="H27" s="40">
        <f>H17/H7</f>
        <v/>
      </c>
      <c r="I27" s="40" t="n"/>
    </row>
    <row r="28">
      <c r="A28" s="37" t="n">
        <v>6</v>
      </c>
      <c r="B28" s="36" t="inlineStr">
        <is>
          <t>花旗(臺灣)商業銀行</t>
        </is>
      </c>
      <c r="C28" s="40">
        <f>C18/C8</f>
        <v/>
      </c>
      <c r="D28" s="40">
        <f>D18/D8</f>
        <v/>
      </c>
      <c r="E28" s="40">
        <f>E18/E8</f>
        <v/>
      </c>
      <c r="F28" s="40">
        <f>F18/F8</f>
        <v/>
      </c>
      <c r="G28" s="40">
        <f>G18/G8</f>
        <v/>
      </c>
      <c r="H28" s="40">
        <f>H18/H8</f>
        <v/>
      </c>
      <c r="I28" s="40" t="n"/>
    </row>
    <row r="29">
      <c r="A29" s="37" t="n">
        <v>7</v>
      </c>
      <c r="B29" s="36" t="inlineStr">
        <is>
          <t>聯邦商業銀行</t>
        </is>
      </c>
      <c r="C29" s="40">
        <f>C19/C9</f>
        <v/>
      </c>
      <c r="D29" s="40">
        <f>D19/D9</f>
        <v/>
      </c>
      <c r="E29" s="40">
        <f>E19/E9</f>
        <v/>
      </c>
      <c r="F29" s="40">
        <f>F19/F9</f>
        <v/>
      </c>
      <c r="G29" s="40">
        <f>G19/G9</f>
        <v/>
      </c>
      <c r="H29" s="40">
        <f>H19/H9</f>
        <v/>
      </c>
      <c r="I29" s="40" t="n"/>
    </row>
    <row r="30">
      <c r="A30" s="37" t="n">
        <v>8</v>
      </c>
      <c r="B30" s="36" t="inlineStr">
        <is>
          <t>永豐商業銀行</t>
        </is>
      </c>
      <c r="C30" s="40">
        <f>C20/C10</f>
        <v/>
      </c>
      <c r="D30" s="40">
        <f>D20/D10</f>
        <v/>
      </c>
      <c r="E30" s="40">
        <f>E20/E10</f>
        <v/>
      </c>
      <c r="F30" s="40">
        <f>F20/F10</f>
        <v/>
      </c>
      <c r="G30" s="40">
        <f>G20/G10</f>
        <v/>
      </c>
      <c r="H30" s="200">
        <f>H20/H10</f>
        <v/>
      </c>
      <c r="I30" s="40" t="n"/>
    </row>
    <row r="31">
      <c r="A31" s="37" t="n">
        <v>9</v>
      </c>
      <c r="B31" s="36" t="inlineStr">
        <is>
          <t>遠東國際商業銀行</t>
        </is>
      </c>
      <c r="C31" s="40">
        <f>C21/C11</f>
        <v/>
      </c>
      <c r="D31" s="40">
        <f>D21/D11</f>
        <v/>
      </c>
      <c r="E31" s="40">
        <f>E21/E11</f>
        <v/>
      </c>
      <c r="F31" s="40">
        <f>F21/F11</f>
        <v/>
      </c>
      <c r="G31" s="40">
        <f>G21/G11</f>
        <v/>
      </c>
      <c r="H31" s="40">
        <f>H21/H11</f>
        <v/>
      </c>
      <c r="I31" s="40" t="n"/>
    </row>
    <row r="32">
      <c r="A32" s="36" t="inlineStr">
        <is>
          <t>本月發卡數(張)</t>
        </is>
      </c>
      <c r="B32" s="36" t="inlineStr">
        <is>
          <t>總計</t>
        </is>
      </c>
      <c r="C32" s="201" t="n">
        <v>5034279</v>
      </c>
      <c r="D32" s="201" t="n">
        <v>6621020</v>
      </c>
      <c r="E32" s="201" t="n">
        <v>5666395</v>
      </c>
      <c r="F32" s="201" t="n">
        <v>5966859</v>
      </c>
      <c r="G32" s="201" t="n">
        <v>7843526</v>
      </c>
      <c r="H32" s="201" t="n"/>
    </row>
    <row r="33">
      <c r="A33" s="37" t="n">
        <v>1</v>
      </c>
      <c r="B33" s="36" t="inlineStr">
        <is>
          <t>中國信託商業銀行</t>
        </is>
      </c>
      <c r="C33" s="201" t="n">
        <v>567212</v>
      </c>
      <c r="D33" s="201" t="n">
        <v>612854</v>
      </c>
      <c r="E33" s="201" t="n">
        <v>914255</v>
      </c>
      <c r="F33" s="201" t="n">
        <v>884748</v>
      </c>
      <c r="G33" s="201" t="n">
        <v>854788</v>
      </c>
      <c r="H33" s="201" t="n"/>
    </row>
    <row r="34">
      <c r="A34" s="37" t="n">
        <v>2</v>
      </c>
      <c r="B34" s="36" t="inlineStr">
        <is>
          <t>國泰世華商業銀行</t>
        </is>
      </c>
      <c r="C34" s="201" t="n">
        <v>772517</v>
      </c>
      <c r="D34" s="201" t="n">
        <v>1183592</v>
      </c>
      <c r="E34" s="201" t="n">
        <v>732247</v>
      </c>
      <c r="F34" s="201" t="n">
        <v>788420</v>
      </c>
      <c r="G34" s="201" t="n">
        <v>785554</v>
      </c>
      <c r="H34" s="201" t="n"/>
    </row>
    <row r="35">
      <c r="A35" s="37" t="n">
        <v>3</v>
      </c>
      <c r="B35" s="36" t="inlineStr">
        <is>
          <t>玉山商業銀行</t>
        </is>
      </c>
      <c r="C35" s="201" t="n">
        <v>521929</v>
      </c>
      <c r="D35" s="201" t="n">
        <v>618600</v>
      </c>
      <c r="E35" s="201" t="n">
        <v>584989</v>
      </c>
      <c r="F35" s="201" t="n">
        <v>564726</v>
      </c>
      <c r="G35" s="201" t="n">
        <v>1289865</v>
      </c>
      <c r="H35" s="201" t="n"/>
    </row>
    <row r="36">
      <c r="A36" s="37" t="n">
        <v>4</v>
      </c>
      <c r="B36" s="36" t="inlineStr">
        <is>
          <t>台新國際商業銀行</t>
        </is>
      </c>
      <c r="C36" s="201" t="n">
        <v>400561</v>
      </c>
      <c r="D36" s="201" t="n">
        <v>487740</v>
      </c>
      <c r="E36" s="201" t="n">
        <v>616649</v>
      </c>
      <c r="F36" s="201" t="n">
        <v>781930</v>
      </c>
      <c r="G36" s="201" t="n">
        <v>1054362</v>
      </c>
      <c r="H36" s="201" t="n"/>
    </row>
    <row r="37">
      <c r="A37" s="37" t="n">
        <v>5</v>
      </c>
      <c r="B37" s="36" t="inlineStr">
        <is>
          <t>台北富邦銀行</t>
        </is>
      </c>
      <c r="C37" s="201" t="n">
        <v>349630</v>
      </c>
      <c r="D37" s="201" t="n">
        <v>480361</v>
      </c>
      <c r="E37" s="201" t="n">
        <v>299995</v>
      </c>
      <c r="F37" s="201" t="n">
        <v>267235</v>
      </c>
      <c r="G37" s="201" t="n">
        <v>967469</v>
      </c>
      <c r="H37" s="201" t="n"/>
    </row>
    <row r="38">
      <c r="A38" s="37" t="n">
        <v>6</v>
      </c>
      <c r="B38" s="36" t="inlineStr">
        <is>
          <t>花旗(臺灣)商業銀行</t>
        </is>
      </c>
      <c r="C38" s="201" t="n">
        <v>217236</v>
      </c>
      <c r="D38" s="201" t="n">
        <v>199753</v>
      </c>
      <c r="E38" s="201" t="n">
        <v>269693</v>
      </c>
      <c r="F38" s="201" t="n">
        <v>252113</v>
      </c>
      <c r="G38" s="201" t="n">
        <v>243525</v>
      </c>
      <c r="H38" s="201" t="n"/>
    </row>
    <row r="39">
      <c r="A39" s="37" t="n">
        <v>7</v>
      </c>
      <c r="B39" s="36" t="inlineStr">
        <is>
          <t>聯邦商業銀行</t>
        </is>
      </c>
      <c r="C39" s="201" t="n">
        <v>255916</v>
      </c>
      <c r="D39" s="201" t="n">
        <v>471514</v>
      </c>
      <c r="E39" s="201" t="n">
        <v>300525</v>
      </c>
      <c r="F39" s="201" t="n">
        <v>257072</v>
      </c>
      <c r="G39" s="201" t="n">
        <v>384237</v>
      </c>
      <c r="H39" s="201" t="n"/>
    </row>
    <row r="40">
      <c r="A40" s="37" t="n">
        <v>8</v>
      </c>
      <c r="B40" s="36" t="inlineStr">
        <is>
          <t>永豐商業銀行</t>
        </is>
      </c>
      <c r="C40" s="201" t="n">
        <v>231388</v>
      </c>
      <c r="D40" s="201" t="n">
        <v>459777</v>
      </c>
      <c r="E40" s="201" t="n">
        <v>170412</v>
      </c>
      <c r="F40" s="201" t="n">
        <v>170544</v>
      </c>
      <c r="G40" s="201" t="n">
        <v>546785</v>
      </c>
      <c r="H40" s="201" t="n"/>
    </row>
    <row r="41">
      <c r="A41" s="37" t="n">
        <v>9</v>
      </c>
      <c r="B41" s="36" t="inlineStr">
        <is>
          <t>遠東國際商業銀行</t>
        </is>
      </c>
      <c r="C41" s="201" t="n">
        <v>156151</v>
      </c>
      <c r="D41" s="201" t="n">
        <v>549255</v>
      </c>
      <c r="E41" s="201" t="n">
        <v>175846</v>
      </c>
      <c r="F41" s="201" t="n">
        <v>146539</v>
      </c>
      <c r="G41" s="201" t="n">
        <v>163268</v>
      </c>
      <c r="H41" s="201" t="n"/>
    </row>
    <row r="42">
      <c r="A42" s="36" t="inlineStr">
        <is>
          <t>本月停卡數(張)</t>
        </is>
      </c>
      <c r="B42" s="36" t="inlineStr">
        <is>
          <t>總計</t>
        </is>
      </c>
      <c r="C42" s="201" t="n">
        <v>3944562</v>
      </c>
      <c r="D42" s="201" t="n">
        <v>4569737</v>
      </c>
      <c r="E42" s="201" t="n">
        <v>4699348</v>
      </c>
      <c r="F42" s="201" t="n">
        <v>3771270</v>
      </c>
      <c r="G42" s="201" t="n">
        <v>4359243</v>
      </c>
      <c r="H42" s="201" t="n"/>
    </row>
    <row r="43">
      <c r="A43" s="37" t="n">
        <v>1</v>
      </c>
      <c r="B43" s="36" t="inlineStr">
        <is>
          <t>中國信託商業銀行</t>
        </is>
      </c>
      <c r="C43" s="201" t="n">
        <v>442934</v>
      </c>
      <c r="D43" s="201" t="n">
        <v>475423</v>
      </c>
      <c r="E43" s="201" t="n">
        <v>510491</v>
      </c>
      <c r="F43" s="201" t="n">
        <v>415338</v>
      </c>
      <c r="G43" s="201" t="n">
        <v>669287</v>
      </c>
      <c r="H43" s="201" t="n"/>
    </row>
    <row r="44">
      <c r="A44" s="37" t="n">
        <v>2</v>
      </c>
      <c r="B44" s="36" t="inlineStr">
        <is>
          <t>國泰世華商業銀行</t>
        </is>
      </c>
      <c r="C44" s="201" t="n">
        <v>381791</v>
      </c>
      <c r="D44" s="201" t="n">
        <v>447434</v>
      </c>
      <c r="E44" s="201" t="n">
        <v>568155</v>
      </c>
      <c r="F44" s="201" t="n">
        <v>490630</v>
      </c>
      <c r="G44" s="201" t="n">
        <v>402946</v>
      </c>
      <c r="H44" s="201" t="n"/>
    </row>
    <row r="45">
      <c r="A45" s="37" t="n">
        <v>3</v>
      </c>
      <c r="B45" s="36" t="inlineStr">
        <is>
          <t>玉山商業銀行</t>
        </is>
      </c>
      <c r="C45" s="201" t="n">
        <v>265308</v>
      </c>
      <c r="D45" s="201" t="n">
        <v>275602</v>
      </c>
      <c r="E45" s="201" t="n">
        <v>305648</v>
      </c>
      <c r="F45" s="201" t="n">
        <v>268464</v>
      </c>
      <c r="G45" s="201" t="n">
        <v>335283</v>
      </c>
      <c r="H45" s="201" t="n"/>
    </row>
    <row r="46">
      <c r="A46" s="37" t="n">
        <v>4</v>
      </c>
      <c r="B46" s="36" t="inlineStr">
        <is>
          <t>台新國際商業銀行</t>
        </is>
      </c>
      <c r="C46" s="201" t="n">
        <v>346989</v>
      </c>
      <c r="D46" s="201" t="n">
        <v>262015</v>
      </c>
      <c r="E46" s="201" t="n">
        <v>273849</v>
      </c>
      <c r="F46" s="201" t="n">
        <v>256544</v>
      </c>
      <c r="G46" s="201" t="n">
        <v>345585</v>
      </c>
      <c r="H46" s="201" t="n"/>
    </row>
    <row r="47">
      <c r="A47" s="37" t="n">
        <v>5</v>
      </c>
      <c r="B47" s="36" t="inlineStr">
        <is>
          <t>台北富邦銀行</t>
        </is>
      </c>
      <c r="C47" s="201" t="n">
        <v>466261</v>
      </c>
      <c r="D47" s="201" t="n">
        <v>338765</v>
      </c>
      <c r="E47" s="201" t="n">
        <v>321302</v>
      </c>
      <c r="F47" s="201" t="n">
        <v>155053</v>
      </c>
      <c r="G47" s="201" t="n">
        <v>163065</v>
      </c>
      <c r="H47" s="201" t="n"/>
    </row>
    <row r="48">
      <c r="A48" s="37" t="n">
        <v>6</v>
      </c>
      <c r="B48" s="36" t="inlineStr">
        <is>
          <t>花旗(臺灣)商業銀行</t>
        </is>
      </c>
      <c r="C48" s="201" t="n">
        <v>350974</v>
      </c>
      <c r="D48" s="201" t="n">
        <v>358616</v>
      </c>
      <c r="E48" s="201" t="n">
        <v>319771</v>
      </c>
      <c r="F48" s="201" t="n">
        <v>262923</v>
      </c>
      <c r="G48" s="201" t="n">
        <v>254403</v>
      </c>
      <c r="H48" s="201" t="n"/>
    </row>
    <row r="49">
      <c r="A49" s="37" t="n">
        <v>7</v>
      </c>
      <c r="B49" s="36" t="inlineStr">
        <is>
          <t>聯邦商業銀行</t>
        </is>
      </c>
      <c r="C49" s="201" t="n">
        <v>201402</v>
      </c>
      <c r="D49" s="201" t="n">
        <v>281282</v>
      </c>
      <c r="E49" s="201" t="n">
        <v>278735</v>
      </c>
      <c r="F49" s="201" t="n">
        <v>166943</v>
      </c>
      <c r="G49" s="201" t="n">
        <v>348520</v>
      </c>
      <c r="H49" s="201" t="n"/>
    </row>
    <row r="50">
      <c r="A50" s="37" t="n">
        <v>8</v>
      </c>
      <c r="B50" s="36" t="inlineStr">
        <is>
          <t>永豐商業銀行</t>
        </is>
      </c>
      <c r="C50" s="201" t="n">
        <v>264639</v>
      </c>
      <c r="D50" s="201" t="n">
        <v>669638</v>
      </c>
      <c r="E50" s="201" t="n">
        <v>321425</v>
      </c>
      <c r="F50" s="201" t="n">
        <v>132798</v>
      </c>
      <c r="G50" s="201" t="n">
        <v>388874</v>
      </c>
      <c r="H50" s="201" t="n"/>
    </row>
    <row r="51">
      <c r="A51" s="37" t="n">
        <v>9</v>
      </c>
      <c r="B51" s="36" t="inlineStr">
        <is>
          <t>遠東國際商業銀行</t>
        </is>
      </c>
      <c r="C51" s="201" t="n">
        <v>145823</v>
      </c>
      <c r="D51" s="201" t="n">
        <v>257211</v>
      </c>
      <c r="E51" s="201" t="n">
        <v>485018</v>
      </c>
      <c r="F51" s="201" t="n">
        <v>127024</v>
      </c>
      <c r="G51" s="201" t="n">
        <v>78276</v>
      </c>
      <c r="H51" s="201" t="n"/>
    </row>
    <row r="52">
      <c r="A52" s="36" t="inlineStr">
        <is>
          <t>循環信用餘額</t>
        </is>
      </c>
      <c r="B52" s="36" t="inlineStr">
        <is>
          <t>總計</t>
        </is>
      </c>
      <c r="C52" s="201" t="n">
        <v>107955</v>
      </c>
      <c r="D52" s="201" t="n">
        <v>109084</v>
      </c>
      <c r="E52" s="201" t="n">
        <v>111114</v>
      </c>
      <c r="F52" s="201" t="n">
        <v>113901</v>
      </c>
      <c r="G52" s="201" t="n">
        <v>113947</v>
      </c>
      <c r="H52" s="201" t="n"/>
    </row>
    <row r="53">
      <c r="A53" s="37" t="n">
        <v>1</v>
      </c>
      <c r="B53" s="36" t="inlineStr">
        <is>
          <t>中國信託商業銀行</t>
        </is>
      </c>
      <c r="C53" s="201" t="n">
        <v>14273</v>
      </c>
      <c r="D53" s="201" t="n">
        <v>14930</v>
      </c>
      <c r="E53" s="201" t="n">
        <v>16500</v>
      </c>
      <c r="F53" s="201" t="n">
        <v>17724</v>
      </c>
      <c r="G53" s="201" t="n">
        <v>17915</v>
      </c>
      <c r="H53" s="201" t="n"/>
      <c r="I53" s="40">
        <f>G53/$G$52</f>
        <v/>
      </c>
    </row>
    <row r="54">
      <c r="A54" s="37" t="n">
        <v>2</v>
      </c>
      <c r="B54" s="36" t="inlineStr">
        <is>
          <t>國泰世華商業銀行</t>
        </is>
      </c>
      <c r="C54" s="201" t="n">
        <v>14293</v>
      </c>
      <c r="D54" s="201" t="n">
        <v>15371</v>
      </c>
      <c r="E54" s="201" t="n">
        <v>16555</v>
      </c>
      <c r="F54" s="201" t="n">
        <v>17791</v>
      </c>
      <c r="G54" s="201" t="n">
        <v>19043</v>
      </c>
      <c r="H54" s="201" t="n"/>
      <c r="I54" s="40">
        <f>G54/$G$52</f>
        <v/>
      </c>
    </row>
    <row r="55">
      <c r="A55" s="37" t="n">
        <v>3</v>
      </c>
      <c r="B55" s="36" t="inlineStr">
        <is>
          <t>玉山商業銀行</t>
        </is>
      </c>
      <c r="C55" s="201" t="n">
        <v>10448</v>
      </c>
      <c r="D55" s="201" t="n">
        <v>11476</v>
      </c>
      <c r="E55" s="201" t="n">
        <v>12211</v>
      </c>
      <c r="F55" s="201" t="n">
        <v>12817</v>
      </c>
      <c r="G55" s="201" t="n">
        <v>13498</v>
      </c>
      <c r="H55" s="201" t="n"/>
      <c r="I55" s="40">
        <f>G55/$G$52</f>
        <v/>
      </c>
    </row>
    <row r="56">
      <c r="A56" s="37" t="n">
        <v>4</v>
      </c>
      <c r="B56" s="36" t="inlineStr">
        <is>
          <t>台新國際商業銀行</t>
        </is>
      </c>
      <c r="C56" s="201" t="n">
        <v>10441</v>
      </c>
      <c r="D56" s="201" t="n">
        <v>10158</v>
      </c>
      <c r="E56" s="201" t="n">
        <v>10305</v>
      </c>
      <c r="F56" s="201" t="n">
        <v>10731</v>
      </c>
      <c r="G56" s="201" t="n">
        <v>11120</v>
      </c>
      <c r="H56" s="201" t="n"/>
      <c r="I56" s="40">
        <f>G56/$G$52</f>
        <v/>
      </c>
    </row>
    <row r="57">
      <c r="A57" s="37" t="n">
        <v>5</v>
      </c>
      <c r="B57" s="36" t="inlineStr">
        <is>
          <t>台北富邦銀行</t>
        </is>
      </c>
      <c r="C57" s="201" t="n">
        <v>6736</v>
      </c>
      <c r="D57" s="201" t="n">
        <v>6195</v>
      </c>
      <c r="E57" s="201" t="n">
        <v>5582</v>
      </c>
      <c r="F57" s="201" t="n">
        <v>5349</v>
      </c>
      <c r="G57" s="201" t="n">
        <v>5446</v>
      </c>
      <c r="H57" s="201" t="n"/>
      <c r="I57" s="40">
        <f>G57/$G$52</f>
        <v/>
      </c>
    </row>
    <row r="58">
      <c r="A58" s="37" t="n">
        <v>6</v>
      </c>
      <c r="B58" s="36" t="inlineStr">
        <is>
          <t>花旗(臺灣)商業銀行</t>
        </is>
      </c>
      <c r="C58" s="201" t="n">
        <v>16417</v>
      </c>
      <c r="D58" s="201" t="n">
        <v>16206</v>
      </c>
      <c r="E58" s="201" t="n">
        <v>16457</v>
      </c>
      <c r="F58" s="201" t="n">
        <v>15832</v>
      </c>
      <c r="G58" s="201" t="n">
        <v>13558</v>
      </c>
      <c r="H58" s="201" t="n"/>
      <c r="I58" s="40">
        <f>G58/$G$52</f>
        <v/>
      </c>
    </row>
    <row r="59">
      <c r="A59" s="37" t="n">
        <v>7</v>
      </c>
      <c r="B59" s="36" t="inlineStr">
        <is>
          <t>聯邦商業銀行</t>
        </is>
      </c>
      <c r="C59" s="201" t="n">
        <v>4667</v>
      </c>
      <c r="D59" s="201" t="n">
        <v>4908</v>
      </c>
      <c r="E59" s="201" t="n">
        <v>5439</v>
      </c>
      <c r="F59" s="201" t="n">
        <v>5779</v>
      </c>
      <c r="G59" s="201" t="n">
        <v>6080</v>
      </c>
      <c r="H59" s="201" t="n"/>
      <c r="I59" s="40">
        <f>G59/$G$52</f>
        <v/>
      </c>
    </row>
    <row r="60">
      <c r="A60" s="37" t="n">
        <v>8</v>
      </c>
      <c r="B60" s="36" t="inlineStr">
        <is>
          <t>永豐商業銀行</t>
        </is>
      </c>
      <c r="C60" s="201" t="n">
        <v>5017</v>
      </c>
      <c r="D60" s="201" t="n">
        <v>4875</v>
      </c>
      <c r="E60" s="201" t="n">
        <v>4672</v>
      </c>
      <c r="F60" s="201" t="n">
        <v>4484</v>
      </c>
      <c r="G60" s="201" t="n">
        <v>4454</v>
      </c>
      <c r="H60" s="201" t="n"/>
      <c r="I60" s="40">
        <f>G60/$G$52</f>
        <v/>
      </c>
    </row>
    <row r="61">
      <c r="A61" s="37" t="n">
        <v>9</v>
      </c>
      <c r="B61" s="36" t="inlineStr">
        <is>
          <t>遠東國際商業銀行</t>
        </is>
      </c>
      <c r="C61" s="201" t="n">
        <v>4925</v>
      </c>
      <c r="D61" s="201" t="n">
        <v>4688</v>
      </c>
      <c r="E61" s="201" t="n">
        <v>4524</v>
      </c>
      <c r="F61" s="201" t="n">
        <v>4561</v>
      </c>
      <c r="G61" s="201" t="n">
        <v>4288</v>
      </c>
      <c r="H61" s="201" t="n"/>
      <c r="I61" s="40">
        <f>G61/$G$52</f>
        <v/>
      </c>
    </row>
    <row r="62">
      <c r="A62" s="36" t="inlineStr">
        <is>
          <t>本月簽帳金額</t>
        </is>
      </c>
      <c r="B62" s="36" t="inlineStr">
        <is>
          <t>總計</t>
        </is>
      </c>
      <c r="C62" s="201" t="n">
        <v>2231797</v>
      </c>
      <c r="D62" s="201" t="n">
        <v>2422232</v>
      </c>
      <c r="E62" s="201" t="n">
        <v>2623159</v>
      </c>
      <c r="F62" s="201" t="n">
        <v>2883634</v>
      </c>
      <c r="G62" s="201" t="n">
        <v>3223000</v>
      </c>
      <c r="H62" s="201" t="n"/>
    </row>
    <row r="63">
      <c r="A63" s="37" t="n">
        <v>1</v>
      </c>
      <c r="B63" s="36" t="inlineStr">
        <is>
          <t>中國信託商業銀行</t>
        </is>
      </c>
      <c r="C63" s="201" t="n">
        <v>333935</v>
      </c>
      <c r="D63" s="201" t="n">
        <v>335340</v>
      </c>
      <c r="E63" s="201" t="n">
        <v>389798</v>
      </c>
      <c r="F63" s="201" t="n">
        <v>488330</v>
      </c>
      <c r="G63" s="201" t="n">
        <v>500580</v>
      </c>
      <c r="H63" s="201" t="n"/>
      <c r="I63" s="40">
        <f>G63/$G$62</f>
        <v/>
      </c>
    </row>
    <row r="64">
      <c r="A64" s="37" t="n">
        <v>2</v>
      </c>
      <c r="B64" s="36" t="inlineStr">
        <is>
          <t>國泰世華商業銀行</t>
        </is>
      </c>
      <c r="C64" s="201" t="n">
        <v>340806</v>
      </c>
      <c r="D64" s="201" t="n">
        <v>392948</v>
      </c>
      <c r="E64" s="201" t="n">
        <v>441591</v>
      </c>
      <c r="F64" s="201" t="n">
        <v>489518</v>
      </c>
      <c r="G64" s="201" t="n">
        <v>543275</v>
      </c>
      <c r="H64" s="201" t="n"/>
      <c r="I64" s="40">
        <f>G64/$G$62</f>
        <v/>
      </c>
    </row>
    <row r="65">
      <c r="A65" s="37" t="n">
        <v>3</v>
      </c>
      <c r="B65" s="36" t="inlineStr">
        <is>
          <t>玉山商業銀行</t>
        </is>
      </c>
      <c r="C65" s="201" t="n">
        <v>251027</v>
      </c>
      <c r="D65" s="201" t="n">
        <v>298258</v>
      </c>
      <c r="E65" s="201" t="n">
        <v>316076</v>
      </c>
      <c r="F65" s="201" t="n">
        <v>336665</v>
      </c>
      <c r="G65" s="201" t="n">
        <v>427007</v>
      </c>
      <c r="H65" s="201" t="n"/>
      <c r="I65" s="40">
        <f>G65/$G$62</f>
        <v/>
      </c>
    </row>
    <row r="66">
      <c r="A66" s="37" t="n">
        <v>4</v>
      </c>
      <c r="B66" s="36" t="inlineStr">
        <is>
          <t>台新國際商業銀行</t>
        </is>
      </c>
      <c r="C66" s="201" t="n">
        <v>186595</v>
      </c>
      <c r="D66" s="201" t="n">
        <v>210271</v>
      </c>
      <c r="E66" s="201" t="n">
        <v>242423</v>
      </c>
      <c r="F66" s="201" t="n">
        <v>289198</v>
      </c>
      <c r="G66" s="201" t="n">
        <v>354709</v>
      </c>
      <c r="H66" s="201" t="n"/>
      <c r="I66" s="40">
        <f>G66/$G$62</f>
        <v/>
      </c>
    </row>
    <row r="67">
      <c r="A67" s="37" t="n">
        <v>5</v>
      </c>
      <c r="B67" s="36" t="inlineStr">
        <is>
          <t>台北富邦銀行</t>
        </is>
      </c>
      <c r="C67" s="201" t="n">
        <v>174023</v>
      </c>
      <c r="D67" s="201" t="n">
        <v>201367</v>
      </c>
      <c r="E67" s="201" t="n">
        <v>215597</v>
      </c>
      <c r="F67" s="201" t="n">
        <v>221320</v>
      </c>
      <c r="G67" s="201" t="n">
        <v>268608</v>
      </c>
      <c r="H67" s="201" t="n"/>
      <c r="I67" s="40">
        <f>G67/$G$62</f>
        <v/>
      </c>
    </row>
    <row r="68">
      <c r="A68" s="37" t="n">
        <v>6</v>
      </c>
      <c r="B68" s="36" t="inlineStr">
        <is>
          <t>花旗(臺灣)商業銀行</t>
        </is>
      </c>
      <c r="C68" s="201" t="n">
        <v>238302</v>
      </c>
      <c r="D68" s="201" t="n">
        <v>239645</v>
      </c>
      <c r="E68" s="201" t="n">
        <v>240169</v>
      </c>
      <c r="F68" s="201" t="n">
        <v>233576</v>
      </c>
      <c r="G68" s="201" t="n">
        <v>226856</v>
      </c>
      <c r="H68" s="201" t="n"/>
      <c r="I68" s="40">
        <f>G68/$G$62</f>
        <v/>
      </c>
    </row>
    <row r="69">
      <c r="A69" s="37" t="n">
        <v>7</v>
      </c>
      <c r="B69" s="36" t="inlineStr">
        <is>
          <t>聯邦商業銀行</t>
        </is>
      </c>
      <c r="C69" s="201" t="n">
        <v>65416</v>
      </c>
      <c r="D69" s="201" t="n">
        <v>76984</v>
      </c>
      <c r="E69" s="201" t="n">
        <v>85760</v>
      </c>
      <c r="F69" s="201" t="n">
        <v>89452</v>
      </c>
      <c r="G69" s="201" t="n">
        <v>91785</v>
      </c>
      <c r="H69" s="201" t="n"/>
      <c r="I69" s="40">
        <f>G69/$G$62</f>
        <v/>
      </c>
    </row>
    <row r="70">
      <c r="A70" s="37" t="n">
        <v>8</v>
      </c>
      <c r="B70" s="36" t="inlineStr">
        <is>
          <t>永豐商業銀行</t>
        </is>
      </c>
      <c r="C70" s="201" t="n">
        <v>89430</v>
      </c>
      <c r="D70" s="201" t="n">
        <v>87232</v>
      </c>
      <c r="E70" s="201" t="n">
        <v>80931</v>
      </c>
      <c r="F70" s="201" t="n">
        <v>83569</v>
      </c>
      <c r="G70" s="201" t="n">
        <v>98453</v>
      </c>
      <c r="H70" s="201" t="n"/>
      <c r="I70" s="40">
        <f>G70/$G$62</f>
        <v/>
      </c>
    </row>
    <row r="71">
      <c r="A71" s="37" t="n">
        <v>9</v>
      </c>
      <c r="B71" s="36" t="inlineStr">
        <is>
          <t>遠東國際商業銀行</t>
        </is>
      </c>
      <c r="C71" s="201" t="n">
        <v>58087</v>
      </c>
      <c r="D71" s="201" t="n">
        <v>55906</v>
      </c>
      <c r="E71" s="201" t="n">
        <v>52809</v>
      </c>
      <c r="F71" s="201" t="n">
        <v>52896</v>
      </c>
      <c r="G71" s="201" t="n">
        <v>54291</v>
      </c>
      <c r="H71" s="201" t="n"/>
      <c r="I71" s="40">
        <f>G71/$G$62</f>
        <v/>
      </c>
    </row>
    <row r="72">
      <c r="A72" s="36" t="inlineStr">
        <is>
          <t>簽帳(平均每月有效)</t>
        </is>
      </c>
      <c r="B72" s="36" t="inlineStr">
        <is>
          <t>總計</t>
        </is>
      </c>
      <c r="C72" s="202">
        <f>C62*1000000/C12/12</f>
        <v/>
      </c>
      <c r="D72" s="202">
        <f>D62*1000000/D12/12</f>
        <v/>
      </c>
      <c r="E72" s="202">
        <f>E62*1000000/E12/12</f>
        <v/>
      </c>
      <c r="F72" s="202">
        <f>F62*1000000/F12/12</f>
        <v/>
      </c>
      <c r="G72" s="202">
        <f>G62*1000000/G12/12</f>
        <v/>
      </c>
      <c r="H72" s="202" t="n"/>
      <c r="I72" s="40" t="n"/>
    </row>
    <row r="73">
      <c r="A73" s="37" t="n">
        <v>1</v>
      </c>
      <c r="B73" s="36" t="inlineStr">
        <is>
          <t>中國信託商業銀行</t>
        </is>
      </c>
      <c r="C73" s="202">
        <f>C63*1000000/C13/12</f>
        <v/>
      </c>
      <c r="D73" s="202">
        <f>D63*1000000/D13/12</f>
        <v/>
      </c>
      <c r="E73" s="202">
        <f>E63*1000000/E13/12</f>
        <v/>
      </c>
      <c r="F73" s="202">
        <f>F63*1000000/F13/12</f>
        <v/>
      </c>
      <c r="G73" s="202">
        <f>G63*1000000/G13/12</f>
        <v/>
      </c>
      <c r="H73" s="202" t="n"/>
      <c r="I73" s="40" t="n"/>
    </row>
    <row r="74">
      <c r="A74" s="37" t="n">
        <v>2</v>
      </c>
      <c r="B74" s="36" t="inlineStr">
        <is>
          <t>國泰世華商業銀行</t>
        </is>
      </c>
      <c r="C74" s="202">
        <f>C64*1000000/C14/12</f>
        <v/>
      </c>
      <c r="D74" s="202">
        <f>D64*1000000/D14/12</f>
        <v/>
      </c>
      <c r="E74" s="202">
        <f>E64*1000000/E14/12</f>
        <v/>
      </c>
      <c r="F74" s="202">
        <f>F64*1000000/F14/12</f>
        <v/>
      </c>
      <c r="G74" s="202">
        <f>G64*1000000/G14/12</f>
        <v/>
      </c>
      <c r="H74" s="202" t="n"/>
      <c r="I74" s="40" t="n"/>
    </row>
    <row r="75">
      <c r="A75" s="37" t="n">
        <v>3</v>
      </c>
      <c r="B75" s="36" t="inlineStr">
        <is>
          <t>玉山商業銀行</t>
        </is>
      </c>
      <c r="C75" s="202">
        <f>C65*1000000/C15/12</f>
        <v/>
      </c>
      <c r="D75" s="202">
        <f>D65*1000000/D15/12</f>
        <v/>
      </c>
      <c r="E75" s="202">
        <f>E65*1000000/E15/12</f>
        <v/>
      </c>
      <c r="F75" s="202">
        <f>F65*1000000/F15/12</f>
        <v/>
      </c>
      <c r="G75" s="202">
        <f>G65*1000000/G15/12</f>
        <v/>
      </c>
      <c r="H75" s="202" t="n"/>
      <c r="I75" s="40" t="n"/>
    </row>
    <row r="76">
      <c r="A76" s="37" t="n">
        <v>4</v>
      </c>
      <c r="B76" s="36" t="inlineStr">
        <is>
          <t>台新國際商業銀行</t>
        </is>
      </c>
      <c r="C76" s="202">
        <f>C66*1000000/C16/12</f>
        <v/>
      </c>
      <c r="D76" s="202">
        <f>D66*1000000/D16/12</f>
        <v/>
      </c>
      <c r="E76" s="202">
        <f>E66*1000000/E16/12</f>
        <v/>
      </c>
      <c r="F76" s="202">
        <f>F66*1000000/F16/12</f>
        <v/>
      </c>
      <c r="G76" s="202">
        <f>G66*1000000/G16/12</f>
        <v/>
      </c>
      <c r="H76" s="202" t="n"/>
      <c r="I76" s="40" t="n"/>
    </row>
    <row r="77">
      <c r="A77" s="37" t="n">
        <v>5</v>
      </c>
      <c r="B77" s="36" t="inlineStr">
        <is>
          <t>台北富邦銀行</t>
        </is>
      </c>
      <c r="C77" s="202">
        <f>C67*1000000/C17/12</f>
        <v/>
      </c>
      <c r="D77" s="202">
        <f>D67*1000000/D17/12</f>
        <v/>
      </c>
      <c r="E77" s="202">
        <f>E67*1000000/E17/12</f>
        <v/>
      </c>
      <c r="F77" s="202">
        <f>F67*1000000/F17/12</f>
        <v/>
      </c>
      <c r="G77" s="202">
        <f>G67*1000000/G17/12</f>
        <v/>
      </c>
      <c r="H77" s="202" t="n"/>
      <c r="I77" s="40" t="n"/>
    </row>
    <row r="78">
      <c r="A78" s="37" t="n">
        <v>6</v>
      </c>
      <c r="B78" s="36" t="inlineStr">
        <is>
          <t>花旗(臺灣)商業銀行</t>
        </is>
      </c>
      <c r="C78" s="202">
        <f>C68*1000000/C18/12</f>
        <v/>
      </c>
      <c r="D78" s="202">
        <f>D68*1000000/D18/12</f>
        <v/>
      </c>
      <c r="E78" s="202">
        <f>E68*1000000/E18/12</f>
        <v/>
      </c>
      <c r="F78" s="202">
        <f>F68*1000000/F18/12</f>
        <v/>
      </c>
      <c r="G78" s="202">
        <f>G68*1000000/G18/12</f>
        <v/>
      </c>
      <c r="H78" s="202" t="n"/>
      <c r="I78" s="40" t="n"/>
    </row>
    <row r="79">
      <c r="A79" s="37" t="n">
        <v>7</v>
      </c>
      <c r="B79" s="36" t="inlineStr">
        <is>
          <t>聯邦商業銀行</t>
        </is>
      </c>
      <c r="C79" s="202">
        <f>C69*1000000/C19/12</f>
        <v/>
      </c>
      <c r="D79" s="202">
        <f>D69*1000000/D19/12</f>
        <v/>
      </c>
      <c r="E79" s="202">
        <f>E69*1000000/E19/12</f>
        <v/>
      </c>
      <c r="F79" s="202">
        <f>F69*1000000/F19/12</f>
        <v/>
      </c>
      <c r="G79" s="202">
        <f>G69*1000000/G19/12</f>
        <v/>
      </c>
      <c r="H79" s="202" t="n"/>
      <c r="I79" s="40" t="n"/>
    </row>
    <row r="80">
      <c r="A80" s="37" t="n">
        <v>8</v>
      </c>
      <c r="B80" s="36" t="inlineStr">
        <is>
          <t>永豐商業銀行</t>
        </is>
      </c>
      <c r="C80" s="202">
        <f>C70*1000000/C20/12</f>
        <v/>
      </c>
      <c r="D80" s="202">
        <f>D70*1000000/D20/12</f>
        <v/>
      </c>
      <c r="E80" s="202">
        <f>E70*1000000/E20/12</f>
        <v/>
      </c>
      <c r="F80" s="202">
        <f>F70*1000000/F20/12</f>
        <v/>
      </c>
      <c r="G80" s="202">
        <f>G70*1000000/G20/12</f>
        <v/>
      </c>
      <c r="H80" s="202" t="n"/>
      <c r="I80" s="40" t="n"/>
    </row>
    <row r="81">
      <c r="A81" s="37" t="n">
        <v>9</v>
      </c>
      <c r="B81" s="36" t="inlineStr">
        <is>
          <t>遠東國際商業銀行</t>
        </is>
      </c>
      <c r="C81" s="202">
        <f>C71*1000000/C21/12</f>
        <v/>
      </c>
      <c r="D81" s="202">
        <f>D71*1000000/D21/12</f>
        <v/>
      </c>
      <c r="E81" s="202">
        <f>E71*1000000/E21/12</f>
        <v/>
      </c>
      <c r="F81" s="202">
        <f>F71*1000000/F21/12</f>
        <v/>
      </c>
      <c r="G81" s="202">
        <f>G71*1000000/G21/12</f>
        <v/>
      </c>
      <c r="H81" s="202" t="n"/>
      <c r="I81" s="40" t="n"/>
    </row>
    <row r="82">
      <c r="A82" s="36" t="inlineStr">
        <is>
          <t>本月預借現金金額</t>
        </is>
      </c>
      <c r="B82" s="36" t="inlineStr">
        <is>
          <t>總計</t>
        </is>
      </c>
      <c r="C82" s="201" t="n">
        <v>27200</v>
      </c>
      <c r="D82" s="201" t="n">
        <v>25445</v>
      </c>
      <c r="E82" s="201" t="n">
        <v>25548</v>
      </c>
      <c r="F82" s="201" t="n">
        <v>26842</v>
      </c>
      <c r="G82" s="201" t="n">
        <v>25465</v>
      </c>
      <c r="H82" s="201" t="n"/>
      <c r="I82" s="40" t="n"/>
    </row>
    <row r="83">
      <c r="A83" s="37" t="n">
        <v>1</v>
      </c>
      <c r="B83" s="36" t="inlineStr">
        <is>
          <t>中國信託商業銀行</t>
        </is>
      </c>
      <c r="C83" s="201" t="n">
        <v>8456</v>
      </c>
      <c r="D83" s="201" t="n">
        <v>8298</v>
      </c>
      <c r="E83" s="201" t="n">
        <v>8067</v>
      </c>
      <c r="F83" s="201" t="n">
        <v>7972</v>
      </c>
      <c r="G83" s="201" t="n">
        <v>7332</v>
      </c>
      <c r="H83" s="201" t="n"/>
      <c r="I83" s="40">
        <f>G83/$G$82</f>
        <v/>
      </c>
    </row>
    <row r="84">
      <c r="A84" s="37" t="n">
        <v>2</v>
      </c>
      <c r="B84" s="36" t="inlineStr">
        <is>
          <t>國泰世華商業銀行</t>
        </is>
      </c>
      <c r="C84" s="201" t="n">
        <v>2863</v>
      </c>
      <c r="D84" s="201" t="n">
        <v>2490</v>
      </c>
      <c r="E84" s="201" t="n">
        <v>2575</v>
      </c>
      <c r="F84" s="201" t="n">
        <v>2931</v>
      </c>
      <c r="G84" s="201" t="n">
        <v>2964</v>
      </c>
      <c r="H84" s="201" t="n"/>
      <c r="I84" s="40">
        <f>G84/$G$82</f>
        <v/>
      </c>
    </row>
    <row r="85">
      <c r="A85" s="37" t="n">
        <v>3</v>
      </c>
      <c r="B85" s="36" t="inlineStr">
        <is>
          <t>玉山商業銀行</t>
        </is>
      </c>
      <c r="C85" s="201" t="n">
        <v>1354</v>
      </c>
      <c r="D85" s="201" t="n">
        <v>1876</v>
      </c>
      <c r="E85" s="201" t="n">
        <v>2909</v>
      </c>
      <c r="F85" s="201" t="n">
        <v>3496</v>
      </c>
      <c r="G85" s="201" t="n">
        <v>3515</v>
      </c>
      <c r="H85" s="201" t="n"/>
      <c r="I85" s="40">
        <f>G85/$G$82</f>
        <v/>
      </c>
    </row>
    <row r="86">
      <c r="A86" s="37" t="n">
        <v>4</v>
      </c>
      <c r="B86" s="36" t="inlineStr">
        <is>
          <t>台新國際商業銀行</t>
        </is>
      </c>
      <c r="C86" s="201" t="n">
        <v>1959</v>
      </c>
      <c r="D86" s="201" t="n">
        <v>1746</v>
      </c>
      <c r="E86" s="201" t="n">
        <v>2485</v>
      </c>
      <c r="F86" s="201" t="n">
        <v>3111</v>
      </c>
      <c r="G86" s="201" t="n">
        <v>2886</v>
      </c>
      <c r="H86" s="201" t="n"/>
      <c r="I86" s="40">
        <f>G86/$G$82</f>
        <v/>
      </c>
    </row>
    <row r="87">
      <c r="A87" s="37" t="n">
        <v>5</v>
      </c>
      <c r="B87" s="36" t="inlineStr">
        <is>
          <t>台北富邦銀行</t>
        </is>
      </c>
      <c r="C87" s="201" t="n">
        <v>1164</v>
      </c>
      <c r="D87" s="201" t="n">
        <v>650</v>
      </c>
      <c r="E87" s="201" t="n">
        <v>636</v>
      </c>
      <c r="F87" s="201" t="n">
        <v>927</v>
      </c>
      <c r="G87" s="201" t="n">
        <v>1055</v>
      </c>
      <c r="H87" s="201" t="n"/>
      <c r="I87" s="40">
        <f>G87/$G$82</f>
        <v/>
      </c>
    </row>
    <row r="88">
      <c r="A88" s="37" t="n">
        <v>6</v>
      </c>
      <c r="B88" s="36" t="inlineStr">
        <is>
          <t>花旗(臺灣)商業銀行</t>
        </is>
      </c>
      <c r="C88" s="201" t="n">
        <v>2309</v>
      </c>
      <c r="D88" s="201" t="n">
        <v>2425</v>
      </c>
      <c r="E88" s="201" t="n">
        <v>2174</v>
      </c>
      <c r="F88" s="201" t="n">
        <v>2173</v>
      </c>
      <c r="G88" s="201" t="n">
        <v>2260</v>
      </c>
      <c r="H88" s="201" t="n"/>
      <c r="I88" s="40">
        <f>G88/$G$82</f>
        <v/>
      </c>
    </row>
    <row r="89">
      <c r="A89" s="37" t="n">
        <v>7</v>
      </c>
      <c r="B89" s="36" t="inlineStr">
        <is>
          <t>聯邦商業銀行</t>
        </is>
      </c>
      <c r="C89" s="201" t="n">
        <v>1906</v>
      </c>
      <c r="D89" s="201" t="n">
        <v>1299</v>
      </c>
      <c r="E89" s="201" t="n">
        <v>805</v>
      </c>
      <c r="F89" s="201" t="n">
        <v>860</v>
      </c>
      <c r="G89" s="201" t="n">
        <v>770</v>
      </c>
      <c r="H89" s="201" t="n"/>
      <c r="I89" s="40">
        <f>G89/$G$82</f>
        <v/>
      </c>
    </row>
    <row r="90">
      <c r="A90" s="37" t="n">
        <v>8</v>
      </c>
      <c r="B90" s="36" t="inlineStr">
        <is>
          <t>永豐商業銀行</t>
        </is>
      </c>
      <c r="C90" s="201" t="n">
        <v>1479</v>
      </c>
      <c r="D90" s="201" t="n">
        <v>1353</v>
      </c>
      <c r="E90" s="201" t="n">
        <v>1182</v>
      </c>
      <c r="F90" s="201" t="n">
        <v>1221</v>
      </c>
      <c r="G90" s="201" t="n">
        <v>1125</v>
      </c>
      <c r="H90" s="201" t="n"/>
      <c r="I90" s="40">
        <f>G90/$G$82</f>
        <v/>
      </c>
    </row>
    <row r="91">
      <c r="A91" s="37" t="n">
        <v>9</v>
      </c>
      <c r="B91" s="36" t="inlineStr">
        <is>
          <t>遠東國際商業銀行</t>
        </is>
      </c>
      <c r="C91" s="201" t="n">
        <v>2666</v>
      </c>
      <c r="D91" s="201" t="n">
        <v>2483</v>
      </c>
      <c r="E91" s="201" t="n">
        <v>2393</v>
      </c>
      <c r="F91" s="201" t="n">
        <v>2213</v>
      </c>
      <c r="G91" s="201" t="n">
        <v>1862</v>
      </c>
      <c r="H91" s="201" t="n"/>
      <c r="I91" s="40">
        <f>G91/$G$82</f>
        <v/>
      </c>
    </row>
    <row r="92">
      <c r="A92" s="36" t="inlineStr">
        <is>
          <t>逾期帳款比率(%)</t>
        </is>
      </c>
      <c r="B92" s="36" t="inlineStr">
        <is>
          <t>總計</t>
        </is>
      </c>
      <c r="C92" s="203" t="n">
        <v>0.27</v>
      </c>
      <c r="D92" s="203" t="n">
        <v>0.27</v>
      </c>
      <c r="E92" s="203" t="n">
        <v>0.23</v>
      </c>
      <c r="F92" s="203" t="n">
        <v>0.22</v>
      </c>
      <c r="G92" s="203" t="n">
        <v>0.21</v>
      </c>
      <c r="H92" s="203" t="n"/>
    </row>
    <row r="93">
      <c r="A93" s="37" t="n">
        <v>1</v>
      </c>
      <c r="B93" s="36" t="inlineStr">
        <is>
          <t>中國信託商業銀行</t>
        </is>
      </c>
      <c r="C93" s="203" t="n">
        <v>0.15</v>
      </c>
      <c r="D93" s="203" t="n">
        <v>0.16</v>
      </c>
      <c r="E93" s="203" t="n">
        <v>0.13</v>
      </c>
      <c r="F93" s="203" t="n">
        <v>0.11</v>
      </c>
      <c r="G93" s="203" t="n">
        <v>0.13</v>
      </c>
      <c r="H93" s="203" t="n"/>
    </row>
    <row r="94">
      <c r="A94" s="37" t="n">
        <v>2</v>
      </c>
      <c r="B94" s="36" t="inlineStr">
        <is>
          <t>國泰世華商業銀行</t>
        </is>
      </c>
      <c r="C94" s="203" t="n">
        <v>0.13</v>
      </c>
      <c r="D94" s="203" t="n">
        <v>0.12</v>
      </c>
      <c r="E94" s="203" t="n">
        <v>0.13</v>
      </c>
      <c r="F94" s="203" t="n">
        <v>0.15</v>
      </c>
      <c r="G94" s="203" t="n">
        <v>0.15</v>
      </c>
      <c r="H94" s="203" t="n"/>
    </row>
    <row r="95">
      <c r="A95" s="37" t="n">
        <v>3</v>
      </c>
      <c r="B95" s="36" t="inlineStr">
        <is>
          <t>玉山商業銀行</t>
        </is>
      </c>
      <c r="C95" s="203" t="n">
        <v>0.23</v>
      </c>
      <c r="D95" s="203" t="n">
        <v>0.26</v>
      </c>
      <c r="E95" s="203" t="n">
        <v>0.24</v>
      </c>
      <c r="F95" s="203" t="n">
        <v>0.23</v>
      </c>
      <c r="G95" s="203" t="n">
        <v>0.2</v>
      </c>
      <c r="H95" s="203" t="n"/>
    </row>
    <row r="96">
      <c r="A96" s="37" t="n">
        <v>4</v>
      </c>
      <c r="B96" s="36" t="inlineStr">
        <is>
          <t>台新國際商業銀行</t>
        </is>
      </c>
      <c r="C96" s="203" t="n">
        <v>0.25</v>
      </c>
      <c r="D96" s="203" t="n">
        <v>0.23</v>
      </c>
      <c r="E96" s="203" t="n">
        <v>0.2</v>
      </c>
      <c r="F96" s="203" t="n">
        <v>0.17</v>
      </c>
      <c r="G96" s="203" t="n">
        <v>0.17</v>
      </c>
      <c r="H96" s="203" t="n"/>
    </row>
    <row r="97">
      <c r="A97" s="37" t="n">
        <v>5</v>
      </c>
      <c r="B97" s="36" t="inlineStr">
        <is>
          <t>台北富邦銀行</t>
        </is>
      </c>
      <c r="C97" s="203" t="n">
        <v>0.17</v>
      </c>
      <c r="D97" s="203" t="n">
        <v>0.14</v>
      </c>
      <c r="E97" s="203" t="n">
        <v>0.11</v>
      </c>
      <c r="F97" s="203" t="n">
        <v>0.1</v>
      </c>
      <c r="G97" s="203" t="n">
        <v>0.1</v>
      </c>
      <c r="H97" s="203" t="n"/>
    </row>
    <row r="98">
      <c r="A98" s="37" t="n">
        <v>6</v>
      </c>
      <c r="B98" s="36" t="inlineStr">
        <is>
          <t>花旗(臺灣)商業銀行</t>
        </is>
      </c>
      <c r="C98" s="203" t="n">
        <v>0.66</v>
      </c>
      <c r="D98" s="203" t="n">
        <v>0.67</v>
      </c>
      <c r="E98" s="203" t="n">
        <v>0.57</v>
      </c>
      <c r="F98" s="203" t="n">
        <v>0.66</v>
      </c>
      <c r="G98" s="203" t="n">
        <v>0.57</v>
      </c>
      <c r="H98" s="203" t="n"/>
    </row>
    <row r="99">
      <c r="A99" s="37" t="n">
        <v>7</v>
      </c>
      <c r="B99" s="36" t="inlineStr">
        <is>
          <t>聯邦商業銀行</t>
        </is>
      </c>
      <c r="C99" s="203" t="n">
        <v>0.31</v>
      </c>
      <c r="D99" s="203" t="n">
        <v>0.29</v>
      </c>
      <c r="E99" s="203" t="n">
        <v>0.29</v>
      </c>
      <c r="F99" s="203" t="n">
        <v>0.27</v>
      </c>
      <c r="G99" s="203" t="n">
        <v>0.23</v>
      </c>
      <c r="H99" s="203" t="n"/>
    </row>
    <row r="100">
      <c r="A100" s="37" t="n">
        <v>8</v>
      </c>
      <c r="B100" s="36" t="inlineStr">
        <is>
          <t>永豐商業銀行</t>
        </is>
      </c>
      <c r="C100" s="203" t="n">
        <v>0.31</v>
      </c>
      <c r="D100" s="203" t="n">
        <v>0.38</v>
      </c>
      <c r="E100" s="203" t="n">
        <v>0.23</v>
      </c>
      <c r="F100" s="203" t="n">
        <v>0.16</v>
      </c>
      <c r="G100" s="203" t="n">
        <v>0.27</v>
      </c>
      <c r="H100" s="203" t="n"/>
    </row>
    <row r="101">
      <c r="A101" s="37" t="n">
        <v>9</v>
      </c>
      <c r="B101" s="36" t="inlineStr">
        <is>
          <t>遠東國際商業銀行</t>
        </is>
      </c>
      <c r="C101" s="203" t="n">
        <v>0.29</v>
      </c>
      <c r="D101" s="203" t="n">
        <v>0.36</v>
      </c>
      <c r="E101" s="203" t="n">
        <v>0.31</v>
      </c>
      <c r="F101" s="203" t="n">
        <v>0.3</v>
      </c>
      <c r="G101" s="203" t="n">
        <v>0.31</v>
      </c>
      <c r="H101" s="203" t="n"/>
    </row>
    <row r="102">
      <c r="A102" s="36" t="inlineStr">
        <is>
          <t>備抵呆帳提足率(%)</t>
        </is>
      </c>
      <c r="B102" s="36" t="inlineStr">
        <is>
          <t>總計</t>
        </is>
      </c>
      <c r="C102" s="201" t="n">
        <v>592.7</v>
      </c>
      <c r="D102" s="201" t="n">
        <v>572.27</v>
      </c>
      <c r="E102" s="201" t="n">
        <v>579.9400000000001</v>
      </c>
      <c r="F102" s="201" t="n">
        <v>603.79</v>
      </c>
      <c r="G102" s="201" t="n">
        <v>489.98</v>
      </c>
      <c r="H102" s="201" t="n"/>
    </row>
    <row r="103">
      <c r="A103" s="37" t="n">
        <v>1</v>
      </c>
      <c r="B103" s="36" t="inlineStr">
        <is>
          <t>中國信託商業銀行</t>
        </is>
      </c>
      <c r="C103" s="201" t="n">
        <v>672.58</v>
      </c>
      <c r="D103" s="201" t="n">
        <v>603.99</v>
      </c>
      <c r="E103" s="201" t="n">
        <v>567.6799999999999</v>
      </c>
      <c r="F103" s="201" t="n">
        <v>563.71</v>
      </c>
      <c r="G103" s="201" t="n">
        <v>493.55</v>
      </c>
      <c r="H103" s="201" t="n"/>
    </row>
    <row r="104">
      <c r="A104" s="37" t="n">
        <v>2</v>
      </c>
      <c r="B104" s="36" t="inlineStr">
        <is>
          <t>國泰世華商業銀行</t>
        </is>
      </c>
      <c r="C104" s="201" t="n">
        <v>2270.15</v>
      </c>
      <c r="D104" s="201" t="n">
        <v>2459.95</v>
      </c>
      <c r="E104" s="201" t="n">
        <v>2607.8</v>
      </c>
      <c r="F104" s="201" t="n">
        <v>2429.31</v>
      </c>
      <c r="G104" s="201" t="n">
        <v>1254.71</v>
      </c>
      <c r="H104" s="201" t="n"/>
    </row>
    <row r="105">
      <c r="A105" s="37" t="n">
        <v>3</v>
      </c>
      <c r="B105" s="36" t="inlineStr">
        <is>
          <t>玉山商業銀行</t>
        </is>
      </c>
      <c r="C105" s="201" t="n">
        <v>1390.75</v>
      </c>
      <c r="D105" s="201" t="n">
        <v>928.52</v>
      </c>
      <c r="E105" s="201" t="n">
        <v>726.9299999999999</v>
      </c>
      <c r="F105" s="201" t="n">
        <v>613.27</v>
      </c>
      <c r="G105" s="201" t="n">
        <v>558.87</v>
      </c>
      <c r="H105" s="201" t="n"/>
    </row>
    <row r="106">
      <c r="A106" s="37" t="n">
        <v>4</v>
      </c>
      <c r="B106" s="36" t="inlineStr">
        <is>
          <t>台新國際商業銀行</t>
        </is>
      </c>
      <c r="C106" s="201" t="n">
        <v>557.74</v>
      </c>
      <c r="D106" s="201" t="n">
        <v>606.05</v>
      </c>
      <c r="E106" s="201" t="n">
        <v>686.16</v>
      </c>
      <c r="F106" s="201" t="n">
        <v>833.99</v>
      </c>
      <c r="G106" s="201" t="n">
        <v>916.36</v>
      </c>
      <c r="H106" s="201" t="n"/>
    </row>
    <row r="107">
      <c r="A107" s="37" t="n">
        <v>5</v>
      </c>
      <c r="B107" s="36" t="inlineStr">
        <is>
          <t>台北富邦銀行</t>
        </is>
      </c>
      <c r="C107" s="201" t="n">
        <v>741.02</v>
      </c>
      <c r="D107" s="201" t="n">
        <v>818.58</v>
      </c>
      <c r="E107" s="201" t="n">
        <v>896.83</v>
      </c>
      <c r="F107" s="201" t="n">
        <v>1469.55</v>
      </c>
      <c r="G107" s="201" t="n">
        <v>1246.46</v>
      </c>
      <c r="H107" s="201" t="n"/>
    </row>
    <row r="108">
      <c r="A108" s="37" t="n">
        <v>6</v>
      </c>
      <c r="B108" s="36" t="inlineStr">
        <is>
          <t>花旗(臺灣)商業銀行</t>
        </is>
      </c>
      <c r="C108" s="201" t="n">
        <v>513.3099999999999</v>
      </c>
      <c r="D108" s="201" t="n">
        <v>481.58</v>
      </c>
      <c r="E108" s="201" t="n">
        <v>497.79</v>
      </c>
      <c r="F108" s="201" t="n">
        <v>419.01</v>
      </c>
      <c r="G108" s="201" t="n">
        <v>417.98</v>
      </c>
      <c r="H108" s="201" t="n"/>
    </row>
    <row r="109">
      <c r="A109" s="37" t="n">
        <v>7</v>
      </c>
      <c r="B109" s="36" t="inlineStr">
        <is>
          <t>聯邦商業銀行</t>
        </is>
      </c>
      <c r="C109" s="201" t="n">
        <v>117.38</v>
      </c>
      <c r="D109" s="201" t="n">
        <v>119.71</v>
      </c>
      <c r="E109" s="201" t="n">
        <v>118.36</v>
      </c>
      <c r="F109" s="201" t="n">
        <v>156.82</v>
      </c>
      <c r="G109" s="201" t="n">
        <v>149.87</v>
      </c>
      <c r="H109" s="201" t="n"/>
    </row>
    <row r="110">
      <c r="A110" s="37" t="n">
        <v>8</v>
      </c>
      <c r="B110" s="36" t="inlineStr">
        <is>
          <t>永豐商業銀行</t>
        </is>
      </c>
      <c r="C110" s="201" t="n">
        <v>771.2</v>
      </c>
      <c r="D110" s="201" t="n">
        <v>569.72</v>
      </c>
      <c r="E110" s="201" t="n">
        <v>806</v>
      </c>
      <c r="F110" s="201" t="n">
        <v>982.5</v>
      </c>
      <c r="G110" s="201" t="n">
        <v>602.83</v>
      </c>
      <c r="H110" s="201" t="n"/>
    </row>
    <row r="111">
      <c r="A111" s="37" t="n">
        <v>9</v>
      </c>
      <c r="B111" s="36" t="inlineStr">
        <is>
          <t>遠東國際商業銀行</t>
        </is>
      </c>
      <c r="C111" s="201" t="n">
        <v>100.89</v>
      </c>
      <c r="D111" s="201" t="n">
        <v>100.35</v>
      </c>
      <c r="E111" s="201" t="n">
        <v>101</v>
      </c>
      <c r="F111" s="201" t="n">
        <v>100.57</v>
      </c>
      <c r="G111" s="201" t="n">
        <v>100.68</v>
      </c>
      <c r="H111" s="201" t="n"/>
    </row>
    <row r="112">
      <c r="A112" s="36" t="inlineStr">
        <is>
          <t>本月轉銷呆帳金額</t>
        </is>
      </c>
      <c r="B112" s="36" t="inlineStr">
        <is>
          <t>總計</t>
        </is>
      </c>
      <c r="C112" s="201" t="n">
        <v>4312</v>
      </c>
      <c r="D112" s="201" t="n">
        <v>4541</v>
      </c>
      <c r="E112" s="201" t="n">
        <v>4691</v>
      </c>
      <c r="F112" s="201" t="n">
        <v>4695</v>
      </c>
      <c r="G112" s="201" t="n">
        <v>4336</v>
      </c>
      <c r="H112" s="201" t="n"/>
    </row>
    <row r="113">
      <c r="A113" s="37" t="n">
        <v>1</v>
      </c>
      <c r="B113" s="36" t="inlineStr">
        <is>
          <t>中國信託商業銀行</t>
        </is>
      </c>
      <c r="C113" s="201" t="n">
        <v>746</v>
      </c>
      <c r="D113" s="201" t="n">
        <v>739</v>
      </c>
      <c r="E113" s="201" t="n">
        <v>751</v>
      </c>
      <c r="F113" s="201" t="n">
        <v>784</v>
      </c>
      <c r="G113" s="201" t="n">
        <v>728</v>
      </c>
      <c r="H113" s="201" t="n"/>
    </row>
    <row r="114">
      <c r="A114" s="37" t="n">
        <v>2</v>
      </c>
      <c r="B114" s="36" t="inlineStr">
        <is>
          <t>國泰世華商業銀行</t>
        </is>
      </c>
      <c r="C114" s="201" t="n">
        <v>320</v>
      </c>
      <c r="D114" s="201" t="n">
        <v>361</v>
      </c>
      <c r="E114" s="201" t="n">
        <v>391</v>
      </c>
      <c r="F114" s="201" t="n">
        <v>442</v>
      </c>
      <c r="G114" s="201" t="n">
        <v>484</v>
      </c>
      <c r="H114" s="201" t="n"/>
    </row>
    <row r="115">
      <c r="A115" s="37" t="n">
        <v>3</v>
      </c>
      <c r="B115" s="36" t="inlineStr">
        <is>
          <t>玉山商業銀行</t>
        </is>
      </c>
      <c r="C115" s="201" t="n">
        <v>441</v>
      </c>
      <c r="D115" s="201" t="n">
        <v>463</v>
      </c>
      <c r="E115" s="201" t="n">
        <v>519</v>
      </c>
      <c r="F115" s="201" t="n">
        <v>523</v>
      </c>
      <c r="G115" s="201" t="n">
        <v>520</v>
      </c>
      <c r="H115" s="201" t="n"/>
    </row>
    <row r="116">
      <c r="A116" s="37" t="n">
        <v>4</v>
      </c>
      <c r="B116" s="36" t="inlineStr">
        <is>
          <t>台新國際商業銀行</t>
        </is>
      </c>
      <c r="C116" s="201" t="n">
        <v>256</v>
      </c>
      <c r="D116" s="201" t="n">
        <v>275</v>
      </c>
      <c r="E116" s="201" t="n">
        <v>295</v>
      </c>
      <c r="F116" s="201" t="n">
        <v>310</v>
      </c>
      <c r="G116" s="201" t="n">
        <v>294</v>
      </c>
      <c r="H116" s="201" t="n"/>
    </row>
    <row r="117">
      <c r="A117" s="37" t="n">
        <v>5</v>
      </c>
      <c r="B117" s="36" t="inlineStr">
        <is>
          <t>台北富邦銀行</t>
        </is>
      </c>
      <c r="C117" s="201" t="n">
        <v>284</v>
      </c>
      <c r="D117" s="201" t="n">
        <v>284</v>
      </c>
      <c r="E117" s="201" t="n">
        <v>271</v>
      </c>
      <c r="F117" s="201" t="n">
        <v>254</v>
      </c>
      <c r="G117" s="201" t="n">
        <v>236</v>
      </c>
      <c r="H117" s="201" t="n"/>
    </row>
    <row r="118">
      <c r="A118" s="37" t="n">
        <v>6</v>
      </c>
      <c r="B118" s="36" t="inlineStr">
        <is>
          <t>花旗(臺灣)商業銀行</t>
        </is>
      </c>
      <c r="C118" s="201" t="n">
        <v>655</v>
      </c>
      <c r="D118" s="201" t="n">
        <v>714</v>
      </c>
      <c r="E118" s="201" t="n">
        <v>685</v>
      </c>
      <c r="F118" s="201" t="n">
        <v>674</v>
      </c>
      <c r="G118" s="201" t="n">
        <v>596</v>
      </c>
      <c r="H118" s="201" t="n"/>
    </row>
    <row r="119">
      <c r="A119" s="37" t="n">
        <v>7</v>
      </c>
      <c r="B119" s="36" t="inlineStr">
        <is>
          <t>聯邦商業銀行</t>
        </is>
      </c>
      <c r="C119" s="201" t="n">
        <v>158</v>
      </c>
      <c r="D119" s="201" t="n">
        <v>171</v>
      </c>
      <c r="E119" s="201" t="n">
        <v>187</v>
      </c>
      <c r="F119" s="201" t="n">
        <v>214</v>
      </c>
      <c r="G119" s="201" t="n">
        <v>201</v>
      </c>
      <c r="H119" s="201" t="n"/>
    </row>
    <row r="120">
      <c r="A120" s="37" t="n">
        <v>8</v>
      </c>
      <c r="B120" s="36" t="inlineStr">
        <is>
          <t>永豐商業銀行</t>
        </is>
      </c>
      <c r="C120" s="201" t="n">
        <v>192</v>
      </c>
      <c r="D120" s="201" t="n">
        <v>178</v>
      </c>
      <c r="E120" s="201" t="n">
        <v>202</v>
      </c>
      <c r="F120" s="201" t="n">
        <v>172</v>
      </c>
      <c r="G120" s="201" t="n">
        <v>128</v>
      </c>
      <c r="H120" s="201" t="n"/>
    </row>
    <row r="121">
      <c r="A121" s="37" t="n">
        <v>9</v>
      </c>
      <c r="B121" s="36" t="inlineStr">
        <is>
          <t>遠東國際商業銀行</t>
        </is>
      </c>
      <c r="C121" s="201" t="n">
        <v>177</v>
      </c>
      <c r="D121" s="201" t="n">
        <v>199</v>
      </c>
      <c r="E121" s="201" t="n">
        <v>206</v>
      </c>
      <c r="F121" s="201" t="n">
        <v>189</v>
      </c>
      <c r="G121" s="201" t="n">
        <v>166</v>
      </c>
      <c r="H121" s="201" t="n"/>
    </row>
    <row r="122">
      <c r="A122" s="36" t="inlineStr">
        <is>
          <t>循環信用利息收入</t>
        </is>
      </c>
      <c r="B122" s="36" t="inlineStr">
        <is>
          <t>總計</t>
        </is>
      </c>
      <c r="C122" s="201" t="n">
        <v>15860</v>
      </c>
      <c r="D122" s="201" t="n">
        <v>14626</v>
      </c>
      <c r="E122" s="201" t="n">
        <v>14934</v>
      </c>
      <c r="F122" s="201" t="n">
        <v>15381</v>
      </c>
      <c r="G122" s="201" t="n">
        <v>15528</v>
      </c>
      <c r="H122" s="201" t="n"/>
    </row>
    <row r="123">
      <c r="A123" s="37" t="n">
        <v>1</v>
      </c>
      <c r="B123" s="36" t="inlineStr">
        <is>
          <t>中國信託商業銀行</t>
        </is>
      </c>
      <c r="C123" s="201" t="n">
        <v>1861</v>
      </c>
      <c r="D123" s="201" t="n">
        <v>1777</v>
      </c>
      <c r="E123" s="201" t="n">
        <v>1944</v>
      </c>
      <c r="F123" s="201" t="n">
        <v>2224</v>
      </c>
      <c r="G123" s="201" t="n">
        <v>2390</v>
      </c>
      <c r="H123" s="201" t="n"/>
      <c r="I123" s="40">
        <f>G123/$G$122</f>
        <v/>
      </c>
    </row>
    <row r="124">
      <c r="A124" s="37" t="n">
        <v>2</v>
      </c>
      <c r="B124" s="36" t="inlineStr">
        <is>
          <t>國泰世華商業銀行</t>
        </is>
      </c>
      <c r="C124" s="201" t="n">
        <v>2081</v>
      </c>
      <c r="D124" s="201" t="n">
        <v>1998</v>
      </c>
      <c r="E124" s="201" t="n">
        <v>2138</v>
      </c>
      <c r="F124" s="201" t="n">
        <v>2249</v>
      </c>
      <c r="G124" s="201" t="n">
        <v>2340</v>
      </c>
      <c r="H124" s="201" t="n"/>
      <c r="I124" s="40">
        <f>G124/$G$122</f>
        <v/>
      </c>
    </row>
    <row r="125">
      <c r="A125" s="37" t="n">
        <v>3</v>
      </c>
      <c r="B125" s="36" t="inlineStr">
        <is>
          <t>玉山商業銀行</t>
        </is>
      </c>
      <c r="C125" s="201" t="n">
        <v>1546</v>
      </c>
      <c r="D125" s="201" t="n">
        <v>1544</v>
      </c>
      <c r="E125" s="201" t="n">
        <v>1791</v>
      </c>
      <c r="F125" s="201" t="n">
        <v>1898</v>
      </c>
      <c r="G125" s="201" t="n">
        <v>1879</v>
      </c>
      <c r="H125" s="201" t="n"/>
      <c r="I125" s="40">
        <f>G125/$G$122</f>
        <v/>
      </c>
    </row>
    <row r="126">
      <c r="A126" s="37" t="n">
        <v>4</v>
      </c>
      <c r="B126" s="36" t="inlineStr">
        <is>
          <t>台新國際商業銀行</t>
        </is>
      </c>
      <c r="C126" s="201" t="n">
        <v>1219</v>
      </c>
      <c r="D126" s="201" t="n">
        <v>1170</v>
      </c>
      <c r="E126" s="201" t="n">
        <v>1177</v>
      </c>
      <c r="F126" s="201" t="n">
        <v>1292</v>
      </c>
      <c r="G126" s="201" t="n">
        <v>1386</v>
      </c>
      <c r="H126" s="201" t="n"/>
      <c r="I126" s="40">
        <f>G126/$G$122</f>
        <v/>
      </c>
    </row>
    <row r="127">
      <c r="A127" s="37" t="n">
        <v>5</v>
      </c>
      <c r="B127" s="36" t="inlineStr">
        <is>
          <t>台北富邦銀行</t>
        </is>
      </c>
      <c r="C127" s="201" t="n">
        <v>982</v>
      </c>
      <c r="D127" s="201" t="n">
        <v>836</v>
      </c>
      <c r="E127" s="201" t="n">
        <v>757</v>
      </c>
      <c r="F127" s="201" t="n">
        <v>693</v>
      </c>
      <c r="G127" s="201" t="n">
        <v>682</v>
      </c>
      <c r="H127" s="201" t="n"/>
      <c r="I127" s="40">
        <f>G127/$G$122</f>
        <v/>
      </c>
    </row>
    <row r="128">
      <c r="A128" s="37" t="n">
        <v>6</v>
      </c>
      <c r="B128" s="36" t="inlineStr">
        <is>
          <t>花旗(臺灣)商業銀行</t>
        </is>
      </c>
      <c r="C128" s="201" t="n">
        <v>2501</v>
      </c>
      <c r="D128" s="201" t="n">
        <v>2300</v>
      </c>
      <c r="E128" s="201" t="n">
        <v>2211</v>
      </c>
      <c r="F128" s="201" t="n">
        <v>2057</v>
      </c>
      <c r="G128" s="201" t="n">
        <v>1869</v>
      </c>
      <c r="H128" s="201" t="n"/>
      <c r="I128" s="40">
        <f>G128/$G$122</f>
        <v/>
      </c>
    </row>
    <row r="129">
      <c r="A129" s="37" t="n">
        <v>7</v>
      </c>
      <c r="B129" s="36" t="inlineStr">
        <is>
          <t>聯邦商業銀行</t>
        </is>
      </c>
      <c r="C129" s="201" t="n">
        <v>553</v>
      </c>
      <c r="D129" s="201" t="n">
        <v>486</v>
      </c>
      <c r="E129" s="201" t="n">
        <v>554</v>
      </c>
      <c r="F129" s="201" t="n">
        <v>629</v>
      </c>
      <c r="G129" s="201" t="n">
        <v>671</v>
      </c>
      <c r="H129" s="201" t="n"/>
      <c r="I129" s="40">
        <f>G129/$G$122</f>
        <v/>
      </c>
    </row>
    <row r="130">
      <c r="A130" s="37" t="n">
        <v>8</v>
      </c>
      <c r="B130" s="36" t="inlineStr">
        <is>
          <t>永豐商業銀行</t>
        </is>
      </c>
      <c r="C130" s="201" t="n">
        <v>846</v>
      </c>
      <c r="D130" s="201" t="n">
        <v>733</v>
      </c>
      <c r="E130" s="201" t="n">
        <v>668</v>
      </c>
      <c r="F130" s="201" t="n">
        <v>685</v>
      </c>
      <c r="G130" s="201" t="n">
        <v>695</v>
      </c>
      <c r="H130" s="201" t="n"/>
      <c r="I130" s="40">
        <f>G130/$G$122</f>
        <v/>
      </c>
    </row>
    <row r="131">
      <c r="A131" s="37" t="n">
        <v>9</v>
      </c>
      <c r="B131" s="36" t="inlineStr">
        <is>
          <t>遠東國際商業銀行</t>
        </is>
      </c>
      <c r="C131" s="201" t="n">
        <v>959</v>
      </c>
      <c r="D131" s="201" t="n">
        <v>841</v>
      </c>
      <c r="E131" s="201" t="n">
        <v>820</v>
      </c>
      <c r="F131" s="201" t="n">
        <v>818</v>
      </c>
      <c r="G131" s="201" t="n">
        <v>821</v>
      </c>
      <c r="H131" s="201" t="n"/>
      <c r="I131" s="40">
        <f>G131/$G$122</f>
        <v/>
      </c>
    </row>
    <row r="132">
      <c r="A132" s="36" t="inlineStr">
        <is>
          <t>簽帳手續費收入</t>
        </is>
      </c>
      <c r="B132" s="36" t="inlineStr">
        <is>
          <t>總計</t>
        </is>
      </c>
      <c r="C132" s="201" t="n">
        <v>29287</v>
      </c>
      <c r="D132" s="201" t="n">
        <v>31243</v>
      </c>
      <c r="E132" s="201" t="n">
        <v>33740</v>
      </c>
      <c r="F132" s="201" t="n">
        <v>36920</v>
      </c>
      <c r="G132" s="201" t="n">
        <v>40727</v>
      </c>
      <c r="H132" s="201" t="n"/>
    </row>
    <row r="133">
      <c r="A133" s="37" t="n">
        <v>1</v>
      </c>
      <c r="B133" s="36" t="inlineStr">
        <is>
          <t>中國信託商業銀行</t>
        </is>
      </c>
      <c r="C133" s="201" t="n">
        <v>4215</v>
      </c>
      <c r="D133" s="201" t="n">
        <v>4202</v>
      </c>
      <c r="E133" s="201" t="n">
        <v>5217</v>
      </c>
      <c r="F133" s="201" t="n">
        <v>6655</v>
      </c>
      <c r="G133" s="201" t="n">
        <v>6515</v>
      </c>
      <c r="H133" s="201" t="n"/>
      <c r="I133" s="40">
        <f>G133/$G$132</f>
        <v/>
      </c>
    </row>
    <row r="134">
      <c r="A134" s="37" t="n">
        <v>2</v>
      </c>
      <c r="B134" s="36" t="inlineStr">
        <is>
          <t>國泰世華商業銀行</t>
        </is>
      </c>
      <c r="C134" s="201" t="n">
        <v>3628</v>
      </c>
      <c r="D134" s="201" t="n">
        <v>4105</v>
      </c>
      <c r="E134" s="201" t="n">
        <v>4522</v>
      </c>
      <c r="F134" s="201" t="n">
        <v>4904</v>
      </c>
      <c r="G134" s="201" t="n">
        <v>5124</v>
      </c>
      <c r="H134" s="201" t="n"/>
      <c r="I134" s="40">
        <f>G134/$G$132</f>
        <v/>
      </c>
    </row>
    <row r="135">
      <c r="A135" s="37" t="n">
        <v>3</v>
      </c>
      <c r="B135" s="36" t="inlineStr">
        <is>
          <t>玉山商業銀行</t>
        </is>
      </c>
      <c r="C135" s="201" t="n">
        <v>3326</v>
      </c>
      <c r="D135" s="201" t="n">
        <v>3700</v>
      </c>
      <c r="E135" s="201" t="n">
        <v>3952</v>
      </c>
      <c r="F135" s="201" t="n">
        <v>4164</v>
      </c>
      <c r="G135" s="201" t="n">
        <v>5657</v>
      </c>
      <c r="H135" s="201" t="n"/>
      <c r="I135" s="40">
        <f>G135/$G$132</f>
        <v/>
      </c>
    </row>
    <row r="136">
      <c r="A136" s="37" t="n">
        <v>4</v>
      </c>
      <c r="B136" s="36" t="inlineStr">
        <is>
          <t>台新國際商業銀行</t>
        </is>
      </c>
      <c r="C136" s="201" t="n">
        <v>2556</v>
      </c>
      <c r="D136" s="201" t="n">
        <v>2740</v>
      </c>
      <c r="E136" s="201" t="n">
        <v>3113</v>
      </c>
      <c r="F136" s="201" t="n">
        <v>3584</v>
      </c>
      <c r="G136" s="201" t="n">
        <v>4546</v>
      </c>
      <c r="H136" s="201" t="n"/>
      <c r="I136" s="40">
        <f>G136/$G$132</f>
        <v/>
      </c>
    </row>
    <row r="137">
      <c r="A137" s="37" t="n">
        <v>5</v>
      </c>
      <c r="B137" s="36" t="inlineStr">
        <is>
          <t>台北富邦銀行</t>
        </is>
      </c>
      <c r="C137" s="201" t="n">
        <v>2382</v>
      </c>
      <c r="D137" s="201" t="n">
        <v>2790</v>
      </c>
      <c r="E137" s="201" t="n">
        <v>2844</v>
      </c>
      <c r="F137" s="201" t="n">
        <v>2851</v>
      </c>
      <c r="G137" s="201" t="n">
        <v>3257</v>
      </c>
      <c r="H137" s="201" t="n"/>
      <c r="I137" s="40">
        <f>G137/$G$132</f>
        <v/>
      </c>
    </row>
    <row r="138">
      <c r="A138" s="37" t="n">
        <v>6</v>
      </c>
      <c r="B138" s="36" t="inlineStr">
        <is>
          <t>花旗(臺灣)商業銀行</t>
        </is>
      </c>
      <c r="C138" s="201" t="n">
        <v>3034</v>
      </c>
      <c r="D138" s="201" t="n">
        <v>3079</v>
      </c>
      <c r="E138" s="201" t="n">
        <v>3077</v>
      </c>
      <c r="F138" s="201" t="n">
        <v>2982</v>
      </c>
      <c r="G138" s="201" t="n">
        <v>2865</v>
      </c>
      <c r="H138" s="201" t="n"/>
      <c r="I138" s="40">
        <f>G138/$G$132</f>
        <v/>
      </c>
    </row>
    <row r="139">
      <c r="A139" s="37" t="n">
        <v>7</v>
      </c>
      <c r="B139" s="36" t="inlineStr">
        <is>
          <t>聯邦商業銀行</t>
        </is>
      </c>
      <c r="C139" s="201" t="n">
        <v>989</v>
      </c>
      <c r="D139" s="201" t="n">
        <v>1143</v>
      </c>
      <c r="E139" s="201" t="n">
        <v>1234</v>
      </c>
      <c r="F139" s="201" t="n">
        <v>1247</v>
      </c>
      <c r="G139" s="201" t="n">
        <v>1278</v>
      </c>
      <c r="H139" s="201" t="n"/>
      <c r="I139" s="40">
        <f>G139/$G$132</f>
        <v/>
      </c>
    </row>
    <row r="140">
      <c r="A140" s="37" t="n">
        <v>8</v>
      </c>
      <c r="B140" s="36" t="inlineStr">
        <is>
          <t>永豐商業銀行</t>
        </is>
      </c>
      <c r="C140" s="201" t="n">
        <v>1185</v>
      </c>
      <c r="D140" s="201" t="n">
        <v>1242</v>
      </c>
      <c r="E140" s="201" t="n">
        <v>1187</v>
      </c>
      <c r="F140" s="201" t="n">
        <v>1236</v>
      </c>
      <c r="G140" s="201" t="n">
        <v>1425</v>
      </c>
      <c r="H140" s="201" t="n"/>
      <c r="I140" s="40">
        <f>G140/$G$132</f>
        <v/>
      </c>
    </row>
    <row r="141">
      <c r="A141" s="37" t="n">
        <v>9</v>
      </c>
      <c r="B141" s="36" t="inlineStr">
        <is>
          <t>遠東國際商業銀行</t>
        </is>
      </c>
      <c r="C141" s="201" t="n">
        <v>626</v>
      </c>
      <c r="D141" s="201" t="n">
        <v>627</v>
      </c>
      <c r="E141" s="201" t="n">
        <v>602</v>
      </c>
      <c r="F141" s="201" t="n">
        <v>592</v>
      </c>
      <c r="G141" s="201" t="n">
        <v>594</v>
      </c>
      <c r="H141" s="201" t="n"/>
      <c r="I141" s="40">
        <f>G141/$G$132</f>
        <v/>
      </c>
    </row>
    <row r="142">
      <c r="A142" s="36" t="inlineStr">
        <is>
          <t>預借現金手續費</t>
        </is>
      </c>
      <c r="B142" s="36" t="inlineStr">
        <is>
          <t>總計</t>
        </is>
      </c>
      <c r="C142" s="201" t="n">
        <v>921</v>
      </c>
      <c r="D142" s="201" t="n">
        <v>912</v>
      </c>
      <c r="E142" s="201" t="n">
        <v>948</v>
      </c>
      <c r="F142" s="201" t="n">
        <v>1041</v>
      </c>
      <c r="G142" s="201" t="n">
        <v>1016</v>
      </c>
      <c r="H142" s="201" t="n"/>
    </row>
    <row r="143">
      <c r="A143" s="37" t="n">
        <v>1</v>
      </c>
      <c r="B143" s="36" t="inlineStr">
        <is>
          <t>中國信託商業銀行</t>
        </is>
      </c>
      <c r="C143" s="201" t="n">
        <v>474</v>
      </c>
      <c r="D143" s="201" t="n">
        <v>464</v>
      </c>
      <c r="E143" s="201" t="n">
        <v>462</v>
      </c>
      <c r="F143" s="201" t="n">
        <v>469</v>
      </c>
      <c r="G143" s="201" t="n">
        <v>446</v>
      </c>
      <c r="H143" s="201" t="n"/>
      <c r="I143" s="40">
        <f>G143/$G$142</f>
        <v/>
      </c>
    </row>
    <row r="144">
      <c r="A144" s="37" t="n">
        <v>2</v>
      </c>
      <c r="B144" s="36" t="inlineStr">
        <is>
          <t>國泰世華商業銀行</t>
        </is>
      </c>
      <c r="C144" s="201" t="n">
        <v>56</v>
      </c>
      <c r="D144" s="201" t="n">
        <v>71</v>
      </c>
      <c r="E144" s="201" t="n">
        <v>78</v>
      </c>
      <c r="F144" s="201" t="n">
        <v>81</v>
      </c>
      <c r="G144" s="201" t="n">
        <v>78</v>
      </c>
      <c r="H144" s="201" t="n"/>
      <c r="I144" s="40">
        <f>G144/$G$142</f>
        <v/>
      </c>
    </row>
    <row r="145">
      <c r="A145" s="37" t="n">
        <v>3</v>
      </c>
      <c r="B145" s="36" t="inlineStr">
        <is>
          <t>玉山商業銀行</t>
        </is>
      </c>
      <c r="C145" s="201" t="n">
        <v>45</v>
      </c>
      <c r="D145" s="201" t="n">
        <v>66</v>
      </c>
      <c r="E145" s="201" t="n">
        <v>89</v>
      </c>
      <c r="F145" s="201" t="n">
        <v>104</v>
      </c>
      <c r="G145" s="201" t="n">
        <v>108</v>
      </c>
      <c r="H145" s="201" t="n"/>
      <c r="I145" s="40">
        <f>G145/$G$142</f>
        <v/>
      </c>
    </row>
    <row r="146">
      <c r="A146" s="37" t="n">
        <v>4</v>
      </c>
      <c r="B146" s="36" t="inlineStr">
        <is>
          <t>台新國際商業銀行</t>
        </is>
      </c>
      <c r="C146" s="201" t="n">
        <v>103</v>
      </c>
      <c r="D146" s="201" t="n">
        <v>95</v>
      </c>
      <c r="E146" s="201" t="n">
        <v>111</v>
      </c>
      <c r="F146" s="201" t="n">
        <v>179</v>
      </c>
      <c r="G146" s="201" t="n">
        <v>193</v>
      </c>
      <c r="H146" s="201" t="n"/>
      <c r="I146" s="40">
        <f>G146/$G$142</f>
        <v/>
      </c>
    </row>
    <row r="147">
      <c r="A147" s="37" t="n">
        <v>5</v>
      </c>
      <c r="B147" s="36" t="inlineStr">
        <is>
          <t>台北富邦銀行</t>
        </is>
      </c>
      <c r="C147" s="201" t="n">
        <v>45</v>
      </c>
      <c r="D147" s="201" t="n">
        <v>26</v>
      </c>
      <c r="E147" s="201" t="n">
        <v>26</v>
      </c>
      <c r="F147" s="201" t="n">
        <v>27</v>
      </c>
      <c r="G147" s="201" t="n">
        <v>25</v>
      </c>
      <c r="H147" s="201" t="n"/>
      <c r="I147" s="40">
        <f>G147/$G$142</f>
        <v/>
      </c>
    </row>
    <row r="148">
      <c r="A148" s="37" t="n">
        <v>6</v>
      </c>
      <c r="B148" s="36" t="inlineStr">
        <is>
          <t>花旗(臺灣)商業銀行</t>
        </is>
      </c>
      <c r="C148" s="201" t="n">
        <v>71</v>
      </c>
      <c r="D148" s="201" t="n">
        <v>70</v>
      </c>
      <c r="E148" s="201" t="n">
        <v>62</v>
      </c>
      <c r="F148" s="201" t="n">
        <v>60</v>
      </c>
      <c r="G148" s="201" t="n">
        <v>54</v>
      </c>
      <c r="H148" s="201" t="n"/>
      <c r="I148" s="40">
        <f>G148/$G$142</f>
        <v/>
      </c>
    </row>
    <row r="149">
      <c r="A149" s="37" t="n">
        <v>7</v>
      </c>
      <c r="B149" s="36" t="inlineStr">
        <is>
          <t>聯邦商業銀行</t>
        </is>
      </c>
      <c r="C149" s="201" t="n">
        <v>16</v>
      </c>
      <c r="D149" s="201" t="n">
        <v>14</v>
      </c>
      <c r="E149" s="201" t="n">
        <v>13</v>
      </c>
      <c r="F149" s="201" t="n">
        <v>14</v>
      </c>
      <c r="G149" s="201" t="n">
        <v>12</v>
      </c>
      <c r="H149" s="201" t="n"/>
      <c r="I149" s="40">
        <f>G149/$G$142</f>
        <v/>
      </c>
    </row>
    <row r="150">
      <c r="A150" s="37" t="n">
        <v>8</v>
      </c>
      <c r="B150" s="36" t="inlineStr">
        <is>
          <t>永豐商業銀行</t>
        </is>
      </c>
      <c r="C150" s="201" t="n">
        <v>32</v>
      </c>
      <c r="D150" s="201" t="n">
        <v>32</v>
      </c>
      <c r="E150" s="201" t="n">
        <v>33</v>
      </c>
      <c r="F150" s="201" t="n">
        <v>34</v>
      </c>
      <c r="G150" s="201" t="n">
        <v>32</v>
      </c>
      <c r="H150" s="201" t="n"/>
      <c r="I150" s="40">
        <f>G150/$G$142</f>
        <v/>
      </c>
    </row>
    <row r="151">
      <c r="A151" s="37" t="n">
        <v>9</v>
      </c>
      <c r="B151" s="36" t="inlineStr">
        <is>
          <t>遠東國際商業銀行</t>
        </is>
      </c>
      <c r="C151" s="201" t="n">
        <v>11</v>
      </c>
      <c r="D151" s="201" t="n">
        <v>11</v>
      </c>
      <c r="E151" s="201" t="n">
        <v>11</v>
      </c>
      <c r="F151" s="201" t="n">
        <v>11</v>
      </c>
      <c r="G151" s="201" t="n">
        <v>10</v>
      </c>
      <c r="H151" s="201" t="n"/>
      <c r="I151" s="40">
        <f>G151/$G$142</f>
        <v/>
      </c>
    </row>
    <row r="152">
      <c r="A152" s="36" t="inlineStr">
        <is>
          <t>收單特約商店家數</t>
        </is>
      </c>
      <c r="B152" s="36" t="inlineStr">
        <is>
          <t>總計</t>
        </is>
      </c>
      <c r="C152" s="174" t="inlineStr">
        <is>
          <t>－</t>
        </is>
      </c>
      <c r="D152" s="174" t="inlineStr">
        <is>
          <t>－</t>
        </is>
      </c>
      <c r="E152" s="174" t="inlineStr">
        <is>
          <t>－</t>
        </is>
      </c>
      <c r="F152" s="174" t="inlineStr">
        <is>
          <t>－</t>
        </is>
      </c>
      <c r="G152" s="174" t="inlineStr">
        <is>
          <t>－</t>
        </is>
      </c>
      <c r="H152" s="201" t="n"/>
    </row>
    <row r="153">
      <c r="A153" s="37" t="n">
        <v>1</v>
      </c>
      <c r="B153" s="36" t="inlineStr">
        <is>
          <t>中國信託商業銀行</t>
        </is>
      </c>
      <c r="C153" s="201" t="n">
        <v>96122</v>
      </c>
      <c r="D153" s="201" t="n">
        <v>102860</v>
      </c>
      <c r="E153" s="201" t="n">
        <v>102314</v>
      </c>
      <c r="F153" s="201" t="n">
        <v>105079</v>
      </c>
      <c r="G153" s="201" t="n">
        <v>106682</v>
      </c>
      <c r="H153" s="201" t="n"/>
    </row>
    <row r="154">
      <c r="A154" s="37" t="n">
        <v>2</v>
      </c>
      <c r="B154" s="36" t="inlineStr">
        <is>
          <t>國泰世華商業銀行</t>
        </is>
      </c>
      <c r="C154" s="201" t="n">
        <v>22515</v>
      </c>
      <c r="D154" s="201" t="n">
        <v>25246</v>
      </c>
      <c r="E154" s="201" t="n">
        <v>44703</v>
      </c>
      <c r="F154" s="201" t="n">
        <v>52406</v>
      </c>
      <c r="G154" s="201" t="n">
        <v>62836</v>
      </c>
      <c r="H154" s="201" t="n"/>
    </row>
    <row r="155">
      <c r="A155" s="37" t="n">
        <v>3</v>
      </c>
      <c r="B155" s="36" t="inlineStr">
        <is>
          <t>玉山商業銀行</t>
        </is>
      </c>
      <c r="C155" s="201" t="n">
        <v>19011</v>
      </c>
      <c r="D155" s="201" t="n">
        <v>43140</v>
      </c>
      <c r="E155" s="201" t="n">
        <v>55135</v>
      </c>
      <c r="F155" s="201" t="n">
        <v>62556</v>
      </c>
      <c r="G155" s="201" t="n">
        <v>54706</v>
      </c>
      <c r="H155" s="201" t="n"/>
    </row>
    <row r="156">
      <c r="A156" s="37" t="n">
        <v>4</v>
      </c>
      <c r="B156" s="36" t="inlineStr">
        <is>
          <t>台新國際商業銀行</t>
        </is>
      </c>
      <c r="C156" s="201" t="n">
        <v>89072</v>
      </c>
      <c r="D156" s="201" t="n">
        <v>103323</v>
      </c>
      <c r="E156" s="201" t="n">
        <v>119607</v>
      </c>
      <c r="F156" s="201" t="n">
        <v>125870</v>
      </c>
      <c r="G156" s="201" t="n">
        <v>144565</v>
      </c>
      <c r="H156" s="201" t="n"/>
    </row>
    <row r="157">
      <c r="A157" s="37" t="n">
        <v>5</v>
      </c>
      <c r="B157" s="36" t="inlineStr">
        <is>
          <t>台北富邦銀行</t>
        </is>
      </c>
      <c r="C157" s="201" t="n">
        <v>697</v>
      </c>
      <c r="D157" s="201" t="n">
        <v>923</v>
      </c>
      <c r="E157" s="201" t="n">
        <v>1014</v>
      </c>
      <c r="F157" s="201" t="n">
        <v>4568</v>
      </c>
      <c r="G157" s="201" t="n">
        <v>6577</v>
      </c>
      <c r="H157" s="201" t="n"/>
    </row>
    <row r="158">
      <c r="A158" s="37" t="n">
        <v>6</v>
      </c>
      <c r="B158" s="36" t="inlineStr">
        <is>
          <t>花旗(臺灣)商業銀行</t>
        </is>
      </c>
      <c r="C158" s="201" t="n">
        <v>38268</v>
      </c>
      <c r="D158" s="201" t="n">
        <v>37512</v>
      </c>
      <c r="E158" s="201" t="n">
        <v>36722</v>
      </c>
      <c r="F158" s="201" t="n">
        <v>36580</v>
      </c>
      <c r="G158" s="201" t="n">
        <v>32677</v>
      </c>
      <c r="H158" s="201" t="n"/>
    </row>
    <row r="159">
      <c r="A159" s="37" t="n">
        <v>7</v>
      </c>
      <c r="B159" s="36" t="inlineStr">
        <is>
          <t>聯邦商業銀行</t>
        </is>
      </c>
      <c r="C159" s="201" t="n">
        <v>3577</v>
      </c>
      <c r="D159" s="201" t="n">
        <v>8775</v>
      </c>
      <c r="E159" s="201" t="n">
        <v>9672</v>
      </c>
      <c r="F159" s="201" t="n">
        <v>9646</v>
      </c>
      <c r="G159" s="201" t="n">
        <v>14236</v>
      </c>
      <c r="H159" s="201" t="n"/>
    </row>
    <row r="160">
      <c r="A160" s="37" t="n">
        <v>8</v>
      </c>
      <c r="B160" s="36" t="inlineStr">
        <is>
          <t>永豐商業銀行</t>
        </is>
      </c>
      <c r="C160" s="201" t="n">
        <v>6309</v>
      </c>
      <c r="D160" s="201" t="n">
        <v>7853</v>
      </c>
      <c r="E160" s="201" t="n">
        <v>7409</v>
      </c>
      <c r="F160" s="201" t="n">
        <v>11482</v>
      </c>
      <c r="G160" s="201" t="n">
        <v>16003</v>
      </c>
      <c r="H160" s="201" t="n"/>
    </row>
    <row r="161">
      <c r="A161" s="37" t="n">
        <v>9</v>
      </c>
      <c r="B161" s="36" t="inlineStr">
        <is>
          <t>遠東國際商業銀行</t>
        </is>
      </c>
      <c r="C161" s="201" t="n">
        <v>1217</v>
      </c>
      <c r="D161" s="201" t="n">
        <v>5608</v>
      </c>
      <c r="E161" s="201" t="n">
        <v>8424</v>
      </c>
      <c r="F161" s="201" t="n">
        <v>8205</v>
      </c>
      <c r="G161" s="201" t="n">
        <v>8334</v>
      </c>
      <c r="H161" s="201" t="n"/>
    </row>
  </sheetData>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AK519"/>
  <sheetViews>
    <sheetView topLeftCell="AI1" zoomScaleNormal="100" workbookViewId="0">
      <selection activeCell="V4" sqref="V4"/>
    </sheetView>
  </sheetViews>
  <sheetFormatPr baseColWidth="8" defaultColWidth="8.453125" defaultRowHeight="17"/>
  <cols>
    <col width="6.453125" customWidth="1" style="142" min="1" max="1"/>
    <col width="5.453125" customWidth="1" style="142" min="2" max="2"/>
    <col width="9.453125" customWidth="1" style="142" min="3" max="3"/>
    <col width="15.08984375" customWidth="1" style="142" min="4" max="4"/>
    <col width="24.08984375" customWidth="1" style="142" min="5" max="5"/>
    <col width="19.453125" customWidth="1" style="142" min="6" max="6"/>
    <col width="28.36328125" customWidth="1" style="142" min="7" max="7"/>
    <col width="20.6328125" customWidth="1" style="142" min="8" max="8"/>
    <col width="29.453125" customWidth="1" style="142" min="9" max="9"/>
    <col width="21.90625" customWidth="1" style="142" min="10" max="10"/>
    <col width="30.6328125" customWidth="1" style="142" min="11" max="11"/>
    <col width="21.90625" customWidth="1" style="142" min="12" max="12"/>
    <col width="30.6328125" customWidth="1" style="142" min="13" max="13"/>
    <col width="21.90625" customWidth="1" style="142" min="14" max="14"/>
    <col width="30.6328125" customWidth="1" style="142" min="15" max="15"/>
    <col width="21.90625" customWidth="1" style="142" min="16" max="16"/>
    <col width="30.6328125" customWidth="1" style="142" min="17" max="17"/>
    <col width="20" customWidth="1" style="142" min="18" max="18"/>
    <col width="28.90625" customWidth="1" style="142" min="19" max="19"/>
    <col width="10.08984375" customWidth="1" style="142" min="21" max="21"/>
    <col width="33.08984375" customWidth="1" style="142" min="22" max="22"/>
    <col width="38.08984375" customWidth="1" style="142" min="23" max="23"/>
    <col width="39.36328125" customWidth="1" style="142" min="24" max="24"/>
    <col width="40.6328125" customWidth="1" style="142" min="25" max="28"/>
    <col width="38.36328125" customWidth="1" style="142" min="29" max="29"/>
    <col width="23.90625" customWidth="1" style="142" min="30" max="30"/>
    <col width="28.6328125" customWidth="1" style="142" min="31" max="31"/>
    <col width="29.90625" customWidth="1" style="142" min="32" max="32"/>
    <col width="31.08984375" customWidth="1" style="142" min="33" max="36"/>
    <col width="29" customWidth="1" style="142" min="37" max="38"/>
  </cols>
  <sheetData>
    <row r="1">
      <c r="A1" s="36" t="inlineStr">
        <is>
          <t>年</t>
        </is>
      </c>
      <c r="B1" s="36" t="inlineStr">
        <is>
          <t>月</t>
        </is>
      </c>
      <c r="C1" s="36" t="inlineStr">
        <is>
          <t>類別</t>
        </is>
      </c>
      <c r="D1" s="36" t="inlineStr">
        <is>
          <t>未達50萬[筆數]</t>
        </is>
      </c>
      <c r="E1" s="36" t="inlineStr">
        <is>
          <t>未達50萬[金額，新台幣]</t>
        </is>
      </c>
      <c r="F1" s="37" t="inlineStr">
        <is>
          <t>50萬[含]-75萬[筆數]</t>
        </is>
      </c>
      <c r="G1" s="37" t="inlineStr">
        <is>
          <t>50萬[含]-75萬[金額，新台幣]</t>
        </is>
      </c>
      <c r="H1" s="37" t="inlineStr">
        <is>
          <t>75萬[含]-100萬[筆數]</t>
        </is>
      </c>
      <c r="I1" s="37" t="inlineStr">
        <is>
          <t>75萬[含]-100萬[金額，新台幣]</t>
        </is>
      </c>
      <c r="J1" s="37" t="inlineStr">
        <is>
          <t>100萬[含]-125萬[筆數]</t>
        </is>
      </c>
      <c r="K1" s="37" t="inlineStr">
        <is>
          <t>100萬[含]-125萬[金額，新台幣]</t>
        </is>
      </c>
      <c r="L1" s="37" t="inlineStr">
        <is>
          <t>125萬[含]-150萬[筆數]</t>
        </is>
      </c>
      <c r="M1" s="37" t="inlineStr">
        <is>
          <t>125萬[含]-150萬[金額，新台幣]</t>
        </is>
      </c>
      <c r="N1" s="37" t="inlineStr">
        <is>
          <t>150萬[含]-175萬[筆數]</t>
        </is>
      </c>
      <c r="O1" s="37" t="inlineStr">
        <is>
          <t>150萬[含]-175萬[金額，新台幣]</t>
        </is>
      </c>
      <c r="P1" s="37" t="inlineStr">
        <is>
          <t>175萬[含]-200萬[筆數]</t>
        </is>
      </c>
      <c r="Q1" s="37" t="inlineStr">
        <is>
          <t>175萬[含]-200萬[金額，新台幣]</t>
        </is>
      </c>
      <c r="R1" s="37" t="inlineStr">
        <is>
          <t>200萬[含]以上[筆數]</t>
        </is>
      </c>
      <c r="S1" s="37" t="inlineStr">
        <is>
          <t>200萬[含]以上[金額，新台幣]</t>
        </is>
      </c>
    </row>
    <row r="2">
      <c r="A2" s="37" t="inlineStr">
        <is>
          <t>103年</t>
        </is>
      </c>
      <c r="B2" s="37" t="inlineStr">
        <is>
          <t>01月</t>
        </is>
      </c>
      <c r="C2" s="36" t="inlineStr">
        <is>
          <t>食</t>
        </is>
      </c>
      <c r="D2" s="37" t="n">
        <v>6858805</v>
      </c>
      <c r="E2" s="37" t="n">
        <v>10354491373</v>
      </c>
      <c r="F2" s="37" t="n">
        <v>3430372</v>
      </c>
      <c r="G2" s="37" t="n">
        <v>5216881530</v>
      </c>
      <c r="H2" s="37" t="n">
        <v>1360018</v>
      </c>
      <c r="I2" s="37" t="n">
        <v>2253039505</v>
      </c>
      <c r="J2" s="37" t="n">
        <v>793716</v>
      </c>
      <c r="K2" s="37" t="n">
        <v>1505264925</v>
      </c>
      <c r="L2" s="37" t="n">
        <v>288999</v>
      </c>
      <c r="M2" s="37" t="n">
        <v>612113855</v>
      </c>
      <c r="N2" s="37" t="n">
        <v>246363</v>
      </c>
      <c r="O2" s="37" t="n">
        <v>605183277</v>
      </c>
      <c r="P2" s="37" t="n">
        <v>126457</v>
      </c>
      <c r="Q2" s="37" t="n">
        <v>273869391</v>
      </c>
      <c r="R2" s="37" t="n">
        <v>444973</v>
      </c>
      <c r="S2" s="37" t="n">
        <v>1382841008</v>
      </c>
      <c r="U2" s="41" t="n"/>
      <c r="V2" s="42" t="inlineStr">
        <is>
          <t>Data</t>
        </is>
      </c>
      <c r="W2" s="43" t="n"/>
      <c r="X2" s="43" t="n"/>
      <c r="Y2" s="43" t="n"/>
      <c r="Z2" s="43" t="n"/>
      <c r="AA2" s="43" t="n"/>
      <c r="AB2" s="43" t="n"/>
      <c r="AC2" s="43" t="n"/>
      <c r="AD2" s="43" t="n"/>
      <c r="AE2" s="43" t="n"/>
      <c r="AF2" s="43" t="n"/>
      <c r="AG2" s="43" t="n"/>
      <c r="AH2" s="43" t="n"/>
      <c r="AI2" s="43" t="n"/>
      <c r="AJ2" s="43" t="n"/>
      <c r="AK2" s="44" t="n"/>
    </row>
    <row r="3">
      <c r="A3" s="37" t="inlineStr">
        <is>
          <t>103年</t>
        </is>
      </c>
      <c r="B3" s="37" t="inlineStr">
        <is>
          <t>02月</t>
        </is>
      </c>
      <c r="C3" s="36" t="inlineStr">
        <is>
          <t>食</t>
        </is>
      </c>
      <c r="D3" s="37" t="n">
        <v>5399487</v>
      </c>
      <c r="E3" s="37" t="n">
        <v>6756424650</v>
      </c>
      <c r="F3" s="37" t="n">
        <v>2778935</v>
      </c>
      <c r="G3" s="37" t="n">
        <v>3482694234</v>
      </c>
      <c r="H3" s="37" t="n">
        <v>1100172</v>
      </c>
      <c r="I3" s="37" t="n">
        <v>1479225053</v>
      </c>
      <c r="J3" s="37" t="n">
        <v>652936</v>
      </c>
      <c r="K3" s="37" t="n">
        <v>1036912393</v>
      </c>
      <c r="L3" s="37" t="n">
        <v>233245</v>
      </c>
      <c r="M3" s="37" t="n">
        <v>386744876</v>
      </c>
      <c r="N3" s="37" t="n">
        <v>198420</v>
      </c>
      <c r="O3" s="37" t="n">
        <v>372453866</v>
      </c>
      <c r="P3" s="37" t="n">
        <v>103913</v>
      </c>
      <c r="Q3" s="37" t="n">
        <v>190323806</v>
      </c>
      <c r="R3" s="37" t="n">
        <v>363322</v>
      </c>
      <c r="S3" s="37" t="n">
        <v>902397343</v>
      </c>
      <c r="U3" s="45" t="inlineStr">
        <is>
          <t>年</t>
        </is>
      </c>
      <c r="V3" s="46" t="inlineStr">
        <is>
          <t>加總 - 未達50萬[金額，新台幣]</t>
        </is>
      </c>
      <c r="W3" s="47" t="inlineStr">
        <is>
          <t>加總 - 50萬[含]-75萬[金額，新台幣]</t>
        </is>
      </c>
      <c r="X3" s="47" t="inlineStr">
        <is>
          <t>加總 - 75萬[含]-100萬[金額，新台幣]</t>
        </is>
      </c>
      <c r="Y3" s="47" t="inlineStr">
        <is>
          <t>加總 - 100萬[含]-125萬[金額，新台幣]</t>
        </is>
      </c>
      <c r="Z3" s="47" t="inlineStr">
        <is>
          <t>加總 - 125萬[含]-150萬[金額，新台幣]</t>
        </is>
      </c>
      <c r="AA3" s="47" t="inlineStr">
        <is>
          <t>加總 - 150萬[含]-175萬[金額，新台幣]</t>
        </is>
      </c>
      <c r="AB3" s="47" t="inlineStr">
        <is>
          <t>加總 - 175萬[含]-200萬[金額，新台幣]</t>
        </is>
      </c>
      <c r="AC3" s="47" t="inlineStr">
        <is>
          <t>加總 - 200萬[含]以上[金額，新台幣]</t>
        </is>
      </c>
      <c r="AD3" s="47" t="inlineStr">
        <is>
          <t>加總 - 未達50萬[筆數]</t>
        </is>
      </c>
      <c r="AE3" s="47" t="inlineStr">
        <is>
          <t>加總 - 50萬[含]-75萬[筆數]</t>
        </is>
      </c>
      <c r="AF3" s="47" t="inlineStr">
        <is>
          <t>加總 - 75萬[含]-100萬[筆數]</t>
        </is>
      </c>
      <c r="AG3" s="47" t="inlineStr">
        <is>
          <t>加總 - 100萬[含]-125萬[筆數]</t>
        </is>
      </c>
      <c r="AH3" s="47" t="inlineStr">
        <is>
          <t>加總 - 125萬[含]-150萬[筆數]</t>
        </is>
      </c>
      <c r="AI3" s="47" t="inlineStr">
        <is>
          <t>加總 - 150萬[含]-175萬[筆數]</t>
        </is>
      </c>
      <c r="AJ3" s="47" t="inlineStr">
        <is>
          <t>加總 - 175萬[含]-200萬[筆數]</t>
        </is>
      </c>
      <c r="AK3" s="48" t="inlineStr">
        <is>
          <t>加總 - 200萬[含]以上[筆數]</t>
        </is>
      </c>
    </row>
    <row r="4">
      <c r="A4" s="37" t="inlineStr">
        <is>
          <t>103年</t>
        </is>
      </c>
      <c r="B4" s="37" t="inlineStr">
        <is>
          <t>03月</t>
        </is>
      </c>
      <c r="C4" s="36" t="inlineStr">
        <is>
          <t>食</t>
        </is>
      </c>
      <c r="D4" s="37" t="n">
        <v>6355652</v>
      </c>
      <c r="E4" s="37" t="n">
        <v>7480613178</v>
      </c>
      <c r="F4" s="37" t="n">
        <v>3160186</v>
      </c>
      <c r="G4" s="37" t="n">
        <v>3690099818</v>
      </c>
      <c r="H4" s="37" t="n">
        <v>1249690</v>
      </c>
      <c r="I4" s="37" t="n">
        <v>1565827719</v>
      </c>
      <c r="J4" s="37" t="n">
        <v>725966</v>
      </c>
      <c r="K4" s="37" t="n">
        <v>1043029931</v>
      </c>
      <c r="L4" s="37" t="n">
        <v>267534</v>
      </c>
      <c r="M4" s="37" t="n">
        <v>417295821</v>
      </c>
      <c r="N4" s="37" t="n">
        <v>227312</v>
      </c>
      <c r="O4" s="37" t="n">
        <v>409624429</v>
      </c>
      <c r="P4" s="37" t="n">
        <v>119181</v>
      </c>
      <c r="Q4" s="37" t="n">
        <v>200251390</v>
      </c>
      <c r="R4" s="37" t="n">
        <v>408011</v>
      </c>
      <c r="S4" s="37" t="n">
        <v>944798366</v>
      </c>
      <c r="U4" s="49" t="inlineStr">
        <is>
          <t>103年</t>
        </is>
      </c>
      <c r="V4" s="50" t="n">
        <v>793267835830</v>
      </c>
      <c r="W4" s="51" t="n">
        <v>407749295084</v>
      </c>
      <c r="X4" s="51" t="n">
        <v>169154414937</v>
      </c>
      <c r="Y4" s="51" t="n">
        <v>121691794563</v>
      </c>
      <c r="Z4" s="51" t="n">
        <v>43027090330</v>
      </c>
      <c r="AA4" s="51" t="n">
        <v>41545778223</v>
      </c>
      <c r="AB4" s="51" t="n">
        <v>22655174475</v>
      </c>
      <c r="AC4" s="51" t="n">
        <v>130529647491</v>
      </c>
      <c r="AD4" s="51" t="n">
        <v>356632982</v>
      </c>
      <c r="AE4" s="51" t="n">
        <v>175308830</v>
      </c>
      <c r="AF4" s="51" t="n">
        <v>66830452</v>
      </c>
      <c r="AG4" s="51" t="n">
        <v>38664451</v>
      </c>
      <c r="AH4" s="51" t="n">
        <v>13523672</v>
      </c>
      <c r="AI4" s="51" t="n">
        <v>11026604</v>
      </c>
      <c r="AJ4" s="51" t="n">
        <v>5884170</v>
      </c>
      <c r="AK4" s="52" t="n">
        <v>22364974</v>
      </c>
    </row>
    <row r="5">
      <c r="A5" s="37" t="inlineStr">
        <is>
          <t>103年</t>
        </is>
      </c>
      <c r="B5" s="37" t="inlineStr">
        <is>
          <t>04月</t>
        </is>
      </c>
      <c r="C5" s="36" t="inlineStr">
        <is>
          <t>食</t>
        </is>
      </c>
      <c r="D5" s="37" t="n">
        <v>6140730</v>
      </c>
      <c r="E5" s="37" t="n">
        <v>7148196646</v>
      </c>
      <c r="F5" s="37" t="n">
        <v>3058407</v>
      </c>
      <c r="G5" s="37" t="n">
        <v>3519608536</v>
      </c>
      <c r="H5" s="37" t="n">
        <v>1212121</v>
      </c>
      <c r="I5" s="37" t="n">
        <v>1487565301</v>
      </c>
      <c r="J5" s="37" t="n">
        <v>691162</v>
      </c>
      <c r="K5" s="37" t="n">
        <v>963771864</v>
      </c>
      <c r="L5" s="37" t="n">
        <v>260219</v>
      </c>
      <c r="M5" s="37" t="n">
        <v>401376757</v>
      </c>
      <c r="N5" s="37" t="n">
        <v>216918</v>
      </c>
      <c r="O5" s="37" t="n">
        <v>387934990</v>
      </c>
      <c r="P5" s="37" t="n">
        <v>114702</v>
      </c>
      <c r="Q5" s="37" t="n">
        <v>192767625</v>
      </c>
      <c r="R5" s="37" t="n">
        <v>389387</v>
      </c>
      <c r="S5" s="37" t="n">
        <v>881020441</v>
      </c>
      <c r="U5" s="53" t="inlineStr">
        <is>
          <t>104年</t>
        </is>
      </c>
      <c r="V5" s="54" t="n">
        <v>851181087447</v>
      </c>
      <c r="W5" s="55" t="n">
        <v>437484058444</v>
      </c>
      <c r="X5" s="55" t="n">
        <v>182356614569</v>
      </c>
      <c r="Y5" s="55" t="n">
        <v>130264291026</v>
      </c>
      <c r="Z5" s="55" t="n">
        <v>48829742733</v>
      </c>
      <c r="AA5" s="55" t="n">
        <v>47600639614</v>
      </c>
      <c r="AB5" s="55" t="n">
        <v>26538422145</v>
      </c>
      <c r="AC5" s="55" t="n">
        <v>161525866714</v>
      </c>
      <c r="AD5" s="55" t="n">
        <v>390760128</v>
      </c>
      <c r="AE5" s="55" t="n">
        <v>191806064</v>
      </c>
      <c r="AF5" s="55" t="n">
        <v>73362202</v>
      </c>
      <c r="AG5" s="55" t="n">
        <v>41871848</v>
      </c>
      <c r="AH5" s="55" t="n">
        <v>15213270</v>
      </c>
      <c r="AI5" s="55" t="n">
        <v>12446222</v>
      </c>
      <c r="AJ5" s="55" t="n">
        <v>6705633</v>
      </c>
      <c r="AK5" s="56" t="n">
        <v>24890981</v>
      </c>
    </row>
    <row r="6">
      <c r="A6" s="37" t="inlineStr">
        <is>
          <t>103年</t>
        </is>
      </c>
      <c r="B6" s="37" t="inlineStr">
        <is>
          <t>05月</t>
        </is>
      </c>
      <c r="C6" s="36" t="inlineStr">
        <is>
          <t>食</t>
        </is>
      </c>
      <c r="D6" s="37" t="n">
        <v>6731611</v>
      </c>
      <c r="E6" s="37" t="n">
        <v>8280556467</v>
      </c>
      <c r="F6" s="37" t="n">
        <v>3345516</v>
      </c>
      <c r="G6" s="37" t="n">
        <v>4112249354</v>
      </c>
      <c r="H6" s="37" t="n">
        <v>1331233</v>
      </c>
      <c r="I6" s="37" t="n">
        <v>1738387950</v>
      </c>
      <c r="J6" s="37" t="n">
        <v>756916</v>
      </c>
      <c r="K6" s="37" t="n">
        <v>1135606347</v>
      </c>
      <c r="L6" s="37" t="n">
        <v>286818</v>
      </c>
      <c r="M6" s="37" t="n">
        <v>468252868</v>
      </c>
      <c r="N6" s="37" t="n">
        <v>240511</v>
      </c>
      <c r="O6" s="37" t="n">
        <v>451370760</v>
      </c>
      <c r="P6" s="37" t="n">
        <v>125987</v>
      </c>
      <c r="Q6" s="37" t="n">
        <v>222818698</v>
      </c>
      <c r="R6" s="37" t="n">
        <v>425001</v>
      </c>
      <c r="S6" s="37" t="n">
        <v>1033649426</v>
      </c>
      <c r="U6" s="53" t="inlineStr">
        <is>
          <t>105年</t>
        </is>
      </c>
      <c r="V6" s="54" t="n">
        <v>868151049982</v>
      </c>
      <c r="W6" s="55" t="n">
        <v>447498084175</v>
      </c>
      <c r="X6" s="55" t="n">
        <v>187342610838</v>
      </c>
      <c r="Y6" s="55" t="n">
        <v>132399120461</v>
      </c>
      <c r="Z6" s="55" t="n">
        <v>52636769702</v>
      </c>
      <c r="AA6" s="55" t="n">
        <v>51528815130</v>
      </c>
      <c r="AB6" s="55" t="n">
        <v>28454059428</v>
      </c>
      <c r="AC6" s="55" t="n">
        <v>173489375475</v>
      </c>
      <c r="AD6" s="55" t="n">
        <v>409459318</v>
      </c>
      <c r="AE6" s="55" t="n">
        <v>199333684</v>
      </c>
      <c r="AF6" s="55" t="n">
        <v>76538462</v>
      </c>
      <c r="AG6" s="55" t="n">
        <v>43203555</v>
      </c>
      <c r="AH6" s="55" t="n">
        <v>17152422</v>
      </c>
      <c r="AI6" s="55" t="n">
        <v>13291936</v>
      </c>
      <c r="AJ6" s="55" t="n">
        <v>7144393</v>
      </c>
      <c r="AK6" s="56" t="n">
        <v>26120715</v>
      </c>
    </row>
    <row r="7">
      <c r="A7" s="37" t="inlineStr">
        <is>
          <t>103年</t>
        </is>
      </c>
      <c r="B7" s="37" t="inlineStr">
        <is>
          <t>06月</t>
        </is>
      </c>
      <c r="C7" s="36" t="inlineStr">
        <is>
          <t>食</t>
        </is>
      </c>
      <c r="D7" s="37" t="n">
        <v>6713009</v>
      </c>
      <c r="E7" s="37" t="n">
        <v>7820400355</v>
      </c>
      <c r="F7" s="37" t="n">
        <v>3348114</v>
      </c>
      <c r="G7" s="37" t="n">
        <v>3903588675</v>
      </c>
      <c r="H7" s="37" t="n">
        <v>1335445</v>
      </c>
      <c r="I7" s="37" t="n">
        <v>1662884829</v>
      </c>
      <c r="J7" s="37" t="n">
        <v>754823</v>
      </c>
      <c r="K7" s="37" t="n">
        <v>1086827780</v>
      </c>
      <c r="L7" s="37" t="n">
        <v>286160</v>
      </c>
      <c r="M7" s="37" t="n">
        <v>447332847</v>
      </c>
      <c r="N7" s="37" t="n">
        <v>237579</v>
      </c>
      <c r="O7" s="37" t="n">
        <v>431363736</v>
      </c>
      <c r="P7" s="37" t="n">
        <v>126675</v>
      </c>
      <c r="Q7" s="37" t="n">
        <v>212353487</v>
      </c>
      <c r="R7" s="37" t="n">
        <v>420895</v>
      </c>
      <c r="S7" s="37" t="n">
        <v>954366672</v>
      </c>
      <c r="U7" s="53" t="inlineStr">
        <is>
          <t>106年</t>
        </is>
      </c>
      <c r="V7" s="54" t="n">
        <v>847777727217</v>
      </c>
      <c r="W7" s="55" t="n">
        <v>450693223916</v>
      </c>
      <c r="X7" s="55" t="n">
        <v>184187502400</v>
      </c>
      <c r="Y7" s="55" t="n">
        <v>137506758603</v>
      </c>
      <c r="Z7" s="55" t="n">
        <v>53092184953</v>
      </c>
      <c r="AA7" s="55" t="n">
        <v>48279687929</v>
      </c>
      <c r="AB7" s="55" t="n">
        <v>28462127244</v>
      </c>
      <c r="AC7" s="55" t="n">
        <v>178738934783</v>
      </c>
      <c r="AD7" s="55" t="n">
        <v>398022050</v>
      </c>
      <c r="AE7" s="55" t="n">
        <v>194390707</v>
      </c>
      <c r="AF7" s="55" t="n">
        <v>70283645</v>
      </c>
      <c r="AG7" s="55" t="n">
        <v>42607213</v>
      </c>
      <c r="AH7" s="55" t="n">
        <v>17473126</v>
      </c>
      <c r="AI7" s="55" t="n">
        <v>12178281</v>
      </c>
      <c r="AJ7" s="55" t="n">
        <v>6493794</v>
      </c>
      <c r="AK7" s="56" t="n">
        <v>27025320</v>
      </c>
    </row>
    <row r="8">
      <c r="A8" s="37" t="inlineStr">
        <is>
          <t>103年</t>
        </is>
      </c>
      <c r="B8" s="37" t="inlineStr">
        <is>
          <t>07月</t>
        </is>
      </c>
      <c r="C8" s="36" t="inlineStr">
        <is>
          <t>食</t>
        </is>
      </c>
      <c r="D8" s="37" t="n">
        <v>7543503</v>
      </c>
      <c r="E8" s="37" t="n">
        <v>8788954849</v>
      </c>
      <c r="F8" s="37" t="n">
        <v>3743423</v>
      </c>
      <c r="G8" s="37" t="n">
        <v>4323483457</v>
      </c>
      <c r="H8" s="37" t="n">
        <v>1491613</v>
      </c>
      <c r="I8" s="37" t="n">
        <v>1827582111</v>
      </c>
      <c r="J8" s="37" t="n">
        <v>833648</v>
      </c>
      <c r="K8" s="37" t="n">
        <v>1175536209</v>
      </c>
      <c r="L8" s="37" t="n">
        <v>314696</v>
      </c>
      <c r="M8" s="37" t="n">
        <v>480172545</v>
      </c>
      <c r="N8" s="37" t="n">
        <v>261615</v>
      </c>
      <c r="O8" s="37" t="n">
        <v>462041285</v>
      </c>
      <c r="P8" s="37" t="n">
        <v>140018</v>
      </c>
      <c r="Q8" s="37" t="n">
        <v>231931067</v>
      </c>
      <c r="R8" s="37" t="n">
        <v>463073</v>
      </c>
      <c r="S8" s="37" t="n">
        <v>1030245719</v>
      </c>
      <c r="U8" s="53" t="inlineStr">
        <is>
          <t>107年</t>
        </is>
      </c>
      <c r="V8" s="54" t="n">
        <v>970054029157</v>
      </c>
      <c r="W8" s="55" t="n">
        <v>514731168763</v>
      </c>
      <c r="X8" s="55" t="n">
        <v>214769323587</v>
      </c>
      <c r="Y8" s="55" t="n">
        <v>162379754894</v>
      </c>
      <c r="Z8" s="55" t="n">
        <v>67852086396</v>
      </c>
      <c r="AA8" s="55" t="n">
        <v>66554338798</v>
      </c>
      <c r="AB8" s="55" t="n">
        <v>43478005365</v>
      </c>
      <c r="AC8" s="55" t="n">
        <v>268071247036</v>
      </c>
      <c r="AD8" s="55" t="n">
        <v>445824424</v>
      </c>
      <c r="AE8" s="55" t="n">
        <v>210345213</v>
      </c>
      <c r="AF8" s="55" t="n">
        <v>76870834</v>
      </c>
      <c r="AG8" s="55" t="n">
        <v>45948453</v>
      </c>
      <c r="AH8" s="55" t="n">
        <v>19383693</v>
      </c>
      <c r="AI8" s="55" t="n">
        <v>14500758</v>
      </c>
      <c r="AJ8" s="55" t="n">
        <v>7694257</v>
      </c>
      <c r="AK8" s="56" t="n">
        <v>30847372</v>
      </c>
    </row>
    <row r="9">
      <c r="A9" s="37" t="inlineStr">
        <is>
          <t>103年</t>
        </is>
      </c>
      <c r="B9" s="37" t="inlineStr">
        <is>
          <t>08月</t>
        </is>
      </c>
      <c r="C9" s="36" t="inlineStr">
        <is>
          <t>食</t>
        </is>
      </c>
      <c r="D9" s="37" t="n">
        <v>7951746</v>
      </c>
      <c r="E9" s="37" t="n">
        <v>10009308401</v>
      </c>
      <c r="F9" s="37" t="n">
        <v>3959572</v>
      </c>
      <c r="G9" s="37" t="n">
        <v>4960291299</v>
      </c>
      <c r="H9" s="37" t="n">
        <v>1574298</v>
      </c>
      <c r="I9" s="37" t="n">
        <v>2069688273</v>
      </c>
      <c r="J9" s="37" t="n">
        <v>882845</v>
      </c>
      <c r="K9" s="37" t="n">
        <v>1351282911</v>
      </c>
      <c r="L9" s="37" t="n">
        <v>334103</v>
      </c>
      <c r="M9" s="37" t="n">
        <v>538677592</v>
      </c>
      <c r="N9" s="37" t="n">
        <v>278092</v>
      </c>
      <c r="O9" s="37" t="n">
        <v>528464239</v>
      </c>
      <c r="P9" s="37" t="n">
        <v>147179</v>
      </c>
      <c r="Q9" s="37" t="n">
        <v>255642700</v>
      </c>
      <c r="R9" s="37" t="n">
        <v>494630</v>
      </c>
      <c r="S9" s="37" t="n">
        <v>1144589622</v>
      </c>
      <c r="U9" s="53" t="inlineStr">
        <is>
          <t>108年</t>
        </is>
      </c>
      <c r="V9" s="54" t="n">
        <v>978274312147</v>
      </c>
      <c r="W9" s="55" t="n">
        <v>504929892596</v>
      </c>
      <c r="X9" s="55" t="n">
        <v>213656938095</v>
      </c>
      <c r="Y9" s="55" t="n">
        <v>152727350240</v>
      </c>
      <c r="Z9" s="55" t="n">
        <v>67011814352</v>
      </c>
      <c r="AA9" s="55" t="n">
        <v>66462634269</v>
      </c>
      <c r="AB9" s="55" t="n">
        <v>37399506102</v>
      </c>
      <c r="AC9" s="55" t="n">
        <v>256793958078</v>
      </c>
      <c r="AD9" s="55" t="n">
        <v>494197513</v>
      </c>
      <c r="AE9" s="55" t="n">
        <v>229204185</v>
      </c>
      <c r="AF9" s="55" t="n">
        <v>87611044</v>
      </c>
      <c r="AG9" s="55" t="n">
        <v>50094121</v>
      </c>
      <c r="AH9" s="55" t="n">
        <v>22469765</v>
      </c>
      <c r="AI9" s="55" t="n">
        <v>17247064</v>
      </c>
      <c r="AJ9" s="55" t="n">
        <v>9331580</v>
      </c>
      <c r="AK9" s="56" t="n">
        <v>37103952</v>
      </c>
    </row>
    <row r="10">
      <c r="A10" s="37" t="inlineStr">
        <is>
          <t>103年</t>
        </is>
      </c>
      <c r="B10" s="37" t="inlineStr">
        <is>
          <t>09月</t>
        </is>
      </c>
      <c r="C10" s="36" t="inlineStr">
        <is>
          <t>食</t>
        </is>
      </c>
      <c r="D10" s="37" t="n">
        <v>7010358</v>
      </c>
      <c r="E10" s="37" t="n">
        <v>8127563816</v>
      </c>
      <c r="F10" s="37" t="n">
        <v>3457183</v>
      </c>
      <c r="G10" s="37" t="n">
        <v>3971669160</v>
      </c>
      <c r="H10" s="37" t="n">
        <v>1376541</v>
      </c>
      <c r="I10" s="37" t="n">
        <v>1675948791</v>
      </c>
      <c r="J10" s="37" t="n">
        <v>777018</v>
      </c>
      <c r="K10" s="37" t="n">
        <v>1127752859</v>
      </c>
      <c r="L10" s="37" t="n">
        <v>301117</v>
      </c>
      <c r="M10" s="37" t="n">
        <v>456804435</v>
      </c>
      <c r="N10" s="37" t="n">
        <v>254908</v>
      </c>
      <c r="O10" s="37" t="n">
        <v>456011133</v>
      </c>
      <c r="P10" s="37" t="n">
        <v>135649</v>
      </c>
      <c r="Q10" s="37" t="n">
        <v>228260968</v>
      </c>
      <c r="R10" s="37" t="n">
        <v>444540</v>
      </c>
      <c r="S10" s="37" t="n">
        <v>977386824</v>
      </c>
      <c r="U10" s="53" t="inlineStr">
        <is>
          <t>109年</t>
        </is>
      </c>
      <c r="V10" s="57" t="n">
        <v>156874162627</v>
      </c>
      <c r="W10" s="58" t="n">
        <v>79099367745</v>
      </c>
      <c r="X10" s="58" t="n">
        <v>33840381873</v>
      </c>
      <c r="Y10" s="58" t="n">
        <v>22555744213</v>
      </c>
      <c r="Z10" s="58" t="n">
        <v>10319094073</v>
      </c>
      <c r="AA10" s="58" t="n">
        <v>9776206898</v>
      </c>
      <c r="AB10" s="58" t="n">
        <v>5433953162</v>
      </c>
      <c r="AC10" s="58" t="n">
        <v>35181957618</v>
      </c>
      <c r="AD10" s="58" t="n">
        <v>89418893</v>
      </c>
      <c r="AE10" s="58" t="n">
        <v>40945726</v>
      </c>
      <c r="AF10" s="58" t="n">
        <v>15991487</v>
      </c>
      <c r="AG10" s="58" t="n">
        <v>8940316</v>
      </c>
      <c r="AH10" s="58" t="n">
        <v>4124105</v>
      </c>
      <c r="AI10" s="58" t="n">
        <v>3178343</v>
      </c>
      <c r="AJ10" s="58" t="n">
        <v>1743576</v>
      </c>
      <c r="AK10" s="59" t="n">
        <v>6831961</v>
      </c>
    </row>
    <row r="11">
      <c r="A11" s="37" t="inlineStr">
        <is>
          <t>103年</t>
        </is>
      </c>
      <c r="B11" s="37" t="inlineStr">
        <is>
          <t>10月</t>
        </is>
      </c>
      <c r="C11" s="36" t="inlineStr">
        <is>
          <t>食</t>
        </is>
      </c>
      <c r="D11" s="37" t="n">
        <v>6970115</v>
      </c>
      <c r="E11" s="37" t="n">
        <v>7922901149</v>
      </c>
      <c r="F11" s="37" t="n">
        <v>3441636</v>
      </c>
      <c r="G11" s="37" t="n">
        <v>3891588885</v>
      </c>
      <c r="H11" s="37" t="n">
        <v>1367236</v>
      </c>
      <c r="I11" s="37" t="n">
        <v>1654240791</v>
      </c>
      <c r="J11" s="37" t="n">
        <v>774601</v>
      </c>
      <c r="K11" s="37" t="n">
        <v>1085014124</v>
      </c>
      <c r="L11" s="37" t="n">
        <v>296623</v>
      </c>
      <c r="M11" s="37" t="n">
        <v>450935583</v>
      </c>
      <c r="N11" s="37" t="n">
        <v>249906</v>
      </c>
      <c r="O11" s="37" t="n">
        <v>436810150</v>
      </c>
      <c r="P11" s="37" t="n">
        <v>133681</v>
      </c>
      <c r="Q11" s="37" t="n">
        <v>218226330</v>
      </c>
      <c r="R11" s="37" t="n">
        <v>444467</v>
      </c>
      <c r="S11" s="37" t="n">
        <v>996533087</v>
      </c>
      <c r="U11" s="60" t="inlineStr">
        <is>
          <t>Total Result</t>
        </is>
      </c>
      <c r="V11" s="61" t="n">
        <v>5465580204407</v>
      </c>
      <c r="W11" s="62" t="n">
        <v>2842185090723</v>
      </c>
      <c r="X11" s="62" t="n">
        <v>1185307786299</v>
      </c>
      <c r="Y11" s="62" t="n">
        <v>859524814000</v>
      </c>
      <c r="Z11" s="62" t="n">
        <v>342768782539</v>
      </c>
      <c r="AA11" s="62" t="n">
        <v>331748100861</v>
      </c>
      <c r="AB11" s="62" t="n">
        <v>192421247921</v>
      </c>
      <c r="AC11" s="62" t="n">
        <v>1204330987195</v>
      </c>
      <c r="AD11" s="62" t="n">
        <v>2584315308</v>
      </c>
      <c r="AE11" s="62" t="n">
        <v>1241334409</v>
      </c>
      <c r="AF11" s="62" t="n">
        <v>467488126</v>
      </c>
      <c r="AG11" s="62" t="n">
        <v>271329957</v>
      </c>
      <c r="AH11" s="62" t="n">
        <v>109340053</v>
      </c>
      <c r="AI11" s="62" t="n">
        <v>83869208</v>
      </c>
      <c r="AJ11" s="62" t="n">
        <v>44997403</v>
      </c>
      <c r="AK11" s="63" t="n">
        <v>175185275</v>
      </c>
    </row>
    <row r="12">
      <c r="A12" s="37" t="inlineStr">
        <is>
          <t>103年</t>
        </is>
      </c>
      <c r="B12" s="37" t="inlineStr">
        <is>
          <t>11月</t>
        </is>
      </c>
      <c r="C12" s="36" t="inlineStr">
        <is>
          <t>食</t>
        </is>
      </c>
      <c r="D12" s="37" t="n">
        <v>6941307</v>
      </c>
      <c r="E12" s="37" t="n">
        <v>8223019185</v>
      </c>
      <c r="F12" s="37" t="n">
        <v>3414126</v>
      </c>
      <c r="G12" s="37" t="n">
        <v>4028007050</v>
      </c>
      <c r="H12" s="37" t="n">
        <v>1367837</v>
      </c>
      <c r="I12" s="37" t="n">
        <v>1731678836</v>
      </c>
      <c r="J12" s="37" t="n">
        <v>772599</v>
      </c>
      <c r="K12" s="37" t="n">
        <v>1117110955</v>
      </c>
      <c r="L12" s="37" t="n">
        <v>298021</v>
      </c>
      <c r="M12" s="37" t="n">
        <v>476937747</v>
      </c>
      <c r="N12" s="37" t="n">
        <v>251642</v>
      </c>
      <c r="O12" s="37" t="n">
        <v>463490816</v>
      </c>
      <c r="P12" s="37" t="n">
        <v>134788</v>
      </c>
      <c r="Q12" s="37" t="n">
        <v>232157161</v>
      </c>
      <c r="R12" s="37" t="n">
        <v>444413</v>
      </c>
      <c r="S12" s="37" t="n">
        <v>1022871713</v>
      </c>
    </row>
    <row r="13">
      <c r="A13" s="37" t="inlineStr">
        <is>
          <t>103年</t>
        </is>
      </c>
      <c r="B13" s="37" t="inlineStr">
        <is>
          <t>12月</t>
        </is>
      </c>
      <c r="C13" s="36" t="inlineStr">
        <is>
          <t>食</t>
        </is>
      </c>
      <c r="D13" s="37" t="n">
        <v>7490490</v>
      </c>
      <c r="E13" s="37" t="n">
        <v>9114259531</v>
      </c>
      <c r="F13" s="37" t="n">
        <v>3658983</v>
      </c>
      <c r="G13" s="37" t="n">
        <v>4426737997</v>
      </c>
      <c r="H13" s="37" t="n">
        <v>1459261</v>
      </c>
      <c r="I13" s="37" t="n">
        <v>1902087678</v>
      </c>
      <c r="J13" s="37" t="n">
        <v>821224</v>
      </c>
      <c r="K13" s="37" t="n">
        <v>1228366678</v>
      </c>
      <c r="L13" s="37" t="n">
        <v>316811</v>
      </c>
      <c r="M13" s="37" t="n">
        <v>531710745</v>
      </c>
      <c r="N13" s="37" t="n">
        <v>267981</v>
      </c>
      <c r="O13" s="37" t="n">
        <v>514281302</v>
      </c>
      <c r="P13" s="37" t="n">
        <v>142104</v>
      </c>
      <c r="Q13" s="37" t="n">
        <v>261506408</v>
      </c>
      <c r="R13" s="37" t="n">
        <v>475540</v>
      </c>
      <c r="S13" s="37" t="n">
        <v>1153023703</v>
      </c>
    </row>
    <row r="14">
      <c r="A14" s="37" t="inlineStr">
        <is>
          <t>104年</t>
        </is>
      </c>
      <c r="B14" s="37" t="inlineStr">
        <is>
          <t>01月</t>
        </is>
      </c>
      <c r="C14" s="36" t="inlineStr">
        <is>
          <t>食</t>
        </is>
      </c>
      <c r="D14" s="37" t="n">
        <v>7448952</v>
      </c>
      <c r="E14" s="37" t="n">
        <v>9588348675</v>
      </c>
      <c r="F14" s="37" t="n">
        <v>3698993</v>
      </c>
      <c r="G14" s="37" t="n">
        <v>4776934583</v>
      </c>
      <c r="H14" s="37" t="n">
        <v>1471168</v>
      </c>
      <c r="I14" s="37" t="n">
        <v>2062770506</v>
      </c>
      <c r="J14" s="37" t="n">
        <v>831460</v>
      </c>
      <c r="K14" s="37" t="n">
        <v>1326718871</v>
      </c>
      <c r="L14" s="37" t="n">
        <v>321538</v>
      </c>
      <c r="M14" s="37" t="n">
        <v>556107453</v>
      </c>
      <c r="N14" s="37" t="n">
        <v>272227</v>
      </c>
      <c r="O14" s="37" t="n">
        <v>552983198</v>
      </c>
      <c r="P14" s="37" t="n">
        <v>144713</v>
      </c>
      <c r="Q14" s="37" t="n">
        <v>273344133</v>
      </c>
      <c r="R14" s="37" t="n">
        <v>482859</v>
      </c>
      <c r="S14" s="37" t="n">
        <v>1266700765</v>
      </c>
    </row>
    <row r="15">
      <c r="A15" s="37" t="inlineStr">
        <is>
          <t>104年</t>
        </is>
      </c>
      <c r="B15" s="37" t="inlineStr">
        <is>
          <t>02月</t>
        </is>
      </c>
      <c r="C15" s="36" t="inlineStr">
        <is>
          <t>食</t>
        </is>
      </c>
      <c r="D15" s="37" t="n">
        <v>7162245</v>
      </c>
      <c r="E15" s="37" t="n">
        <v>10312881497</v>
      </c>
      <c r="F15" s="37" t="n">
        <v>3614882</v>
      </c>
      <c r="G15" s="37" t="n">
        <v>5180175985</v>
      </c>
      <c r="H15" s="37" t="n">
        <v>1435969</v>
      </c>
      <c r="I15" s="37" t="n">
        <v>2214422081</v>
      </c>
      <c r="J15" s="37" t="n">
        <v>819500</v>
      </c>
      <c r="K15" s="37" t="n">
        <v>1450919399</v>
      </c>
      <c r="L15" s="37" t="n">
        <v>312979</v>
      </c>
      <c r="M15" s="37" t="n">
        <v>600150471</v>
      </c>
      <c r="N15" s="37" t="n">
        <v>264449</v>
      </c>
      <c r="O15" s="37" t="n">
        <v>576932159</v>
      </c>
      <c r="P15" s="37" t="n">
        <v>138673</v>
      </c>
      <c r="Q15" s="37" t="n">
        <v>286750572</v>
      </c>
      <c r="R15" s="37" t="n">
        <v>466790</v>
      </c>
      <c r="S15" s="37" t="n">
        <v>1316834657</v>
      </c>
    </row>
    <row r="16">
      <c r="A16" s="37" t="inlineStr">
        <is>
          <t>104年</t>
        </is>
      </c>
      <c r="B16" s="37" t="inlineStr">
        <is>
          <t>03月</t>
        </is>
      </c>
      <c r="C16" s="36" t="inlineStr">
        <is>
          <t>食</t>
        </is>
      </c>
      <c r="D16" s="37" t="n">
        <v>6896101</v>
      </c>
      <c r="E16" s="37" t="n">
        <v>8175106606</v>
      </c>
      <c r="F16" s="37" t="n">
        <v>3430166</v>
      </c>
      <c r="G16" s="37" t="n">
        <v>4027102147</v>
      </c>
      <c r="H16" s="37" t="n">
        <v>1354176</v>
      </c>
      <c r="I16" s="37" t="n">
        <v>1715263708</v>
      </c>
      <c r="J16" s="37" t="n">
        <v>774584</v>
      </c>
      <c r="K16" s="37" t="n">
        <v>1116666248</v>
      </c>
      <c r="L16" s="37" t="n">
        <v>298675</v>
      </c>
      <c r="M16" s="37" t="n">
        <v>475671604</v>
      </c>
      <c r="N16" s="37" t="n">
        <v>252241</v>
      </c>
      <c r="O16" s="37" t="n">
        <v>473836321</v>
      </c>
      <c r="P16" s="37" t="n">
        <v>135115</v>
      </c>
      <c r="Q16" s="37" t="n">
        <v>234245593</v>
      </c>
      <c r="R16" s="37" t="n">
        <v>448299</v>
      </c>
      <c r="S16" s="37" t="n">
        <v>1059378528</v>
      </c>
    </row>
    <row r="17">
      <c r="A17" s="37" t="inlineStr">
        <is>
          <t>104年</t>
        </is>
      </c>
      <c r="B17" s="37" t="inlineStr">
        <is>
          <t>04月</t>
        </is>
      </c>
      <c r="C17" s="36" t="inlineStr">
        <is>
          <t>食</t>
        </is>
      </c>
      <c r="D17" s="37" t="n">
        <v>7027584</v>
      </c>
      <c r="E17" s="37" t="n">
        <v>8088242149</v>
      </c>
      <c r="F17" s="37" t="n">
        <v>3517892</v>
      </c>
      <c r="G17" s="37" t="n">
        <v>3978378270</v>
      </c>
      <c r="H17" s="37" t="n">
        <v>1393920</v>
      </c>
      <c r="I17" s="37" t="n">
        <v>1691872723</v>
      </c>
      <c r="J17" s="37" t="n">
        <v>791030</v>
      </c>
      <c r="K17" s="37" t="n">
        <v>1101483117</v>
      </c>
      <c r="L17" s="37" t="n">
        <v>306473</v>
      </c>
      <c r="M17" s="37" t="n">
        <v>466833503</v>
      </c>
      <c r="N17" s="37" t="n">
        <v>257387</v>
      </c>
      <c r="O17" s="37" t="n">
        <v>456938795</v>
      </c>
      <c r="P17" s="37" t="n">
        <v>138236</v>
      </c>
      <c r="Q17" s="37" t="n">
        <v>229295253</v>
      </c>
      <c r="R17" s="37" t="n">
        <v>456646</v>
      </c>
      <c r="S17" s="37" t="n">
        <v>1019140144</v>
      </c>
    </row>
    <row r="18">
      <c r="A18" s="37" t="inlineStr">
        <is>
          <t>104年</t>
        </is>
      </c>
      <c r="B18" s="37" t="inlineStr">
        <is>
          <t>05月</t>
        </is>
      </c>
      <c r="C18" s="36" t="inlineStr">
        <is>
          <t>食</t>
        </is>
      </c>
      <c r="D18" s="37" t="n">
        <v>7829426</v>
      </c>
      <c r="E18" s="37" t="n">
        <v>9426043945</v>
      </c>
      <c r="F18" s="37" t="n">
        <v>3918245</v>
      </c>
      <c r="G18" s="37" t="n">
        <v>4646432216</v>
      </c>
      <c r="H18" s="37" t="n">
        <v>1548457</v>
      </c>
      <c r="I18" s="37" t="n">
        <v>1971083760</v>
      </c>
      <c r="J18" s="37" t="n">
        <v>880281</v>
      </c>
      <c r="K18" s="37" t="n">
        <v>1273646242</v>
      </c>
      <c r="L18" s="37" t="n">
        <v>340639</v>
      </c>
      <c r="M18" s="37" t="n">
        <v>539406118</v>
      </c>
      <c r="N18" s="37" t="n">
        <v>286070</v>
      </c>
      <c r="O18" s="37" t="n">
        <v>517257111</v>
      </c>
      <c r="P18" s="37" t="n">
        <v>155324</v>
      </c>
      <c r="Q18" s="37" t="n">
        <v>267562899</v>
      </c>
      <c r="R18" s="37" t="n">
        <v>505573</v>
      </c>
      <c r="S18" s="37" t="n">
        <v>1144630822</v>
      </c>
    </row>
    <row r="19">
      <c r="A19" s="37" t="inlineStr">
        <is>
          <t>104年</t>
        </is>
      </c>
      <c r="B19" s="37" t="inlineStr">
        <is>
          <t>06月</t>
        </is>
      </c>
      <c r="C19" s="36" t="inlineStr">
        <is>
          <t>食</t>
        </is>
      </c>
      <c r="D19" s="37" t="n">
        <v>7663979</v>
      </c>
      <c r="E19" s="37" t="n">
        <v>8567936625</v>
      </c>
      <c r="F19" s="37" t="n">
        <v>3840277</v>
      </c>
      <c r="G19" s="37" t="n">
        <v>4245042791</v>
      </c>
      <c r="H19" s="37" t="n">
        <v>1515651</v>
      </c>
      <c r="I19" s="37" t="n">
        <v>1801668653</v>
      </c>
      <c r="J19" s="37" t="n">
        <v>856361</v>
      </c>
      <c r="K19" s="37" t="n">
        <v>1182917982</v>
      </c>
      <c r="L19" s="37" t="n">
        <v>331132</v>
      </c>
      <c r="M19" s="37" t="n">
        <v>498633103</v>
      </c>
      <c r="N19" s="37" t="n">
        <v>276652</v>
      </c>
      <c r="O19" s="37" t="n">
        <v>477530575</v>
      </c>
      <c r="P19" s="37" t="n">
        <v>149529</v>
      </c>
      <c r="Q19" s="37" t="n">
        <v>248465658</v>
      </c>
      <c r="R19" s="37" t="n">
        <v>487410</v>
      </c>
      <c r="S19" s="37" t="n">
        <v>1081081996</v>
      </c>
    </row>
    <row r="20">
      <c r="A20" s="37" t="inlineStr">
        <is>
          <t>104年</t>
        </is>
      </c>
      <c r="B20" s="37" t="inlineStr">
        <is>
          <t>07月</t>
        </is>
      </c>
      <c r="C20" s="36" t="inlineStr">
        <is>
          <t>食</t>
        </is>
      </c>
      <c r="D20" s="37" t="n">
        <v>8181924</v>
      </c>
      <c r="E20" s="37" t="n">
        <v>9129391093</v>
      </c>
      <c r="F20" s="37" t="n">
        <v>4119429</v>
      </c>
      <c r="G20" s="37" t="n">
        <v>4557077102</v>
      </c>
      <c r="H20" s="37" t="n">
        <v>1620307</v>
      </c>
      <c r="I20" s="37" t="n">
        <v>1916295687</v>
      </c>
      <c r="J20" s="37" t="n">
        <v>912760</v>
      </c>
      <c r="K20" s="37" t="n">
        <v>1236480259</v>
      </c>
      <c r="L20" s="37" t="n">
        <v>350874</v>
      </c>
      <c r="M20" s="37" t="n">
        <v>521277730</v>
      </c>
      <c r="N20" s="37" t="n">
        <v>293259</v>
      </c>
      <c r="O20" s="37" t="n">
        <v>504485947</v>
      </c>
      <c r="P20" s="37" t="n">
        <v>157160</v>
      </c>
      <c r="Q20" s="37" t="n">
        <v>257748587</v>
      </c>
      <c r="R20" s="37" t="n">
        <v>515968</v>
      </c>
      <c r="S20" s="37" t="n">
        <v>1129282068</v>
      </c>
    </row>
    <row r="21">
      <c r="A21" s="37" t="inlineStr">
        <is>
          <t>104年</t>
        </is>
      </c>
      <c r="B21" s="37" t="inlineStr">
        <is>
          <t>08月</t>
        </is>
      </c>
      <c r="C21" s="36" t="inlineStr">
        <is>
          <t>食</t>
        </is>
      </c>
      <c r="D21" s="37" t="n">
        <v>9277915</v>
      </c>
      <c r="E21" s="37" t="n">
        <v>11276699819</v>
      </c>
      <c r="F21" s="37" t="n">
        <v>4641157</v>
      </c>
      <c r="G21" s="37" t="n">
        <v>5517193568</v>
      </c>
      <c r="H21" s="37" t="n">
        <v>1822099</v>
      </c>
      <c r="I21" s="37" t="n">
        <v>2284002136</v>
      </c>
      <c r="J21" s="37" t="n">
        <v>1012680</v>
      </c>
      <c r="K21" s="37" t="n">
        <v>1422467404</v>
      </c>
      <c r="L21" s="37" t="n">
        <v>392193</v>
      </c>
      <c r="M21" s="37" t="n">
        <v>607033974</v>
      </c>
      <c r="N21" s="37" t="n">
        <v>325248</v>
      </c>
      <c r="O21" s="37" t="n">
        <v>577206871</v>
      </c>
      <c r="P21" s="37" t="n">
        <v>173945</v>
      </c>
      <c r="Q21" s="37" t="n">
        <v>295416269</v>
      </c>
      <c r="R21" s="37" t="n">
        <v>570988</v>
      </c>
      <c r="S21" s="37" t="n">
        <v>1241342245</v>
      </c>
    </row>
    <row r="22">
      <c r="A22" s="37" t="inlineStr">
        <is>
          <t>104年</t>
        </is>
      </c>
      <c r="B22" s="37" t="inlineStr">
        <is>
          <t>09月</t>
        </is>
      </c>
      <c r="C22" s="36" t="inlineStr">
        <is>
          <t>食</t>
        </is>
      </c>
      <c r="D22" s="37" t="n">
        <v>8098782</v>
      </c>
      <c r="E22" s="37" t="n">
        <v>9584096247</v>
      </c>
      <c r="F22" s="37" t="n">
        <v>4063347</v>
      </c>
      <c r="G22" s="37" t="n">
        <v>4722816414</v>
      </c>
      <c r="H22" s="37" t="n">
        <v>1613037</v>
      </c>
      <c r="I22" s="37" t="n">
        <v>1996608771</v>
      </c>
      <c r="J22" s="37" t="n">
        <v>906480</v>
      </c>
      <c r="K22" s="37" t="n">
        <v>1276220503</v>
      </c>
      <c r="L22" s="37" t="n">
        <v>357672</v>
      </c>
      <c r="M22" s="37" t="n">
        <v>551354986</v>
      </c>
      <c r="N22" s="37" t="n">
        <v>303620</v>
      </c>
      <c r="O22" s="37" t="n">
        <v>555252560</v>
      </c>
      <c r="P22" s="37" t="n">
        <v>161685</v>
      </c>
      <c r="Q22" s="37" t="n">
        <v>281134506</v>
      </c>
      <c r="R22" s="37" t="n">
        <v>520070</v>
      </c>
      <c r="S22" s="37" t="n">
        <v>1188089879</v>
      </c>
    </row>
    <row r="23">
      <c r="A23" s="37" t="inlineStr">
        <is>
          <t>104年</t>
        </is>
      </c>
      <c r="B23" s="37" t="inlineStr">
        <is>
          <t>10月</t>
        </is>
      </c>
      <c r="C23" s="36" t="inlineStr">
        <is>
          <t>食</t>
        </is>
      </c>
      <c r="D23" s="37" t="n">
        <v>8015720</v>
      </c>
      <c r="E23" s="37" t="n">
        <v>9076188618</v>
      </c>
      <c r="F23" s="37" t="n">
        <v>4057065</v>
      </c>
      <c r="G23" s="37" t="n">
        <v>4510754464</v>
      </c>
      <c r="H23" s="37" t="n">
        <v>1596158</v>
      </c>
      <c r="I23" s="37" t="n">
        <v>1913254476</v>
      </c>
      <c r="J23" s="37" t="n">
        <v>903272</v>
      </c>
      <c r="K23" s="37" t="n">
        <v>1237201831</v>
      </c>
      <c r="L23" s="37" t="n">
        <v>354684</v>
      </c>
      <c r="M23" s="37" t="n">
        <v>535499216</v>
      </c>
      <c r="N23" s="37" t="n">
        <v>298792</v>
      </c>
      <c r="O23" s="37" t="n">
        <v>521176626</v>
      </c>
      <c r="P23" s="37" t="n">
        <v>160004</v>
      </c>
      <c r="Q23" s="37" t="n">
        <v>266240383</v>
      </c>
      <c r="R23" s="37" t="n">
        <v>520511</v>
      </c>
      <c r="S23" s="37" t="n">
        <v>1131148192</v>
      </c>
    </row>
    <row r="24">
      <c r="A24" s="37" t="inlineStr">
        <is>
          <t>104年</t>
        </is>
      </c>
      <c r="B24" s="37" t="inlineStr">
        <is>
          <t>11月</t>
        </is>
      </c>
      <c r="C24" s="36" t="inlineStr">
        <is>
          <t>食</t>
        </is>
      </c>
      <c r="D24" s="37" t="n">
        <v>7840561</v>
      </c>
      <c r="E24" s="37" t="n">
        <v>9149734878</v>
      </c>
      <c r="F24" s="37" t="n">
        <v>3951290</v>
      </c>
      <c r="G24" s="37" t="n">
        <v>4505488469</v>
      </c>
      <c r="H24" s="37" t="n">
        <v>1556667</v>
      </c>
      <c r="I24" s="37" t="n">
        <v>1930805383</v>
      </c>
      <c r="J24" s="37" t="n">
        <v>874210</v>
      </c>
      <c r="K24" s="37" t="n">
        <v>1237448755</v>
      </c>
      <c r="L24" s="37" t="n">
        <v>347506</v>
      </c>
      <c r="M24" s="37" t="n">
        <v>546422588</v>
      </c>
      <c r="N24" s="37" t="n">
        <v>294231</v>
      </c>
      <c r="O24" s="37" t="n">
        <v>545325951</v>
      </c>
      <c r="P24" s="37" t="n">
        <v>158009</v>
      </c>
      <c r="Q24" s="37" t="n">
        <v>277954394</v>
      </c>
      <c r="R24" s="37" t="n">
        <v>508374</v>
      </c>
      <c r="S24" s="37" t="n">
        <v>1130742165</v>
      </c>
    </row>
    <row r="25">
      <c r="A25" s="37" t="inlineStr">
        <is>
          <t>104年</t>
        </is>
      </c>
      <c r="B25" s="37" t="inlineStr">
        <is>
          <t>12月</t>
        </is>
      </c>
      <c r="C25" s="36" t="inlineStr">
        <is>
          <t>食</t>
        </is>
      </c>
      <c r="D25" s="37" t="n">
        <v>8325185</v>
      </c>
      <c r="E25" s="37" t="n">
        <v>9914685665</v>
      </c>
      <c r="F25" s="37" t="n">
        <v>4215115</v>
      </c>
      <c r="G25" s="37" t="n">
        <v>4910893958</v>
      </c>
      <c r="H25" s="37" t="n">
        <v>1660182</v>
      </c>
      <c r="I25" s="37" t="n">
        <v>2107930221</v>
      </c>
      <c r="J25" s="37" t="n">
        <v>933283</v>
      </c>
      <c r="K25" s="37" t="n">
        <v>1366249613</v>
      </c>
      <c r="L25" s="37" t="n">
        <v>370596</v>
      </c>
      <c r="M25" s="37" t="n">
        <v>603592044</v>
      </c>
      <c r="N25" s="37" t="n">
        <v>312258</v>
      </c>
      <c r="O25" s="37" t="n">
        <v>598788741</v>
      </c>
      <c r="P25" s="37" t="n">
        <v>168408</v>
      </c>
      <c r="Q25" s="37" t="n">
        <v>307026788</v>
      </c>
      <c r="R25" s="37" t="n">
        <v>542906</v>
      </c>
      <c r="S25" s="37" t="n">
        <v>1272572924</v>
      </c>
    </row>
    <row r="26">
      <c r="A26" s="37" t="inlineStr">
        <is>
          <t>105年</t>
        </is>
      </c>
      <c r="B26" s="37" t="inlineStr">
        <is>
          <t>01月</t>
        </is>
      </c>
      <c r="C26" s="36" t="inlineStr">
        <is>
          <t>食</t>
        </is>
      </c>
      <c r="D26" s="37" t="n">
        <v>8612822</v>
      </c>
      <c r="E26" s="37" t="n">
        <v>11710637421</v>
      </c>
      <c r="F26" s="37" t="n">
        <v>4399620</v>
      </c>
      <c r="G26" s="37" t="n">
        <v>5867495499</v>
      </c>
      <c r="H26" s="37" t="n">
        <v>1738942</v>
      </c>
      <c r="I26" s="37" t="n">
        <v>2536682365</v>
      </c>
      <c r="J26" s="37" t="n">
        <v>969315</v>
      </c>
      <c r="K26" s="37" t="n">
        <v>1575645152</v>
      </c>
      <c r="L26" s="37" t="n">
        <v>388271</v>
      </c>
      <c r="M26" s="37" t="n">
        <v>715152507</v>
      </c>
      <c r="N26" s="37" t="n">
        <v>325275</v>
      </c>
      <c r="O26" s="37" t="n">
        <v>703616179</v>
      </c>
      <c r="P26" s="37" t="n">
        <v>175081</v>
      </c>
      <c r="Q26" s="37" t="n">
        <v>353874232</v>
      </c>
      <c r="R26" s="37" t="n">
        <v>562326</v>
      </c>
      <c r="S26" s="37" t="n">
        <v>1486062205</v>
      </c>
    </row>
    <row r="27">
      <c r="A27" s="37" t="inlineStr">
        <is>
          <t>105年</t>
        </is>
      </c>
      <c r="B27" s="37" t="inlineStr">
        <is>
          <t>02月</t>
        </is>
      </c>
      <c r="C27" s="36" t="inlineStr">
        <is>
          <t>食</t>
        </is>
      </c>
      <c r="D27" s="37" t="n">
        <v>7698441</v>
      </c>
      <c r="E27" s="37" t="n">
        <v>10206805401</v>
      </c>
      <c r="F27" s="37" t="n">
        <v>4024068</v>
      </c>
      <c r="G27" s="37" t="n">
        <v>5198359410</v>
      </c>
      <c r="H27" s="37" t="n">
        <v>1594928</v>
      </c>
      <c r="I27" s="37" t="n">
        <v>2210654836</v>
      </c>
      <c r="J27" s="37" t="n">
        <v>908146</v>
      </c>
      <c r="K27" s="37" t="n">
        <v>1405548508</v>
      </c>
      <c r="L27" s="37" t="n">
        <v>358182</v>
      </c>
      <c r="M27" s="37" t="n">
        <v>621116318</v>
      </c>
      <c r="N27" s="37" t="n">
        <v>299868</v>
      </c>
      <c r="O27" s="37" t="n">
        <v>599248614</v>
      </c>
      <c r="P27" s="37" t="n">
        <v>160965</v>
      </c>
      <c r="Q27" s="37" t="n">
        <v>307100461</v>
      </c>
      <c r="R27" s="37" t="n">
        <v>516544</v>
      </c>
      <c r="S27" s="37" t="n">
        <v>1274473626</v>
      </c>
    </row>
    <row r="28">
      <c r="A28" s="37" t="inlineStr">
        <is>
          <t>105年</t>
        </is>
      </c>
      <c r="B28" s="37" t="inlineStr">
        <is>
          <t>03月</t>
        </is>
      </c>
      <c r="C28" s="36" t="inlineStr">
        <is>
          <t>食</t>
        </is>
      </c>
      <c r="D28" s="37" t="n">
        <v>7570348</v>
      </c>
      <c r="E28" s="37" t="n">
        <v>8698011473</v>
      </c>
      <c r="F28" s="37" t="n">
        <v>3794877</v>
      </c>
      <c r="G28" s="37" t="n">
        <v>4238104848</v>
      </c>
      <c r="H28" s="37" t="n">
        <v>1543501</v>
      </c>
      <c r="I28" s="37" t="n">
        <v>1854419042</v>
      </c>
      <c r="J28" s="37" t="n">
        <v>859312</v>
      </c>
      <c r="K28" s="37" t="n">
        <v>1142909500</v>
      </c>
      <c r="L28" s="37" t="n">
        <v>348706</v>
      </c>
      <c r="M28" s="37" t="n">
        <v>534359478</v>
      </c>
      <c r="N28" s="37" t="n">
        <v>295410</v>
      </c>
      <c r="O28" s="37" t="n">
        <v>520878186</v>
      </c>
      <c r="P28" s="37" t="n">
        <v>160586</v>
      </c>
      <c r="Q28" s="37" t="n">
        <v>269915718</v>
      </c>
      <c r="R28" s="37" t="n">
        <v>499882</v>
      </c>
      <c r="S28" s="37" t="n">
        <v>1083776801</v>
      </c>
    </row>
    <row r="29">
      <c r="A29" s="37" t="inlineStr">
        <is>
          <t>105年</t>
        </is>
      </c>
      <c r="B29" s="37" t="inlineStr">
        <is>
          <t>04月</t>
        </is>
      </c>
      <c r="C29" s="36" t="inlineStr">
        <is>
          <t>食</t>
        </is>
      </c>
      <c r="D29" s="37" t="n">
        <v>7714603</v>
      </c>
      <c r="E29" s="37" t="n">
        <v>8855781077</v>
      </c>
      <c r="F29" s="37" t="n">
        <v>3901796</v>
      </c>
      <c r="G29" s="37" t="n">
        <v>4322190095</v>
      </c>
      <c r="H29" s="37" t="n">
        <v>1594792</v>
      </c>
      <c r="I29" s="37" t="n">
        <v>1879566724</v>
      </c>
      <c r="J29" s="37" t="n">
        <v>886361</v>
      </c>
      <c r="K29" s="37" t="n">
        <v>1153767979</v>
      </c>
      <c r="L29" s="37" t="n">
        <v>362902</v>
      </c>
      <c r="M29" s="37" t="n">
        <v>545710040</v>
      </c>
      <c r="N29" s="37" t="n">
        <v>308902</v>
      </c>
      <c r="O29" s="37" t="n">
        <v>546625357</v>
      </c>
      <c r="P29" s="37" t="n">
        <v>168167</v>
      </c>
      <c r="Q29" s="37" t="n">
        <v>276137641</v>
      </c>
      <c r="R29" s="37" t="n">
        <v>516476</v>
      </c>
      <c r="S29" s="37" t="n">
        <v>1085584842</v>
      </c>
    </row>
    <row r="30">
      <c r="A30" s="37" t="inlineStr">
        <is>
          <t>105年</t>
        </is>
      </c>
      <c r="B30" s="37" t="inlineStr">
        <is>
          <t>05月</t>
        </is>
      </c>
      <c r="C30" s="36" t="inlineStr">
        <is>
          <t>食</t>
        </is>
      </c>
      <c r="D30" s="37" t="n">
        <v>8303273</v>
      </c>
      <c r="E30" s="37" t="n">
        <v>9700289331</v>
      </c>
      <c r="F30" s="37" t="n">
        <v>4182826</v>
      </c>
      <c r="G30" s="37" t="n">
        <v>4751582905</v>
      </c>
      <c r="H30" s="37" t="n">
        <v>1704770</v>
      </c>
      <c r="I30" s="37" t="n">
        <v>2058882731</v>
      </c>
      <c r="J30" s="37" t="n">
        <v>942710</v>
      </c>
      <c r="K30" s="37" t="n">
        <v>1256794601</v>
      </c>
      <c r="L30" s="37" t="n">
        <v>386913</v>
      </c>
      <c r="M30" s="37" t="n">
        <v>591883286</v>
      </c>
      <c r="N30" s="37" t="n">
        <v>328546</v>
      </c>
      <c r="O30" s="37" t="n">
        <v>590726114</v>
      </c>
      <c r="P30" s="37" t="n">
        <v>179046</v>
      </c>
      <c r="Q30" s="37" t="n">
        <v>302597728</v>
      </c>
      <c r="R30" s="37" t="n">
        <v>549533</v>
      </c>
      <c r="S30" s="37" t="n">
        <v>1157935181</v>
      </c>
    </row>
    <row r="31">
      <c r="A31" s="37" t="inlineStr">
        <is>
          <t>105年</t>
        </is>
      </c>
      <c r="B31" s="37" t="inlineStr">
        <is>
          <t>06月</t>
        </is>
      </c>
      <c r="C31" s="36" t="inlineStr">
        <is>
          <t>食</t>
        </is>
      </c>
      <c r="D31" s="37" t="n">
        <v>8675413</v>
      </c>
      <c r="E31" s="37" t="n">
        <v>9714215868</v>
      </c>
      <c r="F31" s="37" t="n">
        <v>4429994</v>
      </c>
      <c r="G31" s="37" t="n">
        <v>4799447109</v>
      </c>
      <c r="H31" s="37" t="n">
        <v>1756280</v>
      </c>
      <c r="I31" s="37" t="n">
        <v>2050669552</v>
      </c>
      <c r="J31" s="37" t="n">
        <v>990524</v>
      </c>
      <c r="K31" s="37" t="n">
        <v>1295071879</v>
      </c>
      <c r="L31" s="37" t="n">
        <v>396502</v>
      </c>
      <c r="M31" s="37" t="n">
        <v>587308932</v>
      </c>
      <c r="N31" s="37" t="n">
        <v>333700</v>
      </c>
      <c r="O31" s="37" t="n">
        <v>581562171</v>
      </c>
      <c r="P31" s="37" t="n">
        <v>183648</v>
      </c>
      <c r="Q31" s="37" t="n">
        <v>302765704</v>
      </c>
      <c r="R31" s="37" t="n">
        <v>582650</v>
      </c>
      <c r="S31" s="37" t="n">
        <v>1249066599</v>
      </c>
    </row>
    <row r="32">
      <c r="A32" s="37" t="inlineStr">
        <is>
          <t>105年</t>
        </is>
      </c>
      <c r="B32" s="37" t="inlineStr">
        <is>
          <t>07月</t>
        </is>
      </c>
      <c r="C32" s="36" t="inlineStr">
        <is>
          <t>食</t>
        </is>
      </c>
      <c r="D32" s="37" t="n">
        <v>9264431</v>
      </c>
      <c r="E32" s="37" t="n">
        <v>10471567391</v>
      </c>
      <c r="F32" s="37" t="n">
        <v>4706617</v>
      </c>
      <c r="G32" s="37" t="n">
        <v>5155465972</v>
      </c>
      <c r="H32" s="37" t="n">
        <v>1920115</v>
      </c>
      <c r="I32" s="37" t="n">
        <v>2237283327</v>
      </c>
      <c r="J32" s="37" t="n">
        <v>1056409</v>
      </c>
      <c r="K32" s="37" t="n">
        <v>1360313564</v>
      </c>
      <c r="L32" s="37" t="n">
        <v>430474</v>
      </c>
      <c r="M32" s="37" t="n">
        <v>635615043</v>
      </c>
      <c r="N32" s="37" t="n">
        <v>363192</v>
      </c>
      <c r="O32" s="37" t="n">
        <v>633076417</v>
      </c>
      <c r="P32" s="37" t="n">
        <v>197904</v>
      </c>
      <c r="Q32" s="37" t="n">
        <v>317963399</v>
      </c>
      <c r="R32" s="37" t="n">
        <v>605716</v>
      </c>
      <c r="S32" s="37" t="n">
        <v>1236766358</v>
      </c>
    </row>
    <row r="33">
      <c r="A33" s="37" t="inlineStr">
        <is>
          <t>105年</t>
        </is>
      </c>
      <c r="B33" s="37" t="inlineStr">
        <is>
          <t>08月</t>
        </is>
      </c>
      <c r="C33" s="36" t="inlineStr">
        <is>
          <t>食</t>
        </is>
      </c>
      <c r="D33" s="37" t="n">
        <v>8526229</v>
      </c>
      <c r="E33" s="37" t="n">
        <v>10635352204</v>
      </c>
      <c r="F33" s="37" t="n">
        <v>4143422</v>
      </c>
      <c r="G33" s="37" t="n">
        <v>5077701961</v>
      </c>
      <c r="H33" s="37" t="n">
        <v>1745105</v>
      </c>
      <c r="I33" s="37" t="n">
        <v>2239299797</v>
      </c>
      <c r="J33" s="37" t="n">
        <v>957533</v>
      </c>
      <c r="K33" s="37" t="n">
        <v>1345763203</v>
      </c>
      <c r="L33" s="37" t="n">
        <v>413084</v>
      </c>
      <c r="M33" s="37" t="n">
        <v>647245222</v>
      </c>
      <c r="N33" s="37" t="n">
        <v>345354</v>
      </c>
      <c r="O33" s="37" t="n">
        <v>638434523</v>
      </c>
      <c r="P33" s="37" t="n">
        <v>186174</v>
      </c>
      <c r="Q33" s="37" t="n">
        <v>317519030</v>
      </c>
      <c r="R33" s="37" t="n">
        <v>585204</v>
      </c>
      <c r="S33" s="37" t="n">
        <v>1252984703</v>
      </c>
    </row>
    <row r="34">
      <c r="A34" s="37" t="inlineStr">
        <is>
          <t>105年</t>
        </is>
      </c>
      <c r="B34" s="37" t="inlineStr">
        <is>
          <t>09月</t>
        </is>
      </c>
      <c r="C34" s="36" t="inlineStr">
        <is>
          <t>食</t>
        </is>
      </c>
      <c r="D34" s="37" t="n">
        <v>8089535</v>
      </c>
      <c r="E34" s="37" t="n">
        <v>9670059347</v>
      </c>
      <c r="F34" s="37" t="n">
        <v>4018789</v>
      </c>
      <c r="G34" s="37" t="n">
        <v>4672217381</v>
      </c>
      <c r="H34" s="37" t="n">
        <v>1620254</v>
      </c>
      <c r="I34" s="37" t="n">
        <v>2041265736</v>
      </c>
      <c r="J34" s="37" t="n">
        <v>918273</v>
      </c>
      <c r="K34" s="37" t="n">
        <v>1249191094</v>
      </c>
      <c r="L34" s="37" t="n">
        <v>390912</v>
      </c>
      <c r="M34" s="37" t="n">
        <v>609719540</v>
      </c>
      <c r="N34" s="37" t="n">
        <v>329190</v>
      </c>
      <c r="O34" s="37" t="n">
        <v>598023768</v>
      </c>
      <c r="P34" s="37" t="n">
        <v>173879</v>
      </c>
      <c r="Q34" s="37" t="n">
        <v>300296077</v>
      </c>
      <c r="R34" s="37" t="n">
        <v>546458</v>
      </c>
      <c r="S34" s="37" t="n">
        <v>1156744144</v>
      </c>
    </row>
    <row r="35">
      <c r="A35" s="37" t="inlineStr">
        <is>
          <t>105年</t>
        </is>
      </c>
      <c r="B35" s="37" t="inlineStr">
        <is>
          <t>10月</t>
        </is>
      </c>
      <c r="C35" s="36" t="inlineStr">
        <is>
          <t>食</t>
        </is>
      </c>
      <c r="D35" s="37" t="n">
        <v>8210505</v>
      </c>
      <c r="E35" s="37" t="n">
        <v>9530238448</v>
      </c>
      <c r="F35" s="37" t="n">
        <v>4120482</v>
      </c>
      <c r="G35" s="37" t="n">
        <v>4645689070</v>
      </c>
      <c r="H35" s="37" t="n">
        <v>1619525</v>
      </c>
      <c r="I35" s="37" t="n">
        <v>2008964777</v>
      </c>
      <c r="J35" s="37" t="n">
        <v>942656</v>
      </c>
      <c r="K35" s="37" t="n">
        <v>1261125673</v>
      </c>
      <c r="L35" s="37" t="n">
        <v>397953</v>
      </c>
      <c r="M35" s="37" t="n">
        <v>610036521</v>
      </c>
      <c r="N35" s="37" t="n">
        <v>335857</v>
      </c>
      <c r="O35" s="37" t="n">
        <v>594748661</v>
      </c>
      <c r="P35" s="37" t="n">
        <v>175042</v>
      </c>
      <c r="Q35" s="37" t="n">
        <v>297379508</v>
      </c>
      <c r="R35" s="37" t="n">
        <v>576414</v>
      </c>
      <c r="S35" s="37" t="n">
        <v>1176956475</v>
      </c>
    </row>
    <row r="36">
      <c r="A36" s="37" t="inlineStr">
        <is>
          <t>105年</t>
        </is>
      </c>
      <c r="B36" s="37" t="inlineStr">
        <is>
          <t>11月</t>
        </is>
      </c>
      <c r="C36" s="36" t="inlineStr">
        <is>
          <t>食</t>
        </is>
      </c>
      <c r="D36" s="37" t="n">
        <v>7824964</v>
      </c>
      <c r="E36" s="37" t="n">
        <v>7569912355</v>
      </c>
      <c r="F36" s="37" t="n">
        <v>4053654</v>
      </c>
      <c r="G36" s="37" t="n">
        <v>3976060981</v>
      </c>
      <c r="H36" s="37" t="n">
        <v>1572786</v>
      </c>
      <c r="I36" s="37" t="n">
        <v>1666209063</v>
      </c>
      <c r="J36" s="37" t="n">
        <v>899875</v>
      </c>
      <c r="K36" s="37" t="n">
        <v>1088467366</v>
      </c>
      <c r="L36" s="37" t="n">
        <v>349886</v>
      </c>
      <c r="M36" s="37" t="n">
        <v>449863445</v>
      </c>
      <c r="N36" s="37" t="n">
        <v>258554</v>
      </c>
      <c r="O36" s="37" t="n">
        <v>378593418</v>
      </c>
      <c r="P36" s="37" t="n">
        <v>151998</v>
      </c>
      <c r="Q36" s="37" t="n">
        <v>208937669</v>
      </c>
      <c r="R36" s="37" t="n">
        <v>514092</v>
      </c>
      <c r="S36" s="37" t="n">
        <v>1045862358</v>
      </c>
    </row>
    <row r="37">
      <c r="A37" s="37" t="inlineStr">
        <is>
          <t>105年</t>
        </is>
      </c>
      <c r="B37" s="37" t="inlineStr">
        <is>
          <t>12月</t>
        </is>
      </c>
      <c r="C37" s="36" t="inlineStr">
        <is>
          <t>食</t>
        </is>
      </c>
      <c r="D37" s="37" t="n">
        <v>8442532</v>
      </c>
      <c r="E37" s="37" t="n">
        <v>8608124860</v>
      </c>
      <c r="F37" s="37" t="n">
        <v>4388027</v>
      </c>
      <c r="G37" s="37" t="n">
        <v>4563240183</v>
      </c>
      <c r="H37" s="37" t="n">
        <v>1711721</v>
      </c>
      <c r="I37" s="37" t="n">
        <v>1912614326</v>
      </c>
      <c r="J37" s="37" t="n">
        <v>978762</v>
      </c>
      <c r="K37" s="37" t="n">
        <v>1270455388</v>
      </c>
      <c r="L37" s="37" t="n">
        <v>380830</v>
      </c>
      <c r="M37" s="37" t="n">
        <v>513043009</v>
      </c>
      <c r="N37" s="37" t="n">
        <v>278603</v>
      </c>
      <c r="O37" s="37" t="n">
        <v>450802625</v>
      </c>
      <c r="P37" s="37" t="n">
        <v>163666</v>
      </c>
      <c r="Q37" s="37" t="n">
        <v>247800918</v>
      </c>
      <c r="R37" s="37" t="n">
        <v>556814</v>
      </c>
      <c r="S37" s="37" t="n">
        <v>1185095750</v>
      </c>
    </row>
    <row r="38">
      <c r="A38" s="37" t="inlineStr">
        <is>
          <t>106年</t>
        </is>
      </c>
      <c r="B38" s="37" t="inlineStr">
        <is>
          <t>01月</t>
        </is>
      </c>
      <c r="C38" s="36" t="inlineStr">
        <is>
          <t>食</t>
        </is>
      </c>
      <c r="D38" s="37" t="n">
        <v>7915024</v>
      </c>
      <c r="E38" s="37" t="n">
        <v>10131377736</v>
      </c>
      <c r="F38" s="37" t="n">
        <v>4119864</v>
      </c>
      <c r="G38" s="37" t="n">
        <v>5357316677</v>
      </c>
      <c r="H38" s="37" t="n">
        <v>1553348</v>
      </c>
      <c r="I38" s="37" t="n">
        <v>2230478118</v>
      </c>
      <c r="J38" s="37" t="n">
        <v>932053</v>
      </c>
      <c r="K38" s="37" t="n">
        <v>1509505514</v>
      </c>
      <c r="L38" s="37" t="n">
        <v>358394</v>
      </c>
      <c r="M38" s="37" t="n">
        <v>617653108</v>
      </c>
      <c r="N38" s="37" t="n">
        <v>272298</v>
      </c>
      <c r="O38" s="37" t="n">
        <v>532829709</v>
      </c>
      <c r="P38" s="37" t="n">
        <v>149363</v>
      </c>
      <c r="Q38" s="37" t="n">
        <v>274671859</v>
      </c>
      <c r="R38" s="37" t="n">
        <v>552207</v>
      </c>
      <c r="S38" s="37" t="n">
        <v>1441658689</v>
      </c>
    </row>
    <row r="39">
      <c r="A39" s="37" t="inlineStr">
        <is>
          <t>106年</t>
        </is>
      </c>
      <c r="B39" s="37" t="inlineStr">
        <is>
          <t>02月</t>
        </is>
      </c>
      <c r="C39" s="36" t="inlineStr">
        <is>
          <t>食</t>
        </is>
      </c>
      <c r="D39" s="37" t="n">
        <v>6663893</v>
      </c>
      <c r="E39" s="37" t="n">
        <v>7151219820</v>
      </c>
      <c r="F39" s="37" t="n">
        <v>3517270</v>
      </c>
      <c r="G39" s="37" t="n">
        <v>3776962845</v>
      </c>
      <c r="H39" s="37" t="n">
        <v>1344009</v>
      </c>
      <c r="I39" s="37" t="n">
        <v>1578860148</v>
      </c>
      <c r="J39" s="37" t="n">
        <v>810501</v>
      </c>
      <c r="K39" s="37" t="n">
        <v>1082563260</v>
      </c>
      <c r="L39" s="37" t="n">
        <v>311863</v>
      </c>
      <c r="M39" s="37" t="n">
        <v>429737648</v>
      </c>
      <c r="N39" s="37" t="n">
        <v>236033</v>
      </c>
      <c r="O39" s="37" t="n">
        <v>370662153</v>
      </c>
      <c r="P39" s="37" t="n">
        <v>132986</v>
      </c>
      <c r="Q39" s="37" t="n">
        <v>204383944</v>
      </c>
      <c r="R39" s="37" t="n">
        <v>487607</v>
      </c>
      <c r="S39" s="37" t="n">
        <v>1043092366</v>
      </c>
    </row>
    <row r="40">
      <c r="A40" s="37" t="inlineStr">
        <is>
          <t>106年</t>
        </is>
      </c>
      <c r="B40" s="37" t="inlineStr">
        <is>
          <t>03月</t>
        </is>
      </c>
      <c r="C40" s="36" t="inlineStr">
        <is>
          <t>食</t>
        </is>
      </c>
      <c r="D40" s="37" t="n">
        <v>7554445</v>
      </c>
      <c r="E40" s="37" t="n">
        <v>7727280686</v>
      </c>
      <c r="F40" s="37" t="n">
        <v>3870683</v>
      </c>
      <c r="G40" s="37" t="n">
        <v>3951396179</v>
      </c>
      <c r="H40" s="37" t="n">
        <v>1495384</v>
      </c>
      <c r="I40" s="37" t="n">
        <v>1635445152</v>
      </c>
      <c r="J40" s="37" t="n">
        <v>882857</v>
      </c>
      <c r="K40" s="37" t="n">
        <v>1118908006</v>
      </c>
      <c r="L40" s="37" t="n">
        <v>342456</v>
      </c>
      <c r="M40" s="37" t="n">
        <v>443962339</v>
      </c>
      <c r="N40" s="37" t="n">
        <v>256402</v>
      </c>
      <c r="O40" s="37" t="n">
        <v>379039030</v>
      </c>
      <c r="P40" s="37" t="n">
        <v>148173</v>
      </c>
      <c r="Q40" s="37" t="n">
        <v>213907421</v>
      </c>
      <c r="R40" s="37" t="n">
        <v>526035</v>
      </c>
      <c r="S40" s="37" t="n">
        <v>1084045613</v>
      </c>
    </row>
    <row r="41">
      <c r="A41" s="37" t="inlineStr">
        <is>
          <t>106年</t>
        </is>
      </c>
      <c r="B41" s="37" t="inlineStr">
        <is>
          <t>04月</t>
        </is>
      </c>
      <c r="C41" s="36" t="inlineStr">
        <is>
          <t>食</t>
        </is>
      </c>
      <c r="D41" s="37" t="n">
        <v>8159216</v>
      </c>
      <c r="E41" s="37" t="n">
        <v>8317376215</v>
      </c>
      <c r="F41" s="37" t="n">
        <v>4214244</v>
      </c>
      <c r="G41" s="37" t="n">
        <v>4250613523</v>
      </c>
      <c r="H41" s="37" t="n">
        <v>1680163</v>
      </c>
      <c r="I41" s="37" t="n">
        <v>1784425164</v>
      </c>
      <c r="J41" s="37" t="n">
        <v>958475</v>
      </c>
      <c r="K41" s="37" t="n">
        <v>1182555303</v>
      </c>
      <c r="L41" s="37" t="n">
        <v>372412</v>
      </c>
      <c r="M41" s="37" t="n">
        <v>475305763</v>
      </c>
      <c r="N41" s="37" t="n">
        <v>275736</v>
      </c>
      <c r="O41" s="37" t="n">
        <v>399598451</v>
      </c>
      <c r="P41" s="37" t="n">
        <v>165143</v>
      </c>
      <c r="Q41" s="37" t="n">
        <v>227163829</v>
      </c>
      <c r="R41" s="37" t="n">
        <v>557028</v>
      </c>
      <c r="S41" s="37" t="n">
        <v>1093713008</v>
      </c>
    </row>
    <row r="42">
      <c r="A42" s="37" t="inlineStr">
        <is>
          <t>106年</t>
        </is>
      </c>
      <c r="B42" s="37" t="inlineStr">
        <is>
          <t>05月</t>
        </is>
      </c>
      <c r="C42" s="36" t="inlineStr">
        <is>
          <t>食</t>
        </is>
      </c>
      <c r="D42" s="37" t="n">
        <v>7716046</v>
      </c>
      <c r="E42" s="37" t="n">
        <v>8547343599</v>
      </c>
      <c r="F42" s="37" t="n">
        <v>3940511</v>
      </c>
      <c r="G42" s="37" t="n">
        <v>4355346716</v>
      </c>
      <c r="H42" s="37" t="n">
        <v>1513666</v>
      </c>
      <c r="I42" s="37" t="n">
        <v>1808904173</v>
      </c>
      <c r="J42" s="37" t="n">
        <v>898639</v>
      </c>
      <c r="K42" s="37" t="n">
        <v>1201272497</v>
      </c>
      <c r="L42" s="37" t="n">
        <v>347857</v>
      </c>
      <c r="M42" s="37" t="n">
        <v>483156622</v>
      </c>
      <c r="N42" s="37" t="n">
        <v>264694</v>
      </c>
      <c r="O42" s="37" t="n">
        <v>421297739</v>
      </c>
      <c r="P42" s="37" t="n">
        <v>151852</v>
      </c>
      <c r="Q42" s="37" t="n">
        <v>226548279</v>
      </c>
      <c r="R42" s="37" t="n">
        <v>557314</v>
      </c>
      <c r="S42" s="37" t="n">
        <v>1166635870</v>
      </c>
    </row>
    <row r="43">
      <c r="A43" s="37" t="inlineStr">
        <is>
          <t>106年</t>
        </is>
      </c>
      <c r="B43" s="37" t="inlineStr">
        <is>
          <t>06月</t>
        </is>
      </c>
      <c r="C43" s="36" t="inlineStr">
        <is>
          <t>食</t>
        </is>
      </c>
      <c r="D43" s="37" t="n">
        <v>6968893</v>
      </c>
      <c r="E43" s="37" t="n">
        <v>7716946422</v>
      </c>
      <c r="F43" s="37" t="n">
        <v>3546172</v>
      </c>
      <c r="G43" s="37" t="n">
        <v>3889695922</v>
      </c>
      <c r="H43" s="37" t="n">
        <v>1268501</v>
      </c>
      <c r="I43" s="37" t="n">
        <v>1578441422</v>
      </c>
      <c r="J43" s="37" t="n">
        <v>798355</v>
      </c>
      <c r="K43" s="37" t="n">
        <v>1067424823</v>
      </c>
      <c r="L43" s="37" t="n">
        <v>302451</v>
      </c>
      <c r="M43" s="37" t="n">
        <v>438308553</v>
      </c>
      <c r="N43" s="37" t="n">
        <v>235982</v>
      </c>
      <c r="O43" s="37" t="n">
        <v>366243680</v>
      </c>
      <c r="P43" s="37" t="n">
        <v>129071</v>
      </c>
      <c r="Q43" s="37" t="n">
        <v>201847280</v>
      </c>
      <c r="R43" s="37" t="n">
        <v>510566</v>
      </c>
      <c r="S43" s="37" t="n">
        <v>1049611718</v>
      </c>
    </row>
    <row r="44">
      <c r="A44" s="37" t="inlineStr">
        <is>
          <t>106年</t>
        </is>
      </c>
      <c r="B44" s="37" t="inlineStr">
        <is>
          <t>07月</t>
        </is>
      </c>
      <c r="C44" s="36" t="inlineStr">
        <is>
          <t>食</t>
        </is>
      </c>
      <c r="D44" s="37" t="n">
        <v>7937776</v>
      </c>
      <c r="E44" s="37" t="n">
        <v>8586630570</v>
      </c>
      <c r="F44" s="37" t="n">
        <v>4103941</v>
      </c>
      <c r="G44" s="37" t="n">
        <v>4412314658</v>
      </c>
      <c r="H44" s="37" t="n">
        <v>1459681</v>
      </c>
      <c r="I44" s="37" t="n">
        <v>1760230695</v>
      </c>
      <c r="J44" s="37" t="n">
        <v>909200</v>
      </c>
      <c r="K44" s="37" t="n">
        <v>1185118334</v>
      </c>
      <c r="L44" s="37" t="n">
        <v>341140</v>
      </c>
      <c r="M44" s="37" t="n">
        <v>488039510</v>
      </c>
      <c r="N44" s="37" t="n">
        <v>266341</v>
      </c>
      <c r="O44" s="37" t="n">
        <v>405812628</v>
      </c>
      <c r="P44" s="37" t="n">
        <v>145446</v>
      </c>
      <c r="Q44" s="37" t="n">
        <v>225203239</v>
      </c>
      <c r="R44" s="37" t="n">
        <v>569957</v>
      </c>
      <c r="S44" s="37" t="n">
        <v>1128676022</v>
      </c>
    </row>
    <row r="45">
      <c r="A45" s="37" t="inlineStr">
        <is>
          <t>106年</t>
        </is>
      </c>
      <c r="B45" s="37" t="inlineStr">
        <is>
          <t>08月</t>
        </is>
      </c>
      <c r="C45" s="36" t="inlineStr">
        <is>
          <t>食</t>
        </is>
      </c>
      <c r="D45" s="37" t="n">
        <v>8146585</v>
      </c>
      <c r="E45" s="37" t="n">
        <v>9384025885</v>
      </c>
      <c r="F45" s="37" t="n">
        <v>4164742</v>
      </c>
      <c r="G45" s="37" t="n">
        <v>4754736115</v>
      </c>
      <c r="H45" s="37" t="n">
        <v>1479814</v>
      </c>
      <c r="I45" s="37" t="n">
        <v>1896616343</v>
      </c>
      <c r="J45" s="37" t="n">
        <v>918400</v>
      </c>
      <c r="K45" s="37" t="n">
        <v>1265218286</v>
      </c>
      <c r="L45" s="37" t="n">
        <v>347546</v>
      </c>
      <c r="M45" s="37" t="n">
        <v>542774471</v>
      </c>
      <c r="N45" s="37" t="n">
        <v>269638</v>
      </c>
      <c r="O45" s="37" t="n">
        <v>422119413</v>
      </c>
      <c r="P45" s="37" t="n">
        <v>147546</v>
      </c>
      <c r="Q45" s="37" t="n">
        <v>239088340</v>
      </c>
      <c r="R45" s="37" t="n">
        <v>582555</v>
      </c>
      <c r="S45" s="37" t="n">
        <v>1211558963</v>
      </c>
    </row>
    <row r="46">
      <c r="A46" s="37" t="inlineStr">
        <is>
          <t>106年</t>
        </is>
      </c>
      <c r="B46" s="37" t="inlineStr">
        <is>
          <t>09月</t>
        </is>
      </c>
      <c r="C46" s="36" t="inlineStr">
        <is>
          <t>食</t>
        </is>
      </c>
      <c r="D46" s="37" t="n">
        <v>7488043</v>
      </c>
      <c r="E46" s="37" t="n">
        <v>8648639373</v>
      </c>
      <c r="F46" s="37" t="n">
        <v>3841883</v>
      </c>
      <c r="G46" s="37" t="n">
        <v>4406688038</v>
      </c>
      <c r="H46" s="37" t="n">
        <v>1369111</v>
      </c>
      <c r="I46" s="37" t="n">
        <v>1769708516</v>
      </c>
      <c r="J46" s="37" t="n">
        <v>855437</v>
      </c>
      <c r="K46" s="37" t="n">
        <v>1194870036</v>
      </c>
      <c r="L46" s="37" t="n">
        <v>324919</v>
      </c>
      <c r="M46" s="37" t="n">
        <v>491124391</v>
      </c>
      <c r="N46" s="37" t="n">
        <v>253312</v>
      </c>
      <c r="O46" s="37" t="n">
        <v>411286717</v>
      </c>
      <c r="P46" s="37" t="n">
        <v>140245</v>
      </c>
      <c r="Q46" s="37" t="n">
        <v>232280498</v>
      </c>
      <c r="R46" s="37" t="n">
        <v>549879</v>
      </c>
      <c r="S46" s="37" t="n">
        <v>1158664092</v>
      </c>
    </row>
    <row r="47">
      <c r="A47" s="37" t="inlineStr">
        <is>
          <t>106年</t>
        </is>
      </c>
      <c r="B47" s="37" t="inlineStr">
        <is>
          <t>10月</t>
        </is>
      </c>
      <c r="C47" s="36" t="inlineStr">
        <is>
          <t>食</t>
        </is>
      </c>
      <c r="D47" s="37" t="n">
        <v>7761723</v>
      </c>
      <c r="E47" s="37" t="n">
        <v>8624298298</v>
      </c>
      <c r="F47" s="37" t="n">
        <v>3992308</v>
      </c>
      <c r="G47" s="37" t="n">
        <v>4436012500</v>
      </c>
      <c r="H47" s="37" t="n">
        <v>1431353</v>
      </c>
      <c r="I47" s="37" t="n">
        <v>1780045206</v>
      </c>
      <c r="J47" s="37" t="n">
        <v>898667</v>
      </c>
      <c r="K47" s="37" t="n">
        <v>1226629834</v>
      </c>
      <c r="L47" s="37" t="n">
        <v>336026</v>
      </c>
      <c r="M47" s="37" t="n">
        <v>480540319</v>
      </c>
      <c r="N47" s="37" t="n">
        <v>264676</v>
      </c>
      <c r="O47" s="37" t="n">
        <v>423095131</v>
      </c>
      <c r="P47" s="37" t="n">
        <v>145757</v>
      </c>
      <c r="Q47" s="37" t="n">
        <v>239240655</v>
      </c>
      <c r="R47" s="37" t="n">
        <v>571662</v>
      </c>
      <c r="S47" s="37" t="n">
        <v>1205826948</v>
      </c>
    </row>
    <row r="48">
      <c r="A48" s="37" t="inlineStr">
        <is>
          <t>106年</t>
        </is>
      </c>
      <c r="B48" s="37" t="inlineStr">
        <is>
          <t>11月</t>
        </is>
      </c>
      <c r="C48" s="36" t="inlineStr">
        <is>
          <t>食</t>
        </is>
      </c>
      <c r="D48" s="37" t="n">
        <v>7451732</v>
      </c>
      <c r="E48" s="37" t="n">
        <v>8022262764</v>
      </c>
      <c r="F48" s="37" t="n">
        <v>3739918</v>
      </c>
      <c r="G48" s="37" t="n">
        <v>4080990774</v>
      </c>
      <c r="H48" s="37" t="n">
        <v>1335173</v>
      </c>
      <c r="I48" s="37" t="n">
        <v>1653642706</v>
      </c>
      <c r="J48" s="37" t="n">
        <v>835367</v>
      </c>
      <c r="K48" s="37" t="n">
        <v>1144392266</v>
      </c>
      <c r="L48" s="37" t="n">
        <v>315183</v>
      </c>
      <c r="M48" s="37" t="n">
        <v>453003510</v>
      </c>
      <c r="N48" s="37" t="n">
        <v>247401</v>
      </c>
      <c r="O48" s="37" t="n">
        <v>395790466</v>
      </c>
      <c r="P48" s="37" t="n">
        <v>137367</v>
      </c>
      <c r="Q48" s="37" t="n">
        <v>220570144</v>
      </c>
      <c r="R48" s="37" t="n">
        <v>536000</v>
      </c>
      <c r="S48" s="37" t="n">
        <v>1123584651</v>
      </c>
    </row>
    <row r="49">
      <c r="A49" s="37" t="inlineStr">
        <is>
          <t>106年</t>
        </is>
      </c>
      <c r="B49" s="37" t="inlineStr">
        <is>
          <t>12月</t>
        </is>
      </c>
      <c r="C49" s="36" t="inlineStr">
        <is>
          <t>食</t>
        </is>
      </c>
      <c r="D49" s="37" t="n">
        <v>8132479</v>
      </c>
      <c r="E49" s="37" t="n">
        <v>8955604466</v>
      </c>
      <c r="F49" s="37" t="n">
        <v>4092878</v>
      </c>
      <c r="G49" s="37" t="n">
        <v>4621869202</v>
      </c>
      <c r="H49" s="37" t="n">
        <v>1470749</v>
      </c>
      <c r="I49" s="37" t="n">
        <v>1879926482</v>
      </c>
      <c r="J49" s="37" t="n">
        <v>920688</v>
      </c>
      <c r="K49" s="37" t="n">
        <v>1308571211</v>
      </c>
      <c r="L49" s="37" t="n">
        <v>348623</v>
      </c>
      <c r="M49" s="37" t="n">
        <v>522943867</v>
      </c>
      <c r="N49" s="37" t="n">
        <v>270635</v>
      </c>
      <c r="O49" s="37" t="n">
        <v>465129556</v>
      </c>
      <c r="P49" s="37" t="n">
        <v>151667</v>
      </c>
      <c r="Q49" s="37" t="n">
        <v>259092670</v>
      </c>
      <c r="R49" s="37" t="n">
        <v>593726</v>
      </c>
      <c r="S49" s="37" t="n">
        <v>1310925669</v>
      </c>
    </row>
    <row r="50">
      <c r="A50" s="37" t="inlineStr">
        <is>
          <t>107年</t>
        </is>
      </c>
      <c r="B50" s="37" t="inlineStr">
        <is>
          <t>01月</t>
        </is>
      </c>
      <c r="C50" s="36" t="inlineStr">
        <is>
          <t>食</t>
        </is>
      </c>
      <c r="D50" s="37" t="n">
        <v>7058648</v>
      </c>
      <c r="E50" s="37" t="n">
        <v>8087481412</v>
      </c>
      <c r="F50" s="37" t="n">
        <v>3593957</v>
      </c>
      <c r="G50" s="37" t="n">
        <v>4212885926</v>
      </c>
      <c r="H50" s="37" t="n">
        <v>1281326</v>
      </c>
      <c r="I50" s="37" t="n">
        <v>1722553333</v>
      </c>
      <c r="J50" s="37" t="n">
        <v>810044</v>
      </c>
      <c r="K50" s="37" t="n">
        <v>1214490567</v>
      </c>
      <c r="L50" s="37" t="n">
        <v>306617</v>
      </c>
      <c r="M50" s="37" t="n">
        <v>483418915</v>
      </c>
      <c r="N50" s="37" t="n">
        <v>240607</v>
      </c>
      <c r="O50" s="37" t="n">
        <v>417709512</v>
      </c>
      <c r="P50" s="37" t="n">
        <v>134307</v>
      </c>
      <c r="Q50" s="37" t="n">
        <v>237812581</v>
      </c>
      <c r="R50" s="37" t="n">
        <v>521137</v>
      </c>
      <c r="S50" s="37" t="n">
        <v>1214866623</v>
      </c>
    </row>
    <row r="51">
      <c r="A51" s="37" t="inlineStr">
        <is>
          <t>107年</t>
        </is>
      </c>
      <c r="B51" s="37" t="inlineStr">
        <is>
          <t>02月</t>
        </is>
      </c>
      <c r="C51" s="36" t="inlineStr">
        <is>
          <t>食</t>
        </is>
      </c>
      <c r="D51" s="37" t="n">
        <v>7710537</v>
      </c>
      <c r="E51" s="37" t="n">
        <v>9738305483</v>
      </c>
      <c r="F51" s="37" t="n">
        <v>4006805</v>
      </c>
      <c r="G51" s="37" t="n">
        <v>5101283262</v>
      </c>
      <c r="H51" s="37" t="n">
        <v>1478128</v>
      </c>
      <c r="I51" s="37" t="n">
        <v>2105175427</v>
      </c>
      <c r="J51" s="37" t="n">
        <v>913637</v>
      </c>
      <c r="K51" s="37" t="n">
        <v>1452514073</v>
      </c>
      <c r="L51" s="37" t="n">
        <v>344163</v>
      </c>
      <c r="M51" s="37" t="n">
        <v>577394085</v>
      </c>
      <c r="N51" s="37" t="n">
        <v>265468</v>
      </c>
      <c r="O51" s="37" t="n">
        <v>489550594</v>
      </c>
      <c r="P51" s="37" t="n">
        <v>148692</v>
      </c>
      <c r="Q51" s="37" t="n">
        <v>279578158</v>
      </c>
      <c r="R51" s="37" t="n">
        <v>575290</v>
      </c>
      <c r="S51" s="37" t="n">
        <v>1396597842</v>
      </c>
    </row>
    <row r="52">
      <c r="A52" s="37" t="inlineStr">
        <is>
          <t>107年</t>
        </is>
      </c>
      <c r="B52" s="37" t="inlineStr">
        <is>
          <t>03月</t>
        </is>
      </c>
      <c r="C52" s="36" t="inlineStr">
        <is>
          <t>食</t>
        </is>
      </c>
      <c r="D52" s="37" t="n">
        <v>7734192</v>
      </c>
      <c r="E52" s="37" t="n">
        <v>7817042880</v>
      </c>
      <c r="F52" s="37" t="n">
        <v>3966892</v>
      </c>
      <c r="G52" s="37" t="n">
        <v>3972829876</v>
      </c>
      <c r="H52" s="37" t="n">
        <v>1439637</v>
      </c>
      <c r="I52" s="37" t="n">
        <v>1623471770</v>
      </c>
      <c r="J52" s="37" t="n">
        <v>893585</v>
      </c>
      <c r="K52" s="37" t="n">
        <v>1146144845</v>
      </c>
      <c r="L52" s="37" t="n">
        <v>339763</v>
      </c>
      <c r="M52" s="37" t="n">
        <v>463133324</v>
      </c>
      <c r="N52" s="37" t="n">
        <v>266196</v>
      </c>
      <c r="O52" s="37" t="n">
        <v>403276001</v>
      </c>
      <c r="P52" s="37" t="n">
        <v>150083</v>
      </c>
      <c r="Q52" s="37" t="n">
        <v>231450243</v>
      </c>
      <c r="R52" s="37" t="n">
        <v>575537</v>
      </c>
      <c r="S52" s="37" t="n">
        <v>1144028968</v>
      </c>
    </row>
    <row r="53">
      <c r="A53" s="37" t="inlineStr">
        <is>
          <t>107年</t>
        </is>
      </c>
      <c r="B53" s="37" t="inlineStr">
        <is>
          <t>04月</t>
        </is>
      </c>
      <c r="C53" s="36" t="inlineStr">
        <is>
          <t>食</t>
        </is>
      </c>
      <c r="D53" s="37" t="n">
        <v>8374296</v>
      </c>
      <c r="E53" s="37" t="n">
        <v>9270407138</v>
      </c>
      <c r="F53" s="37" t="n">
        <v>4215951</v>
      </c>
      <c r="G53" s="37" t="n">
        <v>4537904236</v>
      </c>
      <c r="H53" s="37" t="n">
        <v>1572479</v>
      </c>
      <c r="I53" s="37" t="n">
        <v>1898981351</v>
      </c>
      <c r="J53" s="37" t="n">
        <v>958349</v>
      </c>
      <c r="K53" s="37" t="n">
        <v>1261567544</v>
      </c>
      <c r="L53" s="37" t="n">
        <v>386107</v>
      </c>
      <c r="M53" s="37" t="n">
        <v>553256805</v>
      </c>
      <c r="N53" s="37" t="n">
        <v>315850</v>
      </c>
      <c r="O53" s="37" t="n">
        <v>506376144</v>
      </c>
      <c r="P53" s="37" t="n">
        <v>171819</v>
      </c>
      <c r="Q53" s="37" t="n">
        <v>275367784</v>
      </c>
      <c r="R53" s="37" t="n">
        <v>630932</v>
      </c>
      <c r="S53" s="37" t="n">
        <v>1228467239</v>
      </c>
    </row>
    <row r="54">
      <c r="A54" s="37" t="inlineStr">
        <is>
          <t>107年</t>
        </is>
      </c>
      <c r="B54" s="37" t="inlineStr">
        <is>
          <t>05月</t>
        </is>
      </c>
      <c r="C54" s="36" t="inlineStr">
        <is>
          <t>食</t>
        </is>
      </c>
      <c r="D54" s="37" t="n">
        <v>9683607</v>
      </c>
      <c r="E54" s="37" t="n">
        <v>11300804841</v>
      </c>
      <c r="F54" s="37" t="n">
        <v>4708100</v>
      </c>
      <c r="G54" s="37" t="n">
        <v>5351724822</v>
      </c>
      <c r="H54" s="37" t="n">
        <v>1786150</v>
      </c>
      <c r="I54" s="37" t="n">
        <v>2333718354</v>
      </c>
      <c r="J54" s="37" t="n">
        <v>1065755</v>
      </c>
      <c r="K54" s="37" t="n">
        <v>1477976296</v>
      </c>
      <c r="L54" s="37" t="n">
        <v>454905</v>
      </c>
      <c r="M54" s="37" t="n">
        <v>699012100</v>
      </c>
      <c r="N54" s="37" t="n">
        <v>388247</v>
      </c>
      <c r="O54" s="37" t="n">
        <v>671023901</v>
      </c>
      <c r="P54" s="37" t="n">
        <v>203914</v>
      </c>
      <c r="Q54" s="37" t="n">
        <v>358888357</v>
      </c>
      <c r="R54" s="37" t="n">
        <v>713716</v>
      </c>
      <c r="S54" s="37" t="n">
        <v>1473940742</v>
      </c>
    </row>
    <row r="55">
      <c r="A55" s="37" t="inlineStr">
        <is>
          <t>107年</t>
        </is>
      </c>
      <c r="B55" s="37" t="inlineStr">
        <is>
          <t>06月</t>
        </is>
      </c>
      <c r="C55" s="36" t="inlineStr">
        <is>
          <t>食</t>
        </is>
      </c>
      <c r="D55" s="37" t="n">
        <v>9683887</v>
      </c>
      <c r="E55" s="37" t="n">
        <v>10822004696</v>
      </c>
      <c r="F55" s="37" t="n">
        <v>4707794</v>
      </c>
      <c r="G55" s="37" t="n">
        <v>5134057941</v>
      </c>
      <c r="H55" s="37" t="n">
        <v>1804606</v>
      </c>
      <c r="I55" s="37" t="n">
        <v>2238582873</v>
      </c>
      <c r="J55" s="37" t="n">
        <v>1071187</v>
      </c>
      <c r="K55" s="37" t="n">
        <v>1426096177</v>
      </c>
      <c r="L55" s="37" t="n">
        <v>460030</v>
      </c>
      <c r="M55" s="37" t="n">
        <v>684646308</v>
      </c>
      <c r="N55" s="37" t="n">
        <v>387960</v>
      </c>
      <c r="O55" s="37" t="n">
        <v>643498564</v>
      </c>
      <c r="P55" s="37" t="n">
        <v>205019</v>
      </c>
      <c r="Q55" s="37" t="n">
        <v>334405111</v>
      </c>
      <c r="R55" s="37" t="n">
        <v>717845</v>
      </c>
      <c r="S55" s="37" t="n">
        <v>1410423953</v>
      </c>
    </row>
    <row r="56">
      <c r="A56" s="37" t="inlineStr">
        <is>
          <t>107年</t>
        </is>
      </c>
      <c r="B56" s="37" t="inlineStr">
        <is>
          <t>07月</t>
        </is>
      </c>
      <c r="C56" s="36" t="inlineStr">
        <is>
          <t>食</t>
        </is>
      </c>
      <c r="D56" s="37" t="n">
        <v>10601936</v>
      </c>
      <c r="E56" s="37" t="n">
        <v>11579190436</v>
      </c>
      <c r="F56" s="37" t="n">
        <v>5147017</v>
      </c>
      <c r="G56" s="37" t="n">
        <v>5450200725</v>
      </c>
      <c r="H56" s="37" t="n">
        <v>1970356</v>
      </c>
      <c r="I56" s="37" t="n">
        <v>2366913454</v>
      </c>
      <c r="J56" s="37" t="n">
        <v>1152721</v>
      </c>
      <c r="K56" s="37" t="n">
        <v>1471497033</v>
      </c>
      <c r="L56" s="37" t="n">
        <v>497532</v>
      </c>
      <c r="M56" s="37" t="n">
        <v>716698841</v>
      </c>
      <c r="N56" s="37" t="n">
        <v>417928</v>
      </c>
      <c r="O56" s="37" t="n">
        <v>677454723</v>
      </c>
      <c r="P56" s="37" t="n">
        <v>221914</v>
      </c>
      <c r="Q56" s="37" t="n">
        <v>356638521</v>
      </c>
      <c r="R56" s="37" t="n">
        <v>769928</v>
      </c>
      <c r="S56" s="37" t="n">
        <v>1463346148</v>
      </c>
    </row>
    <row r="57">
      <c r="A57" s="37" t="inlineStr">
        <is>
          <t>107年</t>
        </is>
      </c>
      <c r="B57" s="37" t="inlineStr">
        <is>
          <t>08月</t>
        </is>
      </c>
      <c r="C57" s="36" t="inlineStr">
        <is>
          <t>食</t>
        </is>
      </c>
      <c r="D57" s="37" t="n">
        <v>10702763</v>
      </c>
      <c r="E57" s="37" t="n">
        <v>12427047323</v>
      </c>
      <c r="F57" s="37" t="n">
        <v>5200206</v>
      </c>
      <c r="G57" s="37" t="n">
        <v>5901600726</v>
      </c>
      <c r="H57" s="37" t="n">
        <v>1982571</v>
      </c>
      <c r="I57" s="37" t="n">
        <v>2500817304</v>
      </c>
      <c r="J57" s="37" t="n">
        <v>1145074</v>
      </c>
      <c r="K57" s="37" t="n">
        <v>1546600203</v>
      </c>
      <c r="L57" s="37" t="n">
        <v>496013</v>
      </c>
      <c r="M57" s="37" t="n">
        <v>739947377</v>
      </c>
      <c r="N57" s="37" t="n">
        <v>414346</v>
      </c>
      <c r="O57" s="37" t="n">
        <v>697976119</v>
      </c>
      <c r="P57" s="37" t="n">
        <v>221870</v>
      </c>
      <c r="Q57" s="37" t="n">
        <v>366124153</v>
      </c>
      <c r="R57" s="37" t="n">
        <v>764231</v>
      </c>
      <c r="S57" s="37" t="n">
        <v>1517340829</v>
      </c>
    </row>
    <row r="58">
      <c r="A58" s="37" t="inlineStr">
        <is>
          <t>107年</t>
        </is>
      </c>
      <c r="B58" s="37" t="inlineStr">
        <is>
          <t>09月</t>
        </is>
      </c>
      <c r="C58" s="36" t="inlineStr">
        <is>
          <t>食</t>
        </is>
      </c>
      <c r="D58" s="37" t="n">
        <v>10261501</v>
      </c>
      <c r="E58" s="37" t="n">
        <v>11650562748</v>
      </c>
      <c r="F58" s="37" t="n">
        <v>4951644</v>
      </c>
      <c r="G58" s="37" t="n">
        <v>5489846637</v>
      </c>
      <c r="H58" s="37" t="n">
        <v>1900697</v>
      </c>
      <c r="I58" s="37" t="n">
        <v>2379609660</v>
      </c>
      <c r="J58" s="37" t="n">
        <v>1107275</v>
      </c>
      <c r="K58" s="37" t="n">
        <v>1474154544</v>
      </c>
      <c r="L58" s="37" t="n">
        <v>483729</v>
      </c>
      <c r="M58" s="37" t="n">
        <v>729748409</v>
      </c>
      <c r="N58" s="37" t="n">
        <v>410588</v>
      </c>
      <c r="O58" s="37" t="n">
        <v>685204881</v>
      </c>
      <c r="P58" s="37" t="n">
        <v>219659</v>
      </c>
      <c r="Q58" s="37" t="n">
        <v>365782678</v>
      </c>
      <c r="R58" s="37" t="n">
        <v>748138</v>
      </c>
      <c r="S58" s="37" t="n">
        <v>1481708361</v>
      </c>
    </row>
    <row r="59">
      <c r="A59" s="37" t="inlineStr">
        <is>
          <t>107年</t>
        </is>
      </c>
      <c r="B59" s="37" t="inlineStr">
        <is>
          <t>10月</t>
        </is>
      </c>
      <c r="C59" s="36" t="inlineStr">
        <is>
          <t>食</t>
        </is>
      </c>
      <c r="D59" s="37" t="n">
        <v>9101086</v>
      </c>
      <c r="E59" s="37" t="n">
        <v>9785228186</v>
      </c>
      <c r="F59" s="37" t="n">
        <v>4461135</v>
      </c>
      <c r="G59" s="37" t="n">
        <v>4664055171</v>
      </c>
      <c r="H59" s="37" t="n">
        <v>1685805</v>
      </c>
      <c r="I59" s="37" t="n">
        <v>2005653360</v>
      </c>
      <c r="J59" s="37" t="n">
        <v>969476</v>
      </c>
      <c r="K59" s="37" t="n">
        <v>1224947635</v>
      </c>
      <c r="L59" s="37" t="n">
        <v>426119</v>
      </c>
      <c r="M59" s="37" t="n">
        <v>616209857</v>
      </c>
      <c r="N59" s="37" t="n">
        <v>357550</v>
      </c>
      <c r="O59" s="37" t="n">
        <v>584773077</v>
      </c>
      <c r="P59" s="37" t="n">
        <v>193355</v>
      </c>
      <c r="Q59" s="37" t="n">
        <v>310020345</v>
      </c>
      <c r="R59" s="37" t="n">
        <v>643033</v>
      </c>
      <c r="S59" s="37" t="n">
        <v>1219215428</v>
      </c>
    </row>
    <row r="60">
      <c r="A60" s="37" t="inlineStr">
        <is>
          <t>107年</t>
        </is>
      </c>
      <c r="B60" s="37" t="inlineStr">
        <is>
          <t>11月</t>
        </is>
      </c>
      <c r="C60" s="36" t="inlineStr">
        <is>
          <t>食</t>
        </is>
      </c>
      <c r="D60" s="37" t="n">
        <v>9802657</v>
      </c>
      <c r="E60" s="37" t="n">
        <v>10927005728</v>
      </c>
      <c r="F60" s="37" t="n">
        <v>4677546</v>
      </c>
      <c r="G60" s="37" t="n">
        <v>5083836813</v>
      </c>
      <c r="H60" s="37" t="n">
        <v>1792097</v>
      </c>
      <c r="I60" s="37" t="n">
        <v>2220808630</v>
      </c>
      <c r="J60" s="37" t="n">
        <v>1040925</v>
      </c>
      <c r="K60" s="37" t="n">
        <v>1376671572</v>
      </c>
      <c r="L60" s="37" t="n">
        <v>454936</v>
      </c>
      <c r="M60" s="37" t="n">
        <v>698546062</v>
      </c>
      <c r="N60" s="37" t="n">
        <v>383948</v>
      </c>
      <c r="O60" s="37" t="n">
        <v>658397103</v>
      </c>
      <c r="P60" s="37" t="n">
        <v>208057</v>
      </c>
      <c r="Q60" s="37" t="n">
        <v>350651646</v>
      </c>
      <c r="R60" s="37" t="n">
        <v>714683</v>
      </c>
      <c r="S60" s="37" t="n">
        <v>1395762302</v>
      </c>
    </row>
    <row r="61">
      <c r="A61" s="37" t="inlineStr">
        <is>
          <t>107年</t>
        </is>
      </c>
      <c r="B61" s="37" t="inlineStr">
        <is>
          <t>12月</t>
        </is>
      </c>
      <c r="C61" s="36" t="inlineStr">
        <is>
          <t>食</t>
        </is>
      </c>
      <c r="D61" s="37" t="n">
        <v>11043244</v>
      </c>
      <c r="E61" s="37" t="n">
        <v>12572101600</v>
      </c>
      <c r="F61" s="37" t="n">
        <v>5296021</v>
      </c>
      <c r="G61" s="37" t="n">
        <v>5956483385</v>
      </c>
      <c r="H61" s="37" t="n">
        <v>2040211</v>
      </c>
      <c r="I61" s="37" t="n">
        <v>2607958530</v>
      </c>
      <c r="J61" s="37" t="n">
        <v>1180439</v>
      </c>
      <c r="K61" s="37" t="n">
        <v>1618861193</v>
      </c>
      <c r="L61" s="37" t="n">
        <v>514826</v>
      </c>
      <c r="M61" s="37" t="n">
        <v>808739967</v>
      </c>
      <c r="N61" s="37" t="n">
        <v>434148</v>
      </c>
      <c r="O61" s="37" t="n">
        <v>775824209</v>
      </c>
      <c r="P61" s="37" t="n">
        <v>235839</v>
      </c>
      <c r="Q61" s="37" t="n">
        <v>410863641</v>
      </c>
      <c r="R61" s="37" t="n">
        <v>813741</v>
      </c>
      <c r="S61" s="37" t="n">
        <v>1668594032</v>
      </c>
    </row>
    <row r="62">
      <c r="A62" s="37" t="inlineStr">
        <is>
          <t>108年</t>
        </is>
      </c>
      <c r="B62" s="37" t="inlineStr">
        <is>
          <t>01月</t>
        </is>
      </c>
      <c r="C62" s="36" t="inlineStr">
        <is>
          <t>食</t>
        </is>
      </c>
      <c r="D62" s="37" t="n">
        <v>10379042</v>
      </c>
      <c r="E62" s="37" t="n">
        <v>12854014185</v>
      </c>
      <c r="F62" s="37" t="n">
        <v>5035564</v>
      </c>
      <c r="G62" s="37" t="n">
        <v>6215729326</v>
      </c>
      <c r="H62" s="37" t="n">
        <v>1928672</v>
      </c>
      <c r="I62" s="37" t="n">
        <v>2718881013</v>
      </c>
      <c r="J62" s="37" t="n">
        <v>1110048</v>
      </c>
      <c r="K62" s="37" t="n">
        <v>1683497642</v>
      </c>
      <c r="L62" s="37" t="n">
        <v>482817</v>
      </c>
      <c r="M62" s="37" t="n">
        <v>831897054</v>
      </c>
      <c r="N62" s="37" t="n">
        <v>405670</v>
      </c>
      <c r="O62" s="37" t="n">
        <v>783085485</v>
      </c>
      <c r="P62" s="37" t="n">
        <v>218131</v>
      </c>
      <c r="Q62" s="37" t="n">
        <v>422118618</v>
      </c>
      <c r="R62" s="37" t="n">
        <v>761580</v>
      </c>
      <c r="S62" s="37" t="n">
        <v>1737701839</v>
      </c>
    </row>
    <row r="63">
      <c r="A63" s="37" t="inlineStr">
        <is>
          <t>108年</t>
        </is>
      </c>
      <c r="B63" s="37" t="inlineStr">
        <is>
          <t>02月</t>
        </is>
      </c>
      <c r="C63" s="36" t="inlineStr">
        <is>
          <t>食</t>
        </is>
      </c>
      <c r="D63" s="37" t="n">
        <v>8374779</v>
      </c>
      <c r="E63" s="37" t="n">
        <v>9747896677</v>
      </c>
      <c r="F63" s="37" t="n">
        <v>4174341</v>
      </c>
      <c r="G63" s="37" t="n">
        <v>4789063220</v>
      </c>
      <c r="H63" s="37" t="n">
        <v>1639592</v>
      </c>
      <c r="I63" s="37" t="n">
        <v>2138852633</v>
      </c>
      <c r="J63" s="37" t="n">
        <v>943203</v>
      </c>
      <c r="K63" s="37" t="n">
        <v>1321141271</v>
      </c>
      <c r="L63" s="37" t="n">
        <v>414371</v>
      </c>
      <c r="M63" s="37" t="n">
        <v>642884858</v>
      </c>
      <c r="N63" s="37" t="n">
        <v>346356</v>
      </c>
      <c r="O63" s="37" t="n">
        <v>588966456</v>
      </c>
      <c r="P63" s="37" t="n">
        <v>186307</v>
      </c>
      <c r="Q63" s="37" t="n">
        <v>314519749</v>
      </c>
      <c r="R63" s="37" t="n">
        <v>649920</v>
      </c>
      <c r="S63" s="37" t="n">
        <v>1310452661</v>
      </c>
    </row>
    <row r="64">
      <c r="A64" s="37" t="inlineStr">
        <is>
          <t>108年</t>
        </is>
      </c>
      <c r="B64" s="37" t="inlineStr">
        <is>
          <t>03月</t>
        </is>
      </c>
      <c r="C64" s="36" t="inlineStr">
        <is>
          <t>食</t>
        </is>
      </c>
      <c r="D64" s="37" t="n">
        <v>9982310</v>
      </c>
      <c r="E64" s="37" t="n">
        <v>10702699474</v>
      </c>
      <c r="F64" s="37" t="n">
        <v>4738552</v>
      </c>
      <c r="G64" s="37" t="n">
        <v>5011098998</v>
      </c>
      <c r="H64" s="37" t="n">
        <v>1868905</v>
      </c>
      <c r="I64" s="37" t="n">
        <v>2227736958</v>
      </c>
      <c r="J64" s="37" t="n">
        <v>1074955</v>
      </c>
      <c r="K64" s="37" t="n">
        <v>1370502722</v>
      </c>
      <c r="L64" s="37" t="n">
        <v>481820</v>
      </c>
      <c r="M64" s="37" t="n">
        <v>694215628</v>
      </c>
      <c r="N64" s="37" t="n">
        <v>407389</v>
      </c>
      <c r="O64" s="37" t="n">
        <v>641119048</v>
      </c>
      <c r="P64" s="37" t="n">
        <v>221105</v>
      </c>
      <c r="Q64" s="37" t="n">
        <v>344940804</v>
      </c>
      <c r="R64" s="37" t="n">
        <v>783570</v>
      </c>
      <c r="S64" s="37" t="n">
        <v>1467689151</v>
      </c>
    </row>
    <row r="65">
      <c r="A65" s="37" t="inlineStr">
        <is>
          <t>108年</t>
        </is>
      </c>
      <c r="B65" s="37" t="inlineStr">
        <is>
          <t>04月</t>
        </is>
      </c>
      <c r="C65" s="36" t="inlineStr">
        <is>
          <t>食</t>
        </is>
      </c>
      <c r="D65" s="37" t="n">
        <v>9340953</v>
      </c>
      <c r="E65" s="37" t="n">
        <v>10280101303</v>
      </c>
      <c r="F65" s="37" t="n">
        <v>4291900</v>
      </c>
      <c r="G65" s="37" t="n">
        <v>4677905598</v>
      </c>
      <c r="H65" s="37" t="n">
        <v>1764024</v>
      </c>
      <c r="I65" s="37" t="n">
        <v>2127196972</v>
      </c>
      <c r="J65" s="37" t="n">
        <v>1002066</v>
      </c>
      <c r="K65" s="37" t="n">
        <v>1290848171</v>
      </c>
      <c r="L65" s="37" t="n">
        <v>460952</v>
      </c>
      <c r="M65" s="37" t="n">
        <v>664668092</v>
      </c>
      <c r="N65" s="37" t="n">
        <v>393411</v>
      </c>
      <c r="O65" s="37" t="n">
        <v>617395235</v>
      </c>
      <c r="P65" s="37" t="n">
        <v>211979</v>
      </c>
      <c r="Q65" s="37" t="n">
        <v>322431237</v>
      </c>
      <c r="R65" s="37" t="n">
        <v>748996</v>
      </c>
      <c r="S65" s="37" t="n">
        <v>1341430241</v>
      </c>
    </row>
    <row r="66">
      <c r="A66" s="37" t="inlineStr">
        <is>
          <t>108年</t>
        </is>
      </c>
      <c r="B66" s="37" t="inlineStr">
        <is>
          <t>05月</t>
        </is>
      </c>
      <c r="C66" s="36" t="inlineStr">
        <is>
          <t>食</t>
        </is>
      </c>
      <c r="D66" s="37" t="n">
        <v>9702782</v>
      </c>
      <c r="E66" s="37" t="n">
        <v>10810207509</v>
      </c>
      <c r="F66" s="37" t="n">
        <v>4517143</v>
      </c>
      <c r="G66" s="37" t="n">
        <v>5049468476</v>
      </c>
      <c r="H66" s="37" t="n">
        <v>1873020</v>
      </c>
      <c r="I66" s="37" t="n">
        <v>2311157602</v>
      </c>
      <c r="J66" s="37" t="n">
        <v>1051885</v>
      </c>
      <c r="K66" s="37" t="n">
        <v>1389563115</v>
      </c>
      <c r="L66" s="37" t="n">
        <v>490831</v>
      </c>
      <c r="M66" s="37" t="n">
        <v>705092812</v>
      </c>
      <c r="N66" s="37" t="n">
        <v>415404</v>
      </c>
      <c r="O66" s="37" t="n">
        <v>673402906</v>
      </c>
      <c r="P66" s="37" t="n">
        <v>226951</v>
      </c>
      <c r="Q66" s="37" t="n">
        <v>355495101</v>
      </c>
      <c r="R66" s="37" t="n">
        <v>794427</v>
      </c>
      <c r="S66" s="37" t="n">
        <v>1459924293</v>
      </c>
    </row>
    <row r="67">
      <c r="A67" s="37" t="inlineStr">
        <is>
          <t>108年</t>
        </is>
      </c>
      <c r="B67" s="37" t="inlineStr">
        <is>
          <t>06月</t>
        </is>
      </c>
      <c r="C67" s="36" t="inlineStr">
        <is>
          <t>食</t>
        </is>
      </c>
      <c r="D67" s="37" t="n">
        <v>10248854</v>
      </c>
      <c r="E67" s="37" t="n">
        <v>10606900169</v>
      </c>
      <c r="F67" s="37" t="n">
        <v>4748638</v>
      </c>
      <c r="G67" s="37" t="n">
        <v>4913737149</v>
      </c>
      <c r="H67" s="37" t="n">
        <v>1975672</v>
      </c>
      <c r="I67" s="37" t="n">
        <v>2249995136</v>
      </c>
      <c r="J67" s="37" t="n">
        <v>1096991</v>
      </c>
      <c r="K67" s="37" t="n">
        <v>1331096129</v>
      </c>
      <c r="L67" s="37" t="n">
        <v>517467</v>
      </c>
      <c r="M67" s="37" t="n">
        <v>686856481</v>
      </c>
      <c r="N67" s="37" t="n">
        <v>432841</v>
      </c>
      <c r="O67" s="37" t="n">
        <v>633403531</v>
      </c>
      <c r="P67" s="37" t="n">
        <v>237084</v>
      </c>
      <c r="Q67" s="37" t="n">
        <v>337893058</v>
      </c>
      <c r="R67" s="37" t="n">
        <v>815038</v>
      </c>
      <c r="S67" s="37" t="n">
        <v>1346282223</v>
      </c>
    </row>
    <row r="68">
      <c r="A68" s="37" t="inlineStr">
        <is>
          <t>108年</t>
        </is>
      </c>
      <c r="B68" s="37" t="inlineStr">
        <is>
          <t>07月</t>
        </is>
      </c>
      <c r="C68" s="36" t="inlineStr">
        <is>
          <t>食</t>
        </is>
      </c>
      <c r="D68" s="37" t="n">
        <v>12827717</v>
      </c>
      <c r="E68" s="37" t="n">
        <v>12858671688</v>
      </c>
      <c r="F68" s="37" t="n">
        <v>5934093</v>
      </c>
      <c r="G68" s="37" t="n">
        <v>5872877530</v>
      </c>
      <c r="H68" s="37" t="n">
        <v>2418557</v>
      </c>
      <c r="I68" s="37" t="n">
        <v>2640751017</v>
      </c>
      <c r="J68" s="37" t="n">
        <v>1339512</v>
      </c>
      <c r="K68" s="37" t="n">
        <v>1569587650</v>
      </c>
      <c r="L68" s="37" t="n">
        <v>633452</v>
      </c>
      <c r="M68" s="37" t="n">
        <v>825552970</v>
      </c>
      <c r="N68" s="37" t="n">
        <v>538763</v>
      </c>
      <c r="O68" s="37" t="n">
        <v>788532281</v>
      </c>
      <c r="P68" s="37" t="n">
        <v>287023</v>
      </c>
      <c r="Q68" s="37" t="n">
        <v>408539544</v>
      </c>
      <c r="R68" s="37" t="n">
        <v>998902</v>
      </c>
      <c r="S68" s="37" t="n">
        <v>1638283165</v>
      </c>
    </row>
    <row r="69">
      <c r="A69" s="37" t="inlineStr">
        <is>
          <t>108年</t>
        </is>
      </c>
      <c r="B69" s="37" t="inlineStr">
        <is>
          <t>08月</t>
        </is>
      </c>
      <c r="C69" s="36" t="inlineStr">
        <is>
          <t>食</t>
        </is>
      </c>
      <c r="D69" s="37" t="n">
        <v>13191484</v>
      </c>
      <c r="E69" s="37" t="n">
        <v>13636505850</v>
      </c>
      <c r="F69" s="37" t="n">
        <v>6336531</v>
      </c>
      <c r="G69" s="37" t="n">
        <v>6417108107</v>
      </c>
      <c r="H69" s="37" t="n">
        <v>2535420</v>
      </c>
      <c r="I69" s="37" t="n">
        <v>2811957212</v>
      </c>
      <c r="J69" s="37" t="n">
        <v>1410399</v>
      </c>
      <c r="K69" s="37" t="n">
        <v>1684734208</v>
      </c>
      <c r="L69" s="37" t="n">
        <v>647050</v>
      </c>
      <c r="M69" s="37" t="n">
        <v>847372245</v>
      </c>
      <c r="N69" s="37" t="n">
        <v>534889</v>
      </c>
      <c r="O69" s="37" t="n">
        <v>781522627</v>
      </c>
      <c r="P69" s="37" t="n">
        <v>290731</v>
      </c>
      <c r="Q69" s="37" t="n">
        <v>415036912</v>
      </c>
      <c r="R69" s="37" t="n">
        <v>1038205</v>
      </c>
      <c r="S69" s="37" t="n">
        <v>1736550735</v>
      </c>
    </row>
    <row r="70">
      <c r="A70" s="37" t="inlineStr">
        <is>
          <t>108年</t>
        </is>
      </c>
      <c r="B70" s="37" t="inlineStr">
        <is>
          <t>09月</t>
        </is>
      </c>
      <c r="C70" s="36" t="inlineStr">
        <is>
          <t>食</t>
        </is>
      </c>
      <c r="D70" s="37" t="n">
        <v>11549597</v>
      </c>
      <c r="E70" s="37" t="n">
        <v>11266069977</v>
      </c>
      <c r="F70" s="37" t="n">
        <v>5546646</v>
      </c>
      <c r="G70" s="37" t="n">
        <v>5241455109</v>
      </c>
      <c r="H70" s="37" t="n">
        <v>2272226</v>
      </c>
      <c r="I70" s="37" t="n">
        <v>2358499496</v>
      </c>
      <c r="J70" s="37" t="n">
        <v>1240900</v>
      </c>
      <c r="K70" s="37" t="n">
        <v>1380059513</v>
      </c>
      <c r="L70" s="37" t="n">
        <v>590104</v>
      </c>
      <c r="M70" s="37" t="n">
        <v>727107109</v>
      </c>
      <c r="N70" s="37" t="n">
        <v>485011</v>
      </c>
      <c r="O70" s="37" t="n">
        <v>668891122</v>
      </c>
      <c r="P70" s="37" t="n">
        <v>263557</v>
      </c>
      <c r="Q70" s="37" t="n">
        <v>353814320</v>
      </c>
      <c r="R70" s="37" t="n">
        <v>897837</v>
      </c>
      <c r="S70" s="37" t="n">
        <v>1397732297</v>
      </c>
    </row>
    <row r="71">
      <c r="A71" s="37" t="inlineStr">
        <is>
          <t>108年</t>
        </is>
      </c>
      <c r="B71" s="37" t="inlineStr">
        <is>
          <t>10月</t>
        </is>
      </c>
      <c r="C71" s="36" t="inlineStr">
        <is>
          <t>食</t>
        </is>
      </c>
      <c r="D71" s="37" t="n">
        <v>12534817</v>
      </c>
      <c r="E71" s="37" t="n">
        <v>11443747246</v>
      </c>
      <c r="F71" s="37" t="n">
        <v>5978015</v>
      </c>
      <c r="G71" s="37" t="n">
        <v>5290233623</v>
      </c>
      <c r="H71" s="37" t="n">
        <v>2471544</v>
      </c>
      <c r="I71" s="37" t="n">
        <v>2425189582</v>
      </c>
      <c r="J71" s="37" t="n">
        <v>1355619</v>
      </c>
      <c r="K71" s="37" t="n">
        <v>1434449174</v>
      </c>
      <c r="L71" s="37" t="n">
        <v>651398</v>
      </c>
      <c r="M71" s="37" t="n">
        <v>747289448</v>
      </c>
      <c r="N71" s="37" t="n">
        <v>541580</v>
      </c>
      <c r="O71" s="37" t="n">
        <v>704744133</v>
      </c>
      <c r="P71" s="37" t="n">
        <v>292696</v>
      </c>
      <c r="Q71" s="37" t="n">
        <v>376079525</v>
      </c>
      <c r="R71" s="37" t="n">
        <v>1023463</v>
      </c>
      <c r="S71" s="37" t="n">
        <v>1544213408</v>
      </c>
    </row>
    <row r="72">
      <c r="A72" s="37" t="inlineStr">
        <is>
          <t>108年</t>
        </is>
      </c>
      <c r="B72" s="37" t="inlineStr">
        <is>
          <t>11月</t>
        </is>
      </c>
      <c r="C72" s="36" t="inlineStr">
        <is>
          <t>食</t>
        </is>
      </c>
      <c r="D72" s="37" t="n">
        <v>12963102</v>
      </c>
      <c r="E72" s="37" t="n">
        <v>12376498250</v>
      </c>
      <c r="F72" s="37" t="n">
        <v>6140621</v>
      </c>
      <c r="G72" s="37" t="n">
        <v>5679637089</v>
      </c>
      <c r="H72" s="37" t="n">
        <v>2542793</v>
      </c>
      <c r="I72" s="37" t="n">
        <v>2620555846</v>
      </c>
      <c r="J72" s="37" t="n">
        <v>1393636</v>
      </c>
      <c r="K72" s="37" t="n">
        <v>1551554908</v>
      </c>
      <c r="L72" s="37" t="n">
        <v>667921</v>
      </c>
      <c r="M72" s="37" t="n">
        <v>823701679</v>
      </c>
      <c r="N72" s="37" t="n">
        <v>552776</v>
      </c>
      <c r="O72" s="37" t="n">
        <v>755886033</v>
      </c>
      <c r="P72" s="37" t="n">
        <v>299843</v>
      </c>
      <c r="Q72" s="37" t="n">
        <v>403006188</v>
      </c>
      <c r="R72" s="37" t="n">
        <v>1052455</v>
      </c>
      <c r="S72" s="37" t="n">
        <v>1668531824</v>
      </c>
    </row>
    <row r="73">
      <c r="A73" s="37" t="inlineStr">
        <is>
          <t>108年</t>
        </is>
      </c>
      <c r="B73" s="37" t="inlineStr">
        <is>
          <t>12月</t>
        </is>
      </c>
      <c r="C73" s="36" t="inlineStr">
        <is>
          <t>食</t>
        </is>
      </c>
      <c r="D73" s="37" t="n">
        <v>13472916</v>
      </c>
      <c r="E73" s="37" t="n">
        <v>13167888299</v>
      </c>
      <c r="F73" s="37" t="n">
        <v>6449635</v>
      </c>
      <c r="G73" s="37" t="n">
        <v>6119498813</v>
      </c>
      <c r="H73" s="37" t="n">
        <v>2657861</v>
      </c>
      <c r="I73" s="37" t="n">
        <v>2822143577</v>
      </c>
      <c r="J73" s="37" t="n">
        <v>1447319</v>
      </c>
      <c r="K73" s="37" t="n">
        <v>1660232947</v>
      </c>
      <c r="L73" s="37" t="n">
        <v>691884</v>
      </c>
      <c r="M73" s="37" t="n">
        <v>883784629</v>
      </c>
      <c r="N73" s="37" t="n">
        <v>572121</v>
      </c>
      <c r="O73" s="37" t="n">
        <v>824511947</v>
      </c>
      <c r="P73" s="37" t="n">
        <v>312481</v>
      </c>
      <c r="Q73" s="37" t="n">
        <v>435047633</v>
      </c>
      <c r="R73" s="37" t="n">
        <v>1086491</v>
      </c>
      <c r="S73" s="37" t="n">
        <v>1824107942</v>
      </c>
    </row>
    <row r="74">
      <c r="A74" s="37" t="inlineStr">
        <is>
          <t>109年</t>
        </is>
      </c>
      <c r="B74" s="37" t="inlineStr">
        <is>
          <t>01月</t>
        </is>
      </c>
      <c r="C74" s="36" t="inlineStr">
        <is>
          <t>食</t>
        </is>
      </c>
      <c r="D74" s="37" t="n">
        <v>13924917</v>
      </c>
      <c r="E74" s="37" t="n">
        <v>15501734260</v>
      </c>
      <c r="F74" s="37" t="n">
        <v>6742821</v>
      </c>
      <c r="G74" s="37" t="n">
        <v>7352424930</v>
      </c>
      <c r="H74" s="37" t="n">
        <v>2803299</v>
      </c>
      <c r="I74" s="37" t="n">
        <v>3377821444</v>
      </c>
      <c r="J74" s="37" t="n">
        <v>1531749</v>
      </c>
      <c r="K74" s="37" t="n">
        <v>2029500204</v>
      </c>
      <c r="L74" s="37" t="n">
        <v>733047</v>
      </c>
      <c r="M74" s="37" t="n">
        <v>1046528409</v>
      </c>
      <c r="N74" s="37" t="n">
        <v>607026</v>
      </c>
      <c r="O74" s="37" t="n">
        <v>983873218</v>
      </c>
      <c r="P74" s="37" t="n">
        <v>329839</v>
      </c>
      <c r="Q74" s="37" t="n">
        <v>515790411</v>
      </c>
      <c r="R74" s="37" t="n">
        <v>1160019</v>
      </c>
      <c r="S74" s="37" t="n">
        <v>2216715603</v>
      </c>
    </row>
    <row r="75">
      <c r="A75" s="37" t="inlineStr">
        <is>
          <t>109年</t>
        </is>
      </c>
      <c r="B75" s="37" t="inlineStr">
        <is>
          <t>02月</t>
        </is>
      </c>
      <c r="C75" s="36" t="inlineStr">
        <is>
          <t>食</t>
        </is>
      </c>
      <c r="D75" s="37" t="n">
        <v>12886911</v>
      </c>
      <c r="E75" s="37" t="n">
        <v>11853769983</v>
      </c>
      <c r="F75" s="37" t="n">
        <v>6179785</v>
      </c>
      <c r="G75" s="37" t="n">
        <v>5406721435</v>
      </c>
      <c r="H75" s="37" t="n">
        <v>2568707</v>
      </c>
      <c r="I75" s="37" t="n">
        <v>2465004761</v>
      </c>
      <c r="J75" s="37" t="n">
        <v>1399344</v>
      </c>
      <c r="K75" s="37" t="n">
        <v>1435086577</v>
      </c>
      <c r="L75" s="37" t="n">
        <v>673655</v>
      </c>
      <c r="M75" s="37" t="n">
        <v>773156630</v>
      </c>
      <c r="N75" s="37" t="n">
        <v>555730</v>
      </c>
      <c r="O75" s="37" t="n">
        <v>709961115</v>
      </c>
      <c r="P75" s="37" t="n">
        <v>304128</v>
      </c>
      <c r="Q75" s="37" t="n">
        <v>374672994</v>
      </c>
      <c r="R75" s="37" t="n">
        <v>1059763</v>
      </c>
      <c r="S75" s="37" t="n">
        <v>1529918840</v>
      </c>
    </row>
    <row r="76">
      <c r="A76" s="37" t="inlineStr">
        <is>
          <t>103年</t>
        </is>
      </c>
      <c r="B76" s="37" t="inlineStr">
        <is>
          <t>01月</t>
        </is>
      </c>
      <c r="C76" s="36" t="inlineStr">
        <is>
          <t>衣</t>
        </is>
      </c>
      <c r="D76" s="37" t="n">
        <v>1359161</v>
      </c>
      <c r="E76" s="37" t="n">
        <v>3787422987</v>
      </c>
      <c r="F76" s="37" t="n">
        <v>596340</v>
      </c>
      <c r="G76" s="37" t="n">
        <v>1757531268</v>
      </c>
      <c r="H76" s="37" t="n">
        <v>186581</v>
      </c>
      <c r="I76" s="37" t="n">
        <v>595903342</v>
      </c>
      <c r="J76" s="37" t="n">
        <v>101147</v>
      </c>
      <c r="K76" s="37" t="n">
        <v>373747457</v>
      </c>
      <c r="L76" s="37" t="n">
        <v>33396</v>
      </c>
      <c r="M76" s="37" t="n">
        <v>123871329</v>
      </c>
      <c r="N76" s="37" t="n">
        <v>27605</v>
      </c>
      <c r="O76" s="37" t="n">
        <v>110262435</v>
      </c>
      <c r="P76" s="37" t="n">
        <v>13306</v>
      </c>
      <c r="Q76" s="37" t="n">
        <v>53768600</v>
      </c>
      <c r="R76" s="37" t="n">
        <v>58835</v>
      </c>
      <c r="S76" s="37" t="n">
        <v>328566139</v>
      </c>
    </row>
    <row r="77">
      <c r="A77" s="37" t="inlineStr">
        <is>
          <t>103年</t>
        </is>
      </c>
      <c r="B77" s="37" t="inlineStr">
        <is>
          <t>02月</t>
        </is>
      </c>
      <c r="C77" s="36" t="inlineStr">
        <is>
          <t>衣</t>
        </is>
      </c>
      <c r="D77" s="37" t="n">
        <v>872190</v>
      </c>
      <c r="E77" s="37" t="n">
        <v>2285849264</v>
      </c>
      <c r="F77" s="37" t="n">
        <v>385155</v>
      </c>
      <c r="G77" s="37" t="n">
        <v>1066634035</v>
      </c>
      <c r="H77" s="37" t="n">
        <v>120319</v>
      </c>
      <c r="I77" s="37" t="n">
        <v>368083270</v>
      </c>
      <c r="J77" s="37" t="n">
        <v>66557</v>
      </c>
      <c r="K77" s="37" t="n">
        <v>233395712</v>
      </c>
      <c r="L77" s="37" t="n">
        <v>22164</v>
      </c>
      <c r="M77" s="37" t="n">
        <v>76660791</v>
      </c>
      <c r="N77" s="37" t="n">
        <v>18434</v>
      </c>
      <c r="O77" s="37" t="n">
        <v>73427404</v>
      </c>
      <c r="P77" s="37" t="n">
        <v>8882</v>
      </c>
      <c r="Q77" s="37" t="n">
        <v>36544844</v>
      </c>
      <c r="R77" s="37" t="n">
        <v>39037</v>
      </c>
      <c r="S77" s="37" t="n">
        <v>222619228</v>
      </c>
    </row>
    <row r="78">
      <c r="A78" s="37" t="inlineStr">
        <is>
          <t>103年</t>
        </is>
      </c>
      <c r="B78" s="37" t="inlineStr">
        <is>
          <t>03月</t>
        </is>
      </c>
      <c r="C78" s="36" t="inlineStr">
        <is>
          <t>衣</t>
        </is>
      </c>
      <c r="D78" s="37" t="n">
        <v>990586</v>
      </c>
      <c r="E78" s="37" t="n">
        <v>2577913637</v>
      </c>
      <c r="F78" s="37" t="n">
        <v>427288</v>
      </c>
      <c r="G78" s="37" t="n">
        <v>1172313673</v>
      </c>
      <c r="H78" s="37" t="n">
        <v>130993</v>
      </c>
      <c r="I78" s="37" t="n">
        <v>402042343</v>
      </c>
      <c r="J78" s="37" t="n">
        <v>73290</v>
      </c>
      <c r="K78" s="37" t="n">
        <v>263295423</v>
      </c>
      <c r="L78" s="37" t="n">
        <v>24887</v>
      </c>
      <c r="M78" s="37" t="n">
        <v>90246834</v>
      </c>
      <c r="N78" s="37" t="n">
        <v>20633</v>
      </c>
      <c r="O78" s="37" t="n">
        <v>83605554</v>
      </c>
      <c r="P78" s="37" t="n">
        <v>10158</v>
      </c>
      <c r="Q78" s="37" t="n">
        <v>42414567</v>
      </c>
      <c r="R78" s="37" t="n">
        <v>44981</v>
      </c>
      <c r="S78" s="37" t="n">
        <v>261109989</v>
      </c>
    </row>
    <row r="79">
      <c r="A79" s="37" t="inlineStr">
        <is>
          <t>103年</t>
        </is>
      </c>
      <c r="B79" s="37" t="inlineStr">
        <is>
          <t>04月</t>
        </is>
      </c>
      <c r="C79" s="36" t="inlineStr">
        <is>
          <t>衣</t>
        </is>
      </c>
      <c r="D79" s="37" t="n">
        <v>983353</v>
      </c>
      <c r="E79" s="37" t="n">
        <v>2511109942</v>
      </c>
      <c r="F79" s="37" t="n">
        <v>421243</v>
      </c>
      <c r="G79" s="37" t="n">
        <v>1139355448</v>
      </c>
      <c r="H79" s="37" t="n">
        <v>129331</v>
      </c>
      <c r="I79" s="37" t="n">
        <v>387017214</v>
      </c>
      <c r="J79" s="37" t="n">
        <v>70869</v>
      </c>
      <c r="K79" s="37" t="n">
        <v>244655422</v>
      </c>
      <c r="L79" s="37" t="n">
        <v>25055</v>
      </c>
      <c r="M79" s="37" t="n">
        <v>86967322</v>
      </c>
      <c r="N79" s="37" t="n">
        <v>20541</v>
      </c>
      <c r="O79" s="37" t="n">
        <v>79240030</v>
      </c>
      <c r="P79" s="37" t="n">
        <v>9905</v>
      </c>
      <c r="Q79" s="37" t="n">
        <v>39918531</v>
      </c>
      <c r="R79" s="37" t="n">
        <v>45168</v>
      </c>
      <c r="S79" s="37" t="n">
        <v>260878621</v>
      </c>
    </row>
    <row r="80">
      <c r="A80" s="37" t="inlineStr">
        <is>
          <t>103年</t>
        </is>
      </c>
      <c r="B80" s="37" t="inlineStr">
        <is>
          <t>05月</t>
        </is>
      </c>
      <c r="C80" s="36" t="inlineStr">
        <is>
          <t>衣</t>
        </is>
      </c>
      <c r="D80" s="37" t="n">
        <v>1081656</v>
      </c>
      <c r="E80" s="37" t="n">
        <v>2715146555</v>
      </c>
      <c r="F80" s="37" t="n">
        <v>461883</v>
      </c>
      <c r="G80" s="37" t="n">
        <v>1228275694</v>
      </c>
      <c r="H80" s="37" t="n">
        <v>143102</v>
      </c>
      <c r="I80" s="37" t="n">
        <v>420271204</v>
      </c>
      <c r="J80" s="37" t="n">
        <v>77920</v>
      </c>
      <c r="K80" s="37" t="n">
        <v>267123835</v>
      </c>
      <c r="L80" s="37" t="n">
        <v>27445</v>
      </c>
      <c r="M80" s="37" t="n">
        <v>94035893</v>
      </c>
      <c r="N80" s="37" t="n">
        <v>22365</v>
      </c>
      <c r="O80" s="37" t="n">
        <v>83703722</v>
      </c>
      <c r="P80" s="37" t="n">
        <v>11326</v>
      </c>
      <c r="Q80" s="37" t="n">
        <v>43815806</v>
      </c>
      <c r="R80" s="37" t="n">
        <v>48889</v>
      </c>
      <c r="S80" s="37" t="n">
        <v>264665469</v>
      </c>
    </row>
    <row r="81">
      <c r="A81" s="37" t="inlineStr">
        <is>
          <t>103年</t>
        </is>
      </c>
      <c r="B81" s="37" t="inlineStr">
        <is>
          <t>06月</t>
        </is>
      </c>
      <c r="C81" s="36" t="inlineStr">
        <is>
          <t>衣</t>
        </is>
      </c>
      <c r="D81" s="37" t="n">
        <v>1071023</v>
      </c>
      <c r="E81" s="37" t="n">
        <v>2601413423</v>
      </c>
      <c r="F81" s="37" t="n">
        <v>462773</v>
      </c>
      <c r="G81" s="37" t="n">
        <v>1187093485</v>
      </c>
      <c r="H81" s="37" t="n">
        <v>144178</v>
      </c>
      <c r="I81" s="37" t="n">
        <v>406855392</v>
      </c>
      <c r="J81" s="37" t="n">
        <v>79479</v>
      </c>
      <c r="K81" s="37" t="n">
        <v>255969944</v>
      </c>
      <c r="L81" s="37" t="n">
        <v>27979</v>
      </c>
      <c r="M81" s="37" t="n">
        <v>93975346</v>
      </c>
      <c r="N81" s="37" t="n">
        <v>23031</v>
      </c>
      <c r="O81" s="37" t="n">
        <v>84254862</v>
      </c>
      <c r="P81" s="37" t="n">
        <v>11576</v>
      </c>
      <c r="Q81" s="37" t="n">
        <v>42157311</v>
      </c>
      <c r="R81" s="37" t="n">
        <v>48945</v>
      </c>
      <c r="S81" s="37" t="n">
        <v>242307800</v>
      </c>
    </row>
    <row r="82">
      <c r="A82" s="37" t="inlineStr">
        <is>
          <t>103年</t>
        </is>
      </c>
      <c r="B82" s="37" t="inlineStr">
        <is>
          <t>07月</t>
        </is>
      </c>
      <c r="C82" s="36" t="inlineStr">
        <is>
          <t>衣</t>
        </is>
      </c>
      <c r="D82" s="37" t="n">
        <v>1113671</v>
      </c>
      <c r="E82" s="37" t="n">
        <v>2616435861</v>
      </c>
      <c r="F82" s="37" t="n">
        <v>488895</v>
      </c>
      <c r="G82" s="37" t="n">
        <v>1215140622</v>
      </c>
      <c r="H82" s="37" t="n">
        <v>155218</v>
      </c>
      <c r="I82" s="37" t="n">
        <v>425664543</v>
      </c>
      <c r="J82" s="37" t="n">
        <v>84304</v>
      </c>
      <c r="K82" s="37" t="n">
        <v>264561436</v>
      </c>
      <c r="L82" s="37" t="n">
        <v>29475</v>
      </c>
      <c r="M82" s="37" t="n">
        <v>94464502</v>
      </c>
      <c r="N82" s="37" t="n">
        <v>23573</v>
      </c>
      <c r="O82" s="37" t="n">
        <v>83335085</v>
      </c>
      <c r="P82" s="37" t="n">
        <v>12118</v>
      </c>
      <c r="Q82" s="37" t="n">
        <v>43767879</v>
      </c>
      <c r="R82" s="37" t="n">
        <v>51356</v>
      </c>
      <c r="S82" s="37" t="n">
        <v>245653488</v>
      </c>
    </row>
    <row r="83">
      <c r="A83" s="37" t="inlineStr">
        <is>
          <t>103年</t>
        </is>
      </c>
      <c r="B83" s="37" t="inlineStr">
        <is>
          <t>08月</t>
        </is>
      </c>
      <c r="C83" s="36" t="inlineStr">
        <is>
          <t>衣</t>
        </is>
      </c>
      <c r="D83" s="37" t="n">
        <v>1109246</v>
      </c>
      <c r="E83" s="37" t="n">
        <v>2541699926</v>
      </c>
      <c r="F83" s="37" t="n">
        <v>486447</v>
      </c>
      <c r="G83" s="37" t="n">
        <v>1182076036</v>
      </c>
      <c r="H83" s="37" t="n">
        <v>154308</v>
      </c>
      <c r="I83" s="37" t="n">
        <v>411543419</v>
      </c>
      <c r="J83" s="37" t="n">
        <v>82278</v>
      </c>
      <c r="K83" s="37" t="n">
        <v>248089690</v>
      </c>
      <c r="L83" s="37" t="n">
        <v>29292</v>
      </c>
      <c r="M83" s="37" t="n">
        <v>90722616</v>
      </c>
      <c r="N83" s="37" t="n">
        <v>23448</v>
      </c>
      <c r="O83" s="37" t="n">
        <v>78950915</v>
      </c>
      <c r="P83" s="37" t="n">
        <v>11826</v>
      </c>
      <c r="Q83" s="37" t="n">
        <v>40728589</v>
      </c>
      <c r="R83" s="37" t="n">
        <v>50030</v>
      </c>
      <c r="S83" s="37" t="n">
        <v>239249805</v>
      </c>
    </row>
    <row r="84">
      <c r="A84" s="37" t="inlineStr">
        <is>
          <t>103年</t>
        </is>
      </c>
      <c r="B84" s="37" t="inlineStr">
        <is>
          <t>09月</t>
        </is>
      </c>
      <c r="C84" s="36" t="inlineStr">
        <is>
          <t>衣</t>
        </is>
      </c>
      <c r="D84" s="37" t="n">
        <v>984840</v>
      </c>
      <c r="E84" s="37" t="n">
        <v>2486432806</v>
      </c>
      <c r="F84" s="37" t="n">
        <v>415136</v>
      </c>
      <c r="G84" s="37" t="n">
        <v>1103795540</v>
      </c>
      <c r="H84" s="37" t="n">
        <v>128844</v>
      </c>
      <c r="I84" s="37" t="n">
        <v>382459748</v>
      </c>
      <c r="J84" s="37" t="n">
        <v>69874</v>
      </c>
      <c r="K84" s="37" t="n">
        <v>236047381</v>
      </c>
      <c r="L84" s="37" t="n">
        <v>25254</v>
      </c>
      <c r="M84" s="37" t="n">
        <v>88427543</v>
      </c>
      <c r="N84" s="37" t="n">
        <v>20446</v>
      </c>
      <c r="O84" s="37" t="n">
        <v>78616686</v>
      </c>
      <c r="P84" s="37" t="n">
        <v>10132</v>
      </c>
      <c r="Q84" s="37" t="n">
        <v>39399593</v>
      </c>
      <c r="R84" s="37" t="n">
        <v>44153</v>
      </c>
      <c r="S84" s="37" t="n">
        <v>243561932</v>
      </c>
    </row>
    <row r="85">
      <c r="A85" s="37" t="inlineStr">
        <is>
          <t>103年</t>
        </is>
      </c>
      <c r="B85" s="37" t="inlineStr">
        <is>
          <t>10月</t>
        </is>
      </c>
      <c r="C85" s="36" t="inlineStr">
        <is>
          <t>衣</t>
        </is>
      </c>
      <c r="D85" s="37" t="n">
        <v>1102232</v>
      </c>
      <c r="E85" s="37" t="n">
        <v>2901116393</v>
      </c>
      <c r="F85" s="37" t="n">
        <v>465909</v>
      </c>
      <c r="G85" s="37" t="n">
        <v>1302660611</v>
      </c>
      <c r="H85" s="37" t="n">
        <v>143271</v>
      </c>
      <c r="I85" s="37" t="n">
        <v>443142911</v>
      </c>
      <c r="J85" s="37" t="n">
        <v>76549</v>
      </c>
      <c r="K85" s="37" t="n">
        <v>273706864</v>
      </c>
      <c r="L85" s="37" t="n">
        <v>27441</v>
      </c>
      <c r="M85" s="37" t="n">
        <v>99793876</v>
      </c>
      <c r="N85" s="37" t="n">
        <v>22005</v>
      </c>
      <c r="O85" s="37" t="n">
        <v>89717770</v>
      </c>
      <c r="P85" s="37" t="n">
        <v>11033</v>
      </c>
      <c r="Q85" s="37" t="n">
        <v>45855157</v>
      </c>
      <c r="R85" s="37" t="n">
        <v>48119</v>
      </c>
      <c r="S85" s="37" t="n">
        <v>267195363</v>
      </c>
    </row>
    <row r="86">
      <c r="A86" s="37" t="inlineStr">
        <is>
          <t>103年</t>
        </is>
      </c>
      <c r="B86" s="37" t="inlineStr">
        <is>
          <t>11月</t>
        </is>
      </c>
      <c r="C86" s="36" t="inlineStr">
        <is>
          <t>衣</t>
        </is>
      </c>
      <c r="D86" s="37" t="n">
        <v>1071723</v>
      </c>
      <c r="E86" s="37" t="n">
        <v>2998290518</v>
      </c>
      <c r="F86" s="37" t="n">
        <v>455970</v>
      </c>
      <c r="G86" s="37" t="n">
        <v>1348636249</v>
      </c>
      <c r="H86" s="37" t="n">
        <v>141520</v>
      </c>
      <c r="I86" s="37" t="n">
        <v>467292590</v>
      </c>
      <c r="J86" s="37" t="n">
        <v>77268</v>
      </c>
      <c r="K86" s="37" t="n">
        <v>293858722</v>
      </c>
      <c r="L86" s="37" t="n">
        <v>27370</v>
      </c>
      <c r="M86" s="37" t="n">
        <v>103013943</v>
      </c>
      <c r="N86" s="37" t="n">
        <v>22382</v>
      </c>
      <c r="O86" s="37" t="n">
        <v>96841321</v>
      </c>
      <c r="P86" s="37" t="n">
        <v>11166</v>
      </c>
      <c r="Q86" s="37" t="n">
        <v>48776619</v>
      </c>
      <c r="R86" s="37" t="n">
        <v>48421</v>
      </c>
      <c r="S86" s="37" t="n">
        <v>287241598</v>
      </c>
    </row>
    <row r="87">
      <c r="A87" s="37" t="inlineStr">
        <is>
          <t>103年</t>
        </is>
      </c>
      <c r="B87" s="37" t="inlineStr">
        <is>
          <t>12月</t>
        </is>
      </c>
      <c r="C87" s="36" t="inlineStr">
        <is>
          <t>衣</t>
        </is>
      </c>
      <c r="D87" s="37" t="n">
        <v>1391760</v>
      </c>
      <c r="E87" s="37" t="n">
        <v>3863407993</v>
      </c>
      <c r="F87" s="37" t="n">
        <v>580321</v>
      </c>
      <c r="G87" s="37" t="n">
        <v>1712342322</v>
      </c>
      <c r="H87" s="37" t="n">
        <v>180126</v>
      </c>
      <c r="I87" s="37" t="n">
        <v>592419127</v>
      </c>
      <c r="J87" s="37" t="n">
        <v>98913</v>
      </c>
      <c r="K87" s="37" t="n">
        <v>369273475</v>
      </c>
      <c r="L87" s="37" t="n">
        <v>35277</v>
      </c>
      <c r="M87" s="37" t="n">
        <v>133867671</v>
      </c>
      <c r="N87" s="37" t="n">
        <v>28733</v>
      </c>
      <c r="O87" s="37" t="n">
        <v>120185929</v>
      </c>
      <c r="P87" s="37" t="n">
        <v>14698</v>
      </c>
      <c r="Q87" s="37" t="n">
        <v>63527874</v>
      </c>
      <c r="R87" s="37" t="n">
        <v>62886</v>
      </c>
      <c r="S87" s="37" t="n">
        <v>374070829</v>
      </c>
    </row>
    <row r="88">
      <c r="A88" s="37" t="inlineStr">
        <is>
          <t>104年</t>
        </is>
      </c>
      <c r="B88" s="37" t="inlineStr">
        <is>
          <t>01月</t>
        </is>
      </c>
      <c r="C88" s="36" t="inlineStr">
        <is>
          <t>衣</t>
        </is>
      </c>
      <c r="D88" s="37" t="n">
        <v>1217948</v>
      </c>
      <c r="E88" s="37" t="n">
        <v>3376699636</v>
      </c>
      <c r="F88" s="37" t="n">
        <v>530832</v>
      </c>
      <c r="G88" s="37" t="n">
        <v>1561518252</v>
      </c>
      <c r="H88" s="37" t="n">
        <v>168993</v>
      </c>
      <c r="I88" s="37" t="n">
        <v>545029823</v>
      </c>
      <c r="J88" s="37" t="n">
        <v>90538</v>
      </c>
      <c r="K88" s="37" t="n">
        <v>337249814</v>
      </c>
      <c r="L88" s="37" t="n">
        <v>32148</v>
      </c>
      <c r="M88" s="37" t="n">
        <v>121393919</v>
      </c>
      <c r="N88" s="37" t="n">
        <v>26593</v>
      </c>
      <c r="O88" s="37" t="n">
        <v>108614123</v>
      </c>
      <c r="P88" s="37" t="n">
        <v>13221</v>
      </c>
      <c r="Q88" s="37" t="n">
        <v>55210941</v>
      </c>
      <c r="R88" s="37" t="n">
        <v>57206</v>
      </c>
      <c r="S88" s="37" t="n">
        <v>333314917</v>
      </c>
    </row>
    <row r="89">
      <c r="A89" s="37" t="inlineStr">
        <is>
          <t>104年</t>
        </is>
      </c>
      <c r="B89" s="37" t="inlineStr">
        <is>
          <t>02月</t>
        </is>
      </c>
      <c r="C89" s="36" t="inlineStr">
        <is>
          <t>衣</t>
        </is>
      </c>
      <c r="D89" s="37" t="n">
        <v>1268019</v>
      </c>
      <c r="E89" s="37" t="n">
        <v>3403401947</v>
      </c>
      <c r="F89" s="37" t="n">
        <v>549478</v>
      </c>
      <c r="G89" s="37" t="n">
        <v>1562106177</v>
      </c>
      <c r="H89" s="37" t="n">
        <v>174246</v>
      </c>
      <c r="I89" s="37" t="n">
        <v>534159534</v>
      </c>
      <c r="J89" s="37" t="n">
        <v>91609</v>
      </c>
      <c r="K89" s="37" t="n">
        <v>319749871</v>
      </c>
      <c r="L89" s="37" t="n">
        <v>32498</v>
      </c>
      <c r="M89" s="37" t="n">
        <v>115646671</v>
      </c>
      <c r="N89" s="37" t="n">
        <v>26308</v>
      </c>
      <c r="O89" s="37" t="n">
        <v>100024320</v>
      </c>
      <c r="P89" s="37" t="n">
        <v>13115</v>
      </c>
      <c r="Q89" s="37" t="n">
        <v>51368944</v>
      </c>
      <c r="R89" s="37" t="n">
        <v>54619</v>
      </c>
      <c r="S89" s="37" t="n">
        <v>289004870</v>
      </c>
    </row>
    <row r="90">
      <c r="A90" s="37" t="inlineStr">
        <is>
          <t>104年</t>
        </is>
      </c>
      <c r="B90" s="37" t="inlineStr">
        <is>
          <t>03月</t>
        </is>
      </c>
      <c r="C90" s="36" t="inlineStr">
        <is>
          <t>衣</t>
        </is>
      </c>
      <c r="D90" s="37" t="n">
        <v>1089613</v>
      </c>
      <c r="E90" s="37" t="n">
        <v>2825050176</v>
      </c>
      <c r="F90" s="37" t="n">
        <v>457381</v>
      </c>
      <c r="G90" s="37" t="n">
        <v>1258098131</v>
      </c>
      <c r="H90" s="37" t="n">
        <v>141354</v>
      </c>
      <c r="I90" s="37" t="n">
        <v>427829371</v>
      </c>
      <c r="J90" s="37" t="n">
        <v>76455</v>
      </c>
      <c r="K90" s="37" t="n">
        <v>269133111</v>
      </c>
      <c r="L90" s="37" t="n">
        <v>28379</v>
      </c>
      <c r="M90" s="37" t="n">
        <v>99262831</v>
      </c>
      <c r="N90" s="37" t="n">
        <v>22736</v>
      </c>
      <c r="O90" s="37" t="n">
        <v>92066981</v>
      </c>
      <c r="P90" s="37" t="n">
        <v>11456</v>
      </c>
      <c r="Q90" s="37" t="n">
        <v>48447481</v>
      </c>
      <c r="R90" s="37" t="n">
        <v>48819</v>
      </c>
      <c r="S90" s="37" t="n">
        <v>282224198</v>
      </c>
    </row>
    <row r="91">
      <c r="A91" s="37" t="inlineStr">
        <is>
          <t>104年</t>
        </is>
      </c>
      <c r="B91" s="37" t="inlineStr">
        <is>
          <t>04月</t>
        </is>
      </c>
      <c r="C91" s="36" t="inlineStr">
        <is>
          <t>衣</t>
        </is>
      </c>
      <c r="D91" s="37" t="n">
        <v>1125789</v>
      </c>
      <c r="E91" s="37" t="n">
        <v>2838699211</v>
      </c>
      <c r="F91" s="37" t="n">
        <v>475457</v>
      </c>
      <c r="G91" s="37" t="n">
        <v>1267202611</v>
      </c>
      <c r="H91" s="37" t="n">
        <v>147379</v>
      </c>
      <c r="I91" s="37" t="n">
        <v>439676651</v>
      </c>
      <c r="J91" s="37" t="n">
        <v>80046</v>
      </c>
      <c r="K91" s="37" t="n">
        <v>275187299</v>
      </c>
      <c r="L91" s="37" t="n">
        <v>29058</v>
      </c>
      <c r="M91" s="37" t="n">
        <v>100090013</v>
      </c>
      <c r="N91" s="37" t="n">
        <v>23217</v>
      </c>
      <c r="O91" s="37" t="n">
        <v>89205382</v>
      </c>
      <c r="P91" s="37" t="n">
        <v>11932</v>
      </c>
      <c r="Q91" s="37" t="n">
        <v>47551479</v>
      </c>
      <c r="R91" s="37" t="n">
        <v>51283</v>
      </c>
      <c r="S91" s="37" t="n">
        <v>283971042</v>
      </c>
    </row>
    <row r="92">
      <c r="A92" s="37" t="inlineStr">
        <is>
          <t>104年</t>
        </is>
      </c>
      <c r="B92" s="37" t="inlineStr">
        <is>
          <t>05月</t>
        </is>
      </c>
      <c r="C92" s="36" t="inlineStr">
        <is>
          <t>衣</t>
        </is>
      </c>
      <c r="D92" s="37" t="n">
        <v>1248317</v>
      </c>
      <c r="E92" s="37" t="n">
        <v>3054554838</v>
      </c>
      <c r="F92" s="37" t="n">
        <v>526918</v>
      </c>
      <c r="G92" s="37" t="n">
        <v>1369277510</v>
      </c>
      <c r="H92" s="37" t="n">
        <v>165491</v>
      </c>
      <c r="I92" s="37" t="n">
        <v>471228232</v>
      </c>
      <c r="J92" s="37" t="n">
        <v>89941</v>
      </c>
      <c r="K92" s="37" t="n">
        <v>297351006</v>
      </c>
      <c r="L92" s="37" t="n">
        <v>32985</v>
      </c>
      <c r="M92" s="37" t="n">
        <v>110446600</v>
      </c>
      <c r="N92" s="37" t="n">
        <v>26331</v>
      </c>
      <c r="O92" s="37" t="n">
        <v>96506113</v>
      </c>
      <c r="P92" s="37" t="n">
        <v>13548</v>
      </c>
      <c r="Q92" s="37" t="n">
        <v>49914994</v>
      </c>
      <c r="R92" s="37" t="n">
        <v>56835</v>
      </c>
      <c r="S92" s="37" t="n">
        <v>304144878</v>
      </c>
    </row>
    <row r="93">
      <c r="A93" s="37" t="inlineStr">
        <is>
          <t>104年</t>
        </is>
      </c>
      <c r="B93" s="37" t="inlineStr">
        <is>
          <t>06月</t>
        </is>
      </c>
      <c r="C93" s="36" t="inlineStr">
        <is>
          <t>衣</t>
        </is>
      </c>
      <c r="D93" s="37" t="n">
        <v>1237785</v>
      </c>
      <c r="E93" s="37" t="n">
        <v>2892623917</v>
      </c>
      <c r="F93" s="37" t="n">
        <v>521023</v>
      </c>
      <c r="G93" s="37" t="n">
        <v>1295345189</v>
      </c>
      <c r="H93" s="37" t="n">
        <v>164198</v>
      </c>
      <c r="I93" s="37" t="n">
        <v>448510543</v>
      </c>
      <c r="J93" s="37" t="n">
        <v>88404</v>
      </c>
      <c r="K93" s="37" t="n">
        <v>274389957</v>
      </c>
      <c r="L93" s="37" t="n">
        <v>32380</v>
      </c>
      <c r="M93" s="37" t="n">
        <v>102427510</v>
      </c>
      <c r="N93" s="37" t="n">
        <v>26206</v>
      </c>
      <c r="O93" s="37" t="n">
        <v>88209563</v>
      </c>
      <c r="P93" s="37" t="n">
        <v>13363</v>
      </c>
      <c r="Q93" s="37" t="n">
        <v>47653074</v>
      </c>
      <c r="R93" s="37" t="n">
        <v>55713</v>
      </c>
      <c r="S93" s="37" t="n">
        <v>274472332</v>
      </c>
    </row>
    <row r="94">
      <c r="A94" s="37" t="inlineStr">
        <is>
          <t>104年</t>
        </is>
      </c>
      <c r="B94" s="37" t="inlineStr">
        <is>
          <t>07月</t>
        </is>
      </c>
      <c r="C94" s="36" t="inlineStr">
        <is>
          <t>衣</t>
        </is>
      </c>
      <c r="D94" s="37" t="n">
        <v>1239597</v>
      </c>
      <c r="E94" s="37" t="n">
        <v>2804713023</v>
      </c>
      <c r="F94" s="37" t="n">
        <v>536180</v>
      </c>
      <c r="G94" s="37" t="n">
        <v>1292648036</v>
      </c>
      <c r="H94" s="37" t="n">
        <v>172341</v>
      </c>
      <c r="I94" s="37" t="n">
        <v>455526775</v>
      </c>
      <c r="J94" s="37" t="n">
        <v>92257</v>
      </c>
      <c r="K94" s="37" t="n">
        <v>279275214</v>
      </c>
      <c r="L94" s="37" t="n">
        <v>32818</v>
      </c>
      <c r="M94" s="37" t="n">
        <v>101662164</v>
      </c>
      <c r="N94" s="37" t="n">
        <v>27021</v>
      </c>
      <c r="O94" s="37" t="n">
        <v>89211605</v>
      </c>
      <c r="P94" s="37" t="n">
        <v>13743</v>
      </c>
      <c r="Q94" s="37" t="n">
        <v>47037010</v>
      </c>
      <c r="R94" s="37" t="n">
        <v>56617</v>
      </c>
      <c r="S94" s="37" t="n">
        <v>262238466</v>
      </c>
    </row>
    <row r="95">
      <c r="A95" s="37" t="inlineStr">
        <is>
          <t>104年</t>
        </is>
      </c>
      <c r="B95" s="37" t="inlineStr">
        <is>
          <t>08月</t>
        </is>
      </c>
      <c r="C95" s="36" t="inlineStr">
        <is>
          <t>衣</t>
        </is>
      </c>
      <c r="D95" s="37" t="n">
        <v>1165531</v>
      </c>
      <c r="E95" s="37" t="n">
        <v>2608034847</v>
      </c>
      <c r="F95" s="37" t="n">
        <v>500959</v>
      </c>
      <c r="G95" s="37" t="n">
        <v>1196023808</v>
      </c>
      <c r="H95" s="37" t="n">
        <v>162197</v>
      </c>
      <c r="I95" s="37" t="n">
        <v>425690694</v>
      </c>
      <c r="J95" s="37" t="n">
        <v>85502</v>
      </c>
      <c r="K95" s="37" t="n">
        <v>252956508</v>
      </c>
      <c r="L95" s="37" t="n">
        <v>30980</v>
      </c>
      <c r="M95" s="37" t="n">
        <v>94979796</v>
      </c>
      <c r="N95" s="37" t="n">
        <v>25231</v>
      </c>
      <c r="O95" s="37" t="n">
        <v>81688186</v>
      </c>
      <c r="P95" s="37" t="n">
        <v>12780</v>
      </c>
      <c r="Q95" s="37" t="n">
        <v>45307613</v>
      </c>
      <c r="R95" s="37" t="n">
        <v>52393</v>
      </c>
      <c r="S95" s="37" t="n">
        <v>243623256</v>
      </c>
    </row>
    <row r="96">
      <c r="A96" s="37" t="inlineStr">
        <is>
          <t>104年</t>
        </is>
      </c>
      <c r="B96" s="37" t="inlineStr">
        <is>
          <t>09月</t>
        </is>
      </c>
      <c r="C96" s="36" t="inlineStr">
        <is>
          <t>衣</t>
        </is>
      </c>
      <c r="D96" s="37" t="n">
        <v>1105617</v>
      </c>
      <c r="E96" s="37" t="n">
        <v>2733088721</v>
      </c>
      <c r="F96" s="37" t="n">
        <v>460428</v>
      </c>
      <c r="G96" s="37" t="n">
        <v>1204068867</v>
      </c>
      <c r="H96" s="37" t="n">
        <v>145029</v>
      </c>
      <c r="I96" s="37" t="n">
        <v>420316219</v>
      </c>
      <c r="J96" s="37" t="n">
        <v>76951</v>
      </c>
      <c r="K96" s="37" t="n">
        <v>258187965</v>
      </c>
      <c r="L96" s="37" t="n">
        <v>28648</v>
      </c>
      <c r="M96" s="37" t="n">
        <v>94847969</v>
      </c>
      <c r="N96" s="37" t="n">
        <v>23513</v>
      </c>
      <c r="O96" s="37" t="n">
        <v>89057028</v>
      </c>
      <c r="P96" s="37" t="n">
        <v>12067</v>
      </c>
      <c r="Q96" s="37" t="n">
        <v>45850520</v>
      </c>
      <c r="R96" s="37" t="n">
        <v>48374</v>
      </c>
      <c r="S96" s="37" t="n">
        <v>291269064</v>
      </c>
    </row>
    <row r="97">
      <c r="A97" s="37" t="inlineStr">
        <is>
          <t>104年</t>
        </is>
      </c>
      <c r="B97" s="37" t="inlineStr">
        <is>
          <t>10月</t>
        </is>
      </c>
      <c r="C97" s="36" t="inlineStr">
        <is>
          <t>衣</t>
        </is>
      </c>
      <c r="D97" s="37" t="n">
        <v>1265808</v>
      </c>
      <c r="E97" s="37" t="n">
        <v>3201533542</v>
      </c>
      <c r="F97" s="37" t="n">
        <v>526505</v>
      </c>
      <c r="G97" s="37" t="n">
        <v>1430522441</v>
      </c>
      <c r="H97" s="37" t="n">
        <v>164112</v>
      </c>
      <c r="I97" s="37" t="n">
        <v>491758624</v>
      </c>
      <c r="J97" s="37" t="n">
        <v>86879</v>
      </c>
      <c r="K97" s="37" t="n">
        <v>295577711</v>
      </c>
      <c r="L97" s="37" t="n">
        <v>32557</v>
      </c>
      <c r="M97" s="37" t="n">
        <v>113201783</v>
      </c>
      <c r="N97" s="37" t="n">
        <v>25873</v>
      </c>
      <c r="O97" s="37" t="n">
        <v>96136979</v>
      </c>
      <c r="P97" s="37" t="n">
        <v>13062</v>
      </c>
      <c r="Q97" s="37" t="n">
        <v>51682885</v>
      </c>
      <c r="R97" s="37" t="n">
        <v>54128</v>
      </c>
      <c r="S97" s="37" t="n">
        <v>295454693</v>
      </c>
    </row>
    <row r="98">
      <c r="A98" s="37" t="inlineStr">
        <is>
          <t>104年</t>
        </is>
      </c>
      <c r="B98" s="37" t="inlineStr">
        <is>
          <t>11月</t>
        </is>
      </c>
      <c r="C98" s="36" t="inlineStr">
        <is>
          <t>衣</t>
        </is>
      </c>
      <c r="D98" s="37" t="n">
        <v>1195040</v>
      </c>
      <c r="E98" s="37" t="n">
        <v>3116693157</v>
      </c>
      <c r="F98" s="37" t="n">
        <v>493664</v>
      </c>
      <c r="G98" s="37" t="n">
        <v>1387470770</v>
      </c>
      <c r="H98" s="37" t="n">
        <v>154361</v>
      </c>
      <c r="I98" s="37" t="n">
        <v>475099328</v>
      </c>
      <c r="J98" s="37" t="n">
        <v>80827</v>
      </c>
      <c r="K98" s="37" t="n">
        <v>294180462</v>
      </c>
      <c r="L98" s="37" t="n">
        <v>30155</v>
      </c>
      <c r="M98" s="37" t="n">
        <v>108673320</v>
      </c>
      <c r="N98" s="37" t="n">
        <v>24872</v>
      </c>
      <c r="O98" s="37" t="n">
        <v>98044862</v>
      </c>
      <c r="P98" s="37" t="n">
        <v>12438</v>
      </c>
      <c r="Q98" s="37" t="n">
        <v>54401497</v>
      </c>
      <c r="R98" s="37" t="n">
        <v>51371</v>
      </c>
      <c r="S98" s="37" t="n">
        <v>293727793</v>
      </c>
    </row>
    <row r="99">
      <c r="A99" s="37" t="inlineStr">
        <is>
          <t>104年</t>
        </is>
      </c>
      <c r="B99" s="37" t="inlineStr">
        <is>
          <t>12月</t>
        </is>
      </c>
      <c r="C99" s="36" t="inlineStr">
        <is>
          <t>衣</t>
        </is>
      </c>
      <c r="D99" s="37" t="n">
        <v>1507160</v>
      </c>
      <c r="E99" s="37" t="n">
        <v>3863317450</v>
      </c>
      <c r="F99" s="37" t="n">
        <v>623880</v>
      </c>
      <c r="G99" s="37" t="n">
        <v>1704957635</v>
      </c>
      <c r="H99" s="37" t="n">
        <v>194426</v>
      </c>
      <c r="I99" s="37" t="n">
        <v>586923949</v>
      </c>
      <c r="J99" s="37" t="n">
        <v>104190</v>
      </c>
      <c r="K99" s="37" t="n">
        <v>356294826</v>
      </c>
      <c r="L99" s="37" t="n">
        <v>38484</v>
      </c>
      <c r="M99" s="37" t="n">
        <v>136098482</v>
      </c>
      <c r="N99" s="37" t="n">
        <v>31741</v>
      </c>
      <c r="O99" s="37" t="n">
        <v>121647620</v>
      </c>
      <c r="P99" s="37" t="n">
        <v>15813</v>
      </c>
      <c r="Q99" s="37" t="n">
        <v>64223308</v>
      </c>
      <c r="R99" s="37" t="n">
        <v>65156</v>
      </c>
      <c r="S99" s="37" t="n">
        <v>356838191</v>
      </c>
    </row>
    <row r="100">
      <c r="A100" s="37" t="inlineStr">
        <is>
          <t>105年</t>
        </is>
      </c>
      <c r="B100" s="37" t="inlineStr">
        <is>
          <t>01月</t>
        </is>
      </c>
      <c r="C100" s="36" t="inlineStr">
        <is>
          <t>衣</t>
        </is>
      </c>
      <c r="D100" s="37" t="n">
        <v>1504244</v>
      </c>
      <c r="E100" s="37" t="n">
        <v>3878106750</v>
      </c>
      <c r="F100" s="37" t="n">
        <v>639060</v>
      </c>
      <c r="G100" s="37" t="n">
        <v>1759034795</v>
      </c>
      <c r="H100" s="37" t="n">
        <v>200717</v>
      </c>
      <c r="I100" s="37" t="n">
        <v>597849368</v>
      </c>
      <c r="J100" s="37" t="n">
        <v>102946</v>
      </c>
      <c r="K100" s="37" t="n">
        <v>350669742</v>
      </c>
      <c r="L100" s="37" t="n">
        <v>38045</v>
      </c>
      <c r="M100" s="37" t="n">
        <v>133998056</v>
      </c>
      <c r="N100" s="37" t="n">
        <v>31187</v>
      </c>
      <c r="O100" s="37" t="n">
        <v>116553256</v>
      </c>
      <c r="P100" s="37" t="n">
        <v>15479</v>
      </c>
      <c r="Q100" s="37" t="n">
        <v>60147530</v>
      </c>
      <c r="R100" s="37" t="n">
        <v>63892</v>
      </c>
      <c r="S100" s="37" t="n">
        <v>337603863</v>
      </c>
    </row>
    <row r="101">
      <c r="A101" s="37" t="inlineStr">
        <is>
          <t>105年</t>
        </is>
      </c>
      <c r="B101" s="37" t="inlineStr">
        <is>
          <t>02月</t>
        </is>
      </c>
      <c r="C101" s="36" t="inlineStr">
        <is>
          <t>衣</t>
        </is>
      </c>
      <c r="D101" s="37" t="n">
        <v>1222064</v>
      </c>
      <c r="E101" s="37" t="n">
        <v>3143025188</v>
      </c>
      <c r="F101" s="37" t="n">
        <v>518839</v>
      </c>
      <c r="G101" s="37" t="n">
        <v>1407184716</v>
      </c>
      <c r="H101" s="37" t="n">
        <v>164816</v>
      </c>
      <c r="I101" s="37" t="n">
        <v>482123232</v>
      </c>
      <c r="J101" s="37" t="n">
        <v>86042</v>
      </c>
      <c r="K101" s="37" t="n">
        <v>280243939</v>
      </c>
      <c r="L101" s="37" t="n">
        <v>31779</v>
      </c>
      <c r="M101" s="37" t="n">
        <v>105788366</v>
      </c>
      <c r="N101" s="37" t="n">
        <v>25448</v>
      </c>
      <c r="O101" s="37" t="n">
        <v>90909476</v>
      </c>
      <c r="P101" s="37" t="n">
        <v>12848</v>
      </c>
      <c r="Q101" s="37" t="n">
        <v>47678739</v>
      </c>
      <c r="R101" s="37" t="n">
        <v>52091</v>
      </c>
      <c r="S101" s="37" t="n">
        <v>270571197</v>
      </c>
    </row>
    <row r="102">
      <c r="A102" s="37" t="inlineStr">
        <is>
          <t>105年</t>
        </is>
      </c>
      <c r="B102" s="37" t="inlineStr">
        <is>
          <t>03月</t>
        </is>
      </c>
      <c r="C102" s="36" t="inlineStr">
        <is>
          <t>衣</t>
        </is>
      </c>
      <c r="D102" s="37" t="n">
        <v>1008001</v>
      </c>
      <c r="E102" s="37" t="n">
        <v>2553956281</v>
      </c>
      <c r="F102" s="37" t="n">
        <v>407880</v>
      </c>
      <c r="G102" s="37" t="n">
        <v>1105809739</v>
      </c>
      <c r="H102" s="37" t="n">
        <v>133168</v>
      </c>
      <c r="I102" s="37" t="n">
        <v>400586641</v>
      </c>
      <c r="J102" s="37" t="n">
        <v>69534</v>
      </c>
      <c r="K102" s="37" t="n">
        <v>236478871</v>
      </c>
      <c r="L102" s="37" t="n">
        <v>26661</v>
      </c>
      <c r="M102" s="37" t="n">
        <v>92852493</v>
      </c>
      <c r="N102" s="37" t="n">
        <v>22136</v>
      </c>
      <c r="O102" s="37" t="n">
        <v>85097994</v>
      </c>
      <c r="P102" s="37" t="n">
        <v>10888</v>
      </c>
      <c r="Q102" s="37" t="n">
        <v>45443906</v>
      </c>
      <c r="R102" s="37" t="n">
        <v>44581</v>
      </c>
      <c r="S102" s="37" t="n">
        <v>233398388</v>
      </c>
    </row>
    <row r="103">
      <c r="A103" s="37" t="inlineStr">
        <is>
          <t>105年</t>
        </is>
      </c>
      <c r="B103" s="37" t="inlineStr">
        <is>
          <t>04月</t>
        </is>
      </c>
      <c r="C103" s="36" t="inlineStr">
        <is>
          <t>衣</t>
        </is>
      </c>
      <c r="D103" s="37" t="n">
        <v>1246617</v>
      </c>
      <c r="E103" s="37" t="n">
        <v>2914294003</v>
      </c>
      <c r="F103" s="37" t="n">
        <v>506922</v>
      </c>
      <c r="G103" s="37" t="n">
        <v>1274341724</v>
      </c>
      <c r="H103" s="37" t="n">
        <v>163817</v>
      </c>
      <c r="I103" s="37" t="n">
        <v>453462163</v>
      </c>
      <c r="J103" s="37" t="n">
        <v>84868</v>
      </c>
      <c r="K103" s="37" t="n">
        <v>265341061</v>
      </c>
      <c r="L103" s="37" t="n">
        <v>33246</v>
      </c>
      <c r="M103" s="37" t="n">
        <v>107572833</v>
      </c>
      <c r="N103" s="37" t="n">
        <v>26727</v>
      </c>
      <c r="O103" s="37" t="n">
        <v>99315734</v>
      </c>
      <c r="P103" s="37" t="n">
        <v>13604</v>
      </c>
      <c r="Q103" s="37" t="n">
        <v>48578823</v>
      </c>
      <c r="R103" s="37" t="n">
        <v>54691</v>
      </c>
      <c r="S103" s="37" t="n">
        <v>259579579</v>
      </c>
    </row>
    <row r="104">
      <c r="A104" s="37" t="inlineStr">
        <is>
          <t>105年</t>
        </is>
      </c>
      <c r="B104" s="37" t="inlineStr">
        <is>
          <t>05月</t>
        </is>
      </c>
      <c r="C104" s="36" t="inlineStr">
        <is>
          <t>衣</t>
        </is>
      </c>
      <c r="D104" s="37" t="n">
        <v>1307986</v>
      </c>
      <c r="E104" s="37" t="n">
        <v>2996108524</v>
      </c>
      <c r="F104" s="37" t="n">
        <v>529059</v>
      </c>
      <c r="G104" s="37" t="n">
        <v>1305152050</v>
      </c>
      <c r="H104" s="37" t="n">
        <v>170811</v>
      </c>
      <c r="I104" s="37" t="n">
        <v>463824316</v>
      </c>
      <c r="J104" s="37" t="n">
        <v>89237</v>
      </c>
      <c r="K104" s="37" t="n">
        <v>276431340</v>
      </c>
      <c r="L104" s="37" t="n">
        <v>34264</v>
      </c>
      <c r="M104" s="37" t="n">
        <v>109616091</v>
      </c>
      <c r="N104" s="37" t="n">
        <v>27764</v>
      </c>
      <c r="O104" s="37" t="n">
        <v>93496554</v>
      </c>
      <c r="P104" s="37" t="n">
        <v>14099</v>
      </c>
      <c r="Q104" s="37" t="n">
        <v>50637211</v>
      </c>
      <c r="R104" s="37" t="n">
        <v>57729</v>
      </c>
      <c r="S104" s="37" t="n">
        <v>260310123</v>
      </c>
    </row>
    <row r="105">
      <c r="A105" s="37" t="inlineStr">
        <is>
          <t>105年</t>
        </is>
      </c>
      <c r="B105" s="37" t="inlineStr">
        <is>
          <t>06月</t>
        </is>
      </c>
      <c r="C105" s="36" t="inlineStr">
        <is>
          <t>衣</t>
        </is>
      </c>
      <c r="D105" s="37" t="n">
        <v>1345239</v>
      </c>
      <c r="E105" s="37" t="n">
        <v>2994871683</v>
      </c>
      <c r="F105" s="37" t="n">
        <v>559779</v>
      </c>
      <c r="G105" s="37" t="n">
        <v>1328704820</v>
      </c>
      <c r="H105" s="37" t="n">
        <v>176803</v>
      </c>
      <c r="I105" s="37" t="n">
        <v>461125277</v>
      </c>
      <c r="J105" s="37" t="n">
        <v>94080</v>
      </c>
      <c r="K105" s="37" t="n">
        <v>279441021</v>
      </c>
      <c r="L105" s="37" t="n">
        <v>35330</v>
      </c>
      <c r="M105" s="37" t="n">
        <v>105999971</v>
      </c>
      <c r="N105" s="37" t="n">
        <v>28845</v>
      </c>
      <c r="O105" s="37" t="n">
        <v>94049180</v>
      </c>
      <c r="P105" s="37" t="n">
        <v>14569</v>
      </c>
      <c r="Q105" s="37" t="n">
        <v>50245870</v>
      </c>
      <c r="R105" s="37" t="n">
        <v>59102</v>
      </c>
      <c r="S105" s="37" t="n">
        <v>265538214</v>
      </c>
    </row>
    <row r="106">
      <c r="A106" s="37" t="inlineStr">
        <is>
          <t>105年</t>
        </is>
      </c>
      <c r="B106" s="37" t="inlineStr">
        <is>
          <t>07月</t>
        </is>
      </c>
      <c r="C106" s="36" t="inlineStr">
        <is>
          <t>衣</t>
        </is>
      </c>
      <c r="D106" s="37" t="n">
        <v>1304529</v>
      </c>
      <c r="E106" s="37" t="n">
        <v>2774326597</v>
      </c>
      <c r="F106" s="37" t="n">
        <v>541546</v>
      </c>
      <c r="G106" s="37" t="n">
        <v>1245208206</v>
      </c>
      <c r="H106" s="37" t="n">
        <v>180093</v>
      </c>
      <c r="I106" s="37" t="n">
        <v>449926959</v>
      </c>
      <c r="J106" s="37" t="n">
        <v>93159</v>
      </c>
      <c r="K106" s="37" t="n">
        <v>263292785</v>
      </c>
      <c r="L106" s="37" t="n">
        <v>35413</v>
      </c>
      <c r="M106" s="37" t="n">
        <v>103490780</v>
      </c>
      <c r="N106" s="37" t="n">
        <v>28721</v>
      </c>
      <c r="O106" s="37" t="n">
        <v>89824267</v>
      </c>
      <c r="P106" s="37" t="n">
        <v>14599</v>
      </c>
      <c r="Q106" s="37" t="n">
        <v>46764422</v>
      </c>
      <c r="R106" s="37" t="n">
        <v>57883</v>
      </c>
      <c r="S106" s="37" t="n">
        <v>233141379</v>
      </c>
    </row>
    <row r="107">
      <c r="A107" s="37" t="inlineStr">
        <is>
          <t>105年</t>
        </is>
      </c>
      <c r="B107" s="37" t="inlineStr">
        <is>
          <t>08月</t>
        </is>
      </c>
      <c r="C107" s="36" t="inlineStr">
        <is>
          <t>衣</t>
        </is>
      </c>
      <c r="D107" s="37" t="n">
        <v>1202119</v>
      </c>
      <c r="E107" s="37" t="n">
        <v>2584073657</v>
      </c>
      <c r="F107" s="37" t="n">
        <v>485057</v>
      </c>
      <c r="G107" s="37" t="n">
        <v>1133015710</v>
      </c>
      <c r="H107" s="37" t="n">
        <v>162713</v>
      </c>
      <c r="I107" s="37" t="n">
        <v>413149729</v>
      </c>
      <c r="J107" s="37" t="n">
        <v>84016</v>
      </c>
      <c r="K107" s="37" t="n">
        <v>236362452</v>
      </c>
      <c r="L107" s="37" t="n">
        <v>33357</v>
      </c>
      <c r="M107" s="37" t="n">
        <v>99541200</v>
      </c>
      <c r="N107" s="37" t="n">
        <v>26290</v>
      </c>
      <c r="O107" s="37" t="n">
        <v>83405789</v>
      </c>
      <c r="P107" s="37" t="n">
        <v>13146</v>
      </c>
      <c r="Q107" s="37" t="n">
        <v>43850667</v>
      </c>
      <c r="R107" s="37" t="n">
        <v>53668</v>
      </c>
      <c r="S107" s="37" t="n">
        <v>218468310</v>
      </c>
    </row>
    <row r="108">
      <c r="A108" s="37" t="inlineStr">
        <is>
          <t>105年</t>
        </is>
      </c>
      <c r="B108" s="37" t="inlineStr">
        <is>
          <t>09月</t>
        </is>
      </c>
      <c r="C108" s="36" t="inlineStr">
        <is>
          <t>衣</t>
        </is>
      </c>
      <c r="D108" s="37" t="n">
        <v>1018511</v>
      </c>
      <c r="E108" s="37" t="n">
        <v>2364028586</v>
      </c>
      <c r="F108" s="37" t="n">
        <v>411778</v>
      </c>
      <c r="G108" s="37" t="n">
        <v>1031160028</v>
      </c>
      <c r="H108" s="37" t="n">
        <v>133513</v>
      </c>
      <c r="I108" s="37" t="n">
        <v>369125018</v>
      </c>
      <c r="J108" s="37" t="n">
        <v>70416</v>
      </c>
      <c r="K108" s="37" t="n">
        <v>218029307</v>
      </c>
      <c r="L108" s="37" t="n">
        <v>28288</v>
      </c>
      <c r="M108" s="37" t="n">
        <v>89380712</v>
      </c>
      <c r="N108" s="37" t="n">
        <v>22507</v>
      </c>
      <c r="O108" s="37" t="n">
        <v>78498806</v>
      </c>
      <c r="P108" s="37" t="n">
        <v>11114</v>
      </c>
      <c r="Q108" s="37" t="n">
        <v>41952851</v>
      </c>
      <c r="R108" s="37" t="n">
        <v>45498</v>
      </c>
      <c r="S108" s="37" t="n">
        <v>214799758</v>
      </c>
    </row>
    <row r="109">
      <c r="A109" s="37" t="inlineStr">
        <is>
          <t>105年</t>
        </is>
      </c>
      <c r="B109" s="37" t="inlineStr">
        <is>
          <t>10月</t>
        </is>
      </c>
      <c r="C109" s="36" t="inlineStr">
        <is>
          <t>衣</t>
        </is>
      </c>
      <c r="D109" s="37" t="n">
        <v>1146592</v>
      </c>
      <c r="E109" s="37" t="n">
        <v>2762707189</v>
      </c>
      <c r="F109" s="37" t="n">
        <v>463627</v>
      </c>
      <c r="G109" s="37" t="n">
        <v>1207040832</v>
      </c>
      <c r="H109" s="37" t="n">
        <v>149573</v>
      </c>
      <c r="I109" s="37" t="n">
        <v>425908939</v>
      </c>
      <c r="J109" s="37" t="n">
        <v>78621</v>
      </c>
      <c r="K109" s="37" t="n">
        <v>249101234</v>
      </c>
      <c r="L109" s="37" t="n">
        <v>31295</v>
      </c>
      <c r="M109" s="37" t="n">
        <v>102128224</v>
      </c>
      <c r="N109" s="37" t="n">
        <v>24678</v>
      </c>
      <c r="O109" s="37" t="n">
        <v>91784340</v>
      </c>
      <c r="P109" s="37" t="n">
        <v>12140</v>
      </c>
      <c r="Q109" s="37" t="n">
        <v>46557899</v>
      </c>
      <c r="R109" s="37" t="n">
        <v>50512</v>
      </c>
      <c r="S109" s="37" t="n">
        <v>238072734</v>
      </c>
    </row>
    <row r="110">
      <c r="A110" s="37" t="inlineStr">
        <is>
          <t>105年</t>
        </is>
      </c>
      <c r="B110" s="37" t="inlineStr">
        <is>
          <t>11月</t>
        </is>
      </c>
      <c r="C110" s="36" t="inlineStr">
        <is>
          <t>衣</t>
        </is>
      </c>
      <c r="D110" s="37" t="n">
        <v>1188030</v>
      </c>
      <c r="E110" s="37" t="n">
        <v>3075788645</v>
      </c>
      <c r="F110" s="37" t="n">
        <v>490440</v>
      </c>
      <c r="G110" s="37" t="n">
        <v>1374281155</v>
      </c>
      <c r="H110" s="37" t="n">
        <v>153790</v>
      </c>
      <c r="I110" s="37" t="n">
        <v>473464533</v>
      </c>
      <c r="J110" s="37" t="n">
        <v>80248</v>
      </c>
      <c r="K110" s="37" t="n">
        <v>283593203</v>
      </c>
      <c r="L110" s="37" t="n">
        <v>32289</v>
      </c>
      <c r="M110" s="37" t="n">
        <v>114909500</v>
      </c>
      <c r="N110" s="37" t="n">
        <v>24898</v>
      </c>
      <c r="O110" s="37" t="n">
        <v>98439188</v>
      </c>
      <c r="P110" s="37" t="n">
        <v>12465</v>
      </c>
      <c r="Q110" s="37" t="n">
        <v>53456383</v>
      </c>
      <c r="R110" s="37" t="n">
        <v>51649</v>
      </c>
      <c r="S110" s="37" t="n">
        <v>286986236</v>
      </c>
    </row>
    <row r="111">
      <c r="A111" s="37" t="inlineStr">
        <is>
          <t>105年</t>
        </is>
      </c>
      <c r="B111" s="37" t="inlineStr">
        <is>
          <t>12月</t>
        </is>
      </c>
      <c r="C111" s="36" t="inlineStr">
        <is>
          <t>衣</t>
        </is>
      </c>
      <c r="D111" s="37" t="n">
        <v>1498509</v>
      </c>
      <c r="E111" s="37" t="n">
        <v>3787894763</v>
      </c>
      <c r="F111" s="37" t="n">
        <v>620497</v>
      </c>
      <c r="G111" s="37" t="n">
        <v>1682873445</v>
      </c>
      <c r="H111" s="37" t="n">
        <v>197381</v>
      </c>
      <c r="I111" s="37" t="n">
        <v>586471981</v>
      </c>
      <c r="J111" s="37" t="n">
        <v>103966</v>
      </c>
      <c r="K111" s="37" t="n">
        <v>354522330</v>
      </c>
      <c r="L111" s="37" t="n">
        <v>40972</v>
      </c>
      <c r="M111" s="37" t="n">
        <v>142918954</v>
      </c>
      <c r="N111" s="37" t="n">
        <v>31535</v>
      </c>
      <c r="O111" s="37" t="n">
        <v>123293936</v>
      </c>
      <c r="P111" s="37" t="n">
        <v>15817</v>
      </c>
      <c r="Q111" s="37" t="n">
        <v>60687798</v>
      </c>
      <c r="R111" s="37" t="n">
        <v>64656</v>
      </c>
      <c r="S111" s="37" t="n">
        <v>346688106</v>
      </c>
    </row>
    <row r="112">
      <c r="A112" s="37" t="inlineStr">
        <is>
          <t>106年</t>
        </is>
      </c>
      <c r="B112" s="37" t="inlineStr">
        <is>
          <t>01月</t>
        </is>
      </c>
      <c r="C112" s="36" t="inlineStr">
        <is>
          <t>衣</t>
        </is>
      </c>
      <c r="D112" s="37" t="n">
        <v>1482562</v>
      </c>
      <c r="E112" s="37" t="n">
        <v>3787837397</v>
      </c>
      <c r="F112" s="37" t="n">
        <v>604007</v>
      </c>
      <c r="G112" s="37" t="n">
        <v>1619689837</v>
      </c>
      <c r="H112" s="37" t="n">
        <v>191793</v>
      </c>
      <c r="I112" s="37" t="n">
        <v>558947784</v>
      </c>
      <c r="J112" s="37" t="n">
        <v>100618</v>
      </c>
      <c r="K112" s="37" t="n">
        <v>326658560</v>
      </c>
      <c r="L112" s="37" t="n">
        <v>40739</v>
      </c>
      <c r="M112" s="37" t="n">
        <v>140723523</v>
      </c>
      <c r="N112" s="37" t="n">
        <v>30931</v>
      </c>
      <c r="O112" s="37" t="n">
        <v>113800575</v>
      </c>
      <c r="P112" s="37" t="n">
        <v>15560</v>
      </c>
      <c r="Q112" s="37" t="n">
        <v>57397327</v>
      </c>
      <c r="R112" s="37" t="n">
        <v>63701</v>
      </c>
      <c r="S112" s="37" t="n">
        <v>322404425</v>
      </c>
    </row>
    <row r="113">
      <c r="A113" s="37" t="inlineStr">
        <is>
          <t>106年</t>
        </is>
      </c>
      <c r="B113" s="37" t="inlineStr">
        <is>
          <t>02月</t>
        </is>
      </c>
      <c r="C113" s="36" t="inlineStr">
        <is>
          <t>衣</t>
        </is>
      </c>
      <c r="D113" s="37" t="n">
        <v>1054189</v>
      </c>
      <c r="E113" s="37" t="n">
        <v>2541576471</v>
      </c>
      <c r="F113" s="37" t="n">
        <v>430630</v>
      </c>
      <c r="G113" s="37" t="n">
        <v>1112182104</v>
      </c>
      <c r="H113" s="37" t="n">
        <v>139104</v>
      </c>
      <c r="I113" s="37" t="n">
        <v>385021718</v>
      </c>
      <c r="J113" s="37" t="n">
        <v>74154</v>
      </c>
      <c r="K113" s="37" t="n">
        <v>235090198</v>
      </c>
      <c r="L113" s="37" t="n">
        <v>30049</v>
      </c>
      <c r="M113" s="37" t="n">
        <v>98043659</v>
      </c>
      <c r="N113" s="37" t="n">
        <v>22849</v>
      </c>
      <c r="O113" s="37" t="n">
        <v>78658158</v>
      </c>
      <c r="P113" s="37" t="n">
        <v>11384</v>
      </c>
      <c r="Q113" s="37" t="n">
        <v>43177307</v>
      </c>
      <c r="R113" s="37" t="n">
        <v>48089</v>
      </c>
      <c r="S113" s="37" t="n">
        <v>243615557</v>
      </c>
    </row>
    <row r="114">
      <c r="A114" s="37" t="inlineStr">
        <is>
          <t>106年</t>
        </is>
      </c>
      <c r="B114" s="37" t="inlineStr">
        <is>
          <t>03月</t>
        </is>
      </c>
      <c r="C114" s="36" t="inlineStr">
        <is>
          <t>衣</t>
        </is>
      </c>
      <c r="D114" s="37" t="n">
        <v>1076366</v>
      </c>
      <c r="E114" s="37" t="n">
        <v>2586671334</v>
      </c>
      <c r="F114" s="37" t="n">
        <v>431796</v>
      </c>
      <c r="G114" s="37" t="n">
        <v>1112998963</v>
      </c>
      <c r="H114" s="37" t="n">
        <v>136836</v>
      </c>
      <c r="I114" s="37" t="n">
        <v>388182835</v>
      </c>
      <c r="J114" s="37" t="n">
        <v>73718</v>
      </c>
      <c r="K114" s="37" t="n">
        <v>242725328</v>
      </c>
      <c r="L114" s="37" t="n">
        <v>29957</v>
      </c>
      <c r="M114" s="37" t="n">
        <v>101355849</v>
      </c>
      <c r="N114" s="37" t="n">
        <v>22859</v>
      </c>
      <c r="O114" s="37" t="n">
        <v>85198118</v>
      </c>
      <c r="P114" s="37" t="n">
        <v>11892</v>
      </c>
      <c r="Q114" s="37" t="n">
        <v>47624612</v>
      </c>
      <c r="R114" s="37" t="n">
        <v>49154</v>
      </c>
      <c r="S114" s="37" t="n">
        <v>255523942</v>
      </c>
    </row>
    <row r="115">
      <c r="A115" s="37" t="inlineStr">
        <is>
          <t>106年</t>
        </is>
      </c>
      <c r="B115" s="37" t="inlineStr">
        <is>
          <t>04月</t>
        </is>
      </c>
      <c r="C115" s="36" t="inlineStr">
        <is>
          <t>衣</t>
        </is>
      </c>
      <c r="D115" s="37" t="n">
        <v>1222275</v>
      </c>
      <c r="E115" s="37" t="n">
        <v>2804651127</v>
      </c>
      <c r="F115" s="37" t="n">
        <v>496374</v>
      </c>
      <c r="G115" s="37" t="n">
        <v>1210477477</v>
      </c>
      <c r="H115" s="37" t="n">
        <v>160035</v>
      </c>
      <c r="I115" s="37" t="n">
        <v>424608385</v>
      </c>
      <c r="J115" s="37" t="n">
        <v>84744</v>
      </c>
      <c r="K115" s="37" t="n">
        <v>262693100</v>
      </c>
      <c r="L115" s="37" t="n">
        <v>34271</v>
      </c>
      <c r="M115" s="37" t="n">
        <v>107555658</v>
      </c>
      <c r="N115" s="37" t="n">
        <v>26362</v>
      </c>
      <c r="O115" s="37" t="n">
        <v>90610990</v>
      </c>
      <c r="P115" s="37" t="n">
        <v>13765</v>
      </c>
      <c r="Q115" s="37" t="n">
        <v>51584531</v>
      </c>
      <c r="R115" s="37" t="n">
        <v>56255</v>
      </c>
      <c r="S115" s="37" t="n">
        <v>260250725</v>
      </c>
    </row>
    <row r="116">
      <c r="A116" s="37" t="inlineStr">
        <is>
          <t>106年</t>
        </is>
      </c>
      <c r="B116" s="37" t="inlineStr">
        <is>
          <t>05月</t>
        </is>
      </c>
      <c r="C116" s="36" t="inlineStr">
        <is>
          <t>衣</t>
        </is>
      </c>
      <c r="D116" s="37" t="n">
        <v>1307771</v>
      </c>
      <c r="E116" s="37" t="n">
        <v>2962950334</v>
      </c>
      <c r="F116" s="37" t="n">
        <v>529517</v>
      </c>
      <c r="G116" s="37" t="n">
        <v>1284982251</v>
      </c>
      <c r="H116" s="37" t="n">
        <v>169958</v>
      </c>
      <c r="I116" s="37" t="n">
        <v>447713354</v>
      </c>
      <c r="J116" s="37" t="n">
        <v>91100</v>
      </c>
      <c r="K116" s="37" t="n">
        <v>281196225</v>
      </c>
      <c r="L116" s="37" t="n">
        <v>36855</v>
      </c>
      <c r="M116" s="37" t="n">
        <v>113901727</v>
      </c>
      <c r="N116" s="37" t="n">
        <v>28240</v>
      </c>
      <c r="O116" s="37" t="n">
        <v>95105021</v>
      </c>
      <c r="P116" s="37" t="n">
        <v>14724</v>
      </c>
      <c r="Q116" s="37" t="n">
        <v>54847000</v>
      </c>
      <c r="R116" s="37" t="n">
        <v>61097</v>
      </c>
      <c r="S116" s="37" t="n">
        <v>298766920</v>
      </c>
    </row>
    <row r="117">
      <c r="A117" s="37" t="inlineStr">
        <is>
          <t>106年</t>
        </is>
      </c>
      <c r="B117" s="37" t="inlineStr">
        <is>
          <t>06月</t>
        </is>
      </c>
      <c r="C117" s="36" t="inlineStr">
        <is>
          <t>衣</t>
        </is>
      </c>
      <c r="D117" s="37" t="n">
        <v>1175808</v>
      </c>
      <c r="E117" s="37" t="n">
        <v>2596078659</v>
      </c>
      <c r="F117" s="37" t="n">
        <v>476358</v>
      </c>
      <c r="G117" s="37" t="n">
        <v>1122646343</v>
      </c>
      <c r="H117" s="37" t="n">
        <v>152407</v>
      </c>
      <c r="I117" s="37" t="n">
        <v>394852975</v>
      </c>
      <c r="J117" s="37" t="n">
        <v>82072</v>
      </c>
      <c r="K117" s="37" t="n">
        <v>242393762</v>
      </c>
      <c r="L117" s="37" t="n">
        <v>32748</v>
      </c>
      <c r="M117" s="37" t="n">
        <v>101189633</v>
      </c>
      <c r="N117" s="37" t="n">
        <v>25426</v>
      </c>
      <c r="O117" s="37" t="n">
        <v>84704157</v>
      </c>
      <c r="P117" s="37" t="n">
        <v>13113</v>
      </c>
      <c r="Q117" s="37" t="n">
        <v>43889333</v>
      </c>
      <c r="R117" s="37" t="n">
        <v>55532</v>
      </c>
      <c r="S117" s="37" t="n">
        <v>245847494</v>
      </c>
    </row>
    <row r="118">
      <c r="A118" s="37" t="inlineStr">
        <is>
          <t>106年</t>
        </is>
      </c>
      <c r="B118" s="37" t="inlineStr">
        <is>
          <t>07月</t>
        </is>
      </c>
      <c r="C118" s="36" t="inlineStr">
        <is>
          <t>衣</t>
        </is>
      </c>
      <c r="D118" s="37" t="n">
        <v>1278744</v>
      </c>
      <c r="E118" s="37" t="n">
        <v>2717289755</v>
      </c>
      <c r="F118" s="37" t="n">
        <v>528707</v>
      </c>
      <c r="G118" s="37" t="n">
        <v>1203678402</v>
      </c>
      <c r="H118" s="37" t="n">
        <v>171373</v>
      </c>
      <c r="I118" s="37" t="n">
        <v>422871443</v>
      </c>
      <c r="J118" s="37" t="n">
        <v>92325</v>
      </c>
      <c r="K118" s="37" t="n">
        <v>260349065</v>
      </c>
      <c r="L118" s="37" t="n">
        <v>36234</v>
      </c>
      <c r="M118" s="37" t="n">
        <v>105309131</v>
      </c>
      <c r="N118" s="37" t="n">
        <v>28142</v>
      </c>
      <c r="O118" s="37" t="n">
        <v>89682548</v>
      </c>
      <c r="P118" s="37" t="n">
        <v>14713</v>
      </c>
      <c r="Q118" s="37" t="n">
        <v>47979886</v>
      </c>
      <c r="R118" s="37" t="n">
        <v>60050</v>
      </c>
      <c r="S118" s="37" t="n">
        <v>247154108</v>
      </c>
    </row>
    <row r="119">
      <c r="A119" s="37" t="inlineStr">
        <is>
          <t>106年</t>
        </is>
      </c>
      <c r="B119" s="37" t="inlineStr">
        <is>
          <t>08月</t>
        </is>
      </c>
      <c r="C119" s="36" t="inlineStr">
        <is>
          <t>衣</t>
        </is>
      </c>
      <c r="D119" s="37" t="n">
        <v>1191493</v>
      </c>
      <c r="E119" s="37" t="n">
        <v>2521633896</v>
      </c>
      <c r="F119" s="37" t="n">
        <v>487220</v>
      </c>
      <c r="G119" s="37" t="n">
        <v>1109255200</v>
      </c>
      <c r="H119" s="37" t="n">
        <v>157749</v>
      </c>
      <c r="I119" s="37" t="n">
        <v>392068958</v>
      </c>
      <c r="J119" s="37" t="n">
        <v>85084</v>
      </c>
      <c r="K119" s="37" t="n">
        <v>241791565</v>
      </c>
      <c r="L119" s="37" t="n">
        <v>33162</v>
      </c>
      <c r="M119" s="37" t="n">
        <v>97521867</v>
      </c>
      <c r="N119" s="37" t="n">
        <v>26052</v>
      </c>
      <c r="O119" s="37" t="n">
        <v>85419309</v>
      </c>
      <c r="P119" s="37" t="n">
        <v>13441</v>
      </c>
      <c r="Q119" s="37" t="n">
        <v>45236557</v>
      </c>
      <c r="R119" s="37" t="n">
        <v>55952</v>
      </c>
      <c r="S119" s="37" t="n">
        <v>234811253</v>
      </c>
    </row>
    <row r="120">
      <c r="A120" s="37" t="inlineStr">
        <is>
          <t>106年</t>
        </is>
      </c>
      <c r="B120" s="37" t="inlineStr">
        <is>
          <t>09月</t>
        </is>
      </c>
      <c r="C120" s="36" t="inlineStr">
        <is>
          <t>衣</t>
        </is>
      </c>
      <c r="D120" s="37" t="n">
        <v>1063982</v>
      </c>
      <c r="E120" s="37" t="n">
        <v>2439140603</v>
      </c>
      <c r="F120" s="37" t="n">
        <v>427392</v>
      </c>
      <c r="G120" s="37" t="n">
        <v>1056319031</v>
      </c>
      <c r="H120" s="37" t="n">
        <v>137595</v>
      </c>
      <c r="I120" s="37" t="n">
        <v>368007909</v>
      </c>
      <c r="J120" s="37" t="n">
        <v>73695</v>
      </c>
      <c r="K120" s="37" t="n">
        <v>239694196</v>
      </c>
      <c r="L120" s="37" t="n">
        <v>29872</v>
      </c>
      <c r="M120" s="37" t="n">
        <v>97506483</v>
      </c>
      <c r="N120" s="37" t="n">
        <v>23009</v>
      </c>
      <c r="O120" s="37" t="n">
        <v>79206956</v>
      </c>
      <c r="P120" s="37" t="n">
        <v>12121</v>
      </c>
      <c r="Q120" s="37" t="n">
        <v>43780925</v>
      </c>
      <c r="R120" s="37" t="n">
        <v>49622</v>
      </c>
      <c r="S120" s="37" t="n">
        <v>267679962</v>
      </c>
    </row>
    <row r="121">
      <c r="A121" s="37" t="inlineStr">
        <is>
          <t>106年</t>
        </is>
      </c>
      <c r="B121" s="37" t="inlineStr">
        <is>
          <t>10月</t>
        </is>
      </c>
      <c r="C121" s="36" t="inlineStr">
        <is>
          <t>衣</t>
        </is>
      </c>
      <c r="D121" s="37" t="n">
        <v>1250913</v>
      </c>
      <c r="E121" s="37" t="n">
        <v>2915484375</v>
      </c>
      <c r="F121" s="37" t="n">
        <v>502282</v>
      </c>
      <c r="G121" s="37" t="n">
        <v>1255981252</v>
      </c>
      <c r="H121" s="37" t="n">
        <v>161329</v>
      </c>
      <c r="I121" s="37" t="n">
        <v>437598468</v>
      </c>
      <c r="J121" s="37" t="n">
        <v>86198</v>
      </c>
      <c r="K121" s="37" t="n">
        <v>273217878</v>
      </c>
      <c r="L121" s="37" t="n">
        <v>34327</v>
      </c>
      <c r="M121" s="37" t="n">
        <v>111052241</v>
      </c>
      <c r="N121" s="37" t="n">
        <v>26405</v>
      </c>
      <c r="O121" s="37" t="n">
        <v>94732897</v>
      </c>
      <c r="P121" s="37" t="n">
        <v>14096</v>
      </c>
      <c r="Q121" s="37" t="n">
        <v>52239197</v>
      </c>
      <c r="R121" s="37" t="n">
        <v>56555</v>
      </c>
      <c r="S121" s="37" t="n">
        <v>272431888</v>
      </c>
    </row>
    <row r="122">
      <c r="A122" s="37" t="inlineStr">
        <is>
          <t>106年</t>
        </is>
      </c>
      <c r="B122" s="37" t="inlineStr">
        <is>
          <t>11月</t>
        </is>
      </c>
      <c r="C122" s="36" t="inlineStr">
        <is>
          <t>衣</t>
        </is>
      </c>
      <c r="D122" s="37" t="n">
        <v>1209330</v>
      </c>
      <c r="E122" s="37" t="n">
        <v>3057855285</v>
      </c>
      <c r="F122" s="37" t="n">
        <v>482121</v>
      </c>
      <c r="G122" s="37" t="n">
        <v>1305526770</v>
      </c>
      <c r="H122" s="37" t="n">
        <v>155018</v>
      </c>
      <c r="I122" s="37" t="n">
        <v>459620544</v>
      </c>
      <c r="J122" s="37" t="n">
        <v>83377</v>
      </c>
      <c r="K122" s="37" t="n">
        <v>282335019</v>
      </c>
      <c r="L122" s="37" t="n">
        <v>32611</v>
      </c>
      <c r="M122" s="37" t="n">
        <v>113382541</v>
      </c>
      <c r="N122" s="37" t="n">
        <v>25476</v>
      </c>
      <c r="O122" s="37" t="n">
        <v>95317201</v>
      </c>
      <c r="P122" s="37" t="n">
        <v>13412</v>
      </c>
      <c r="Q122" s="37" t="n">
        <v>53548219</v>
      </c>
      <c r="R122" s="37" t="n">
        <v>56000</v>
      </c>
      <c r="S122" s="37" t="n">
        <v>289897983</v>
      </c>
    </row>
    <row r="123">
      <c r="A123" s="37" t="inlineStr">
        <is>
          <t>106年</t>
        </is>
      </c>
      <c r="B123" s="37" t="inlineStr">
        <is>
          <t>12月</t>
        </is>
      </c>
      <c r="C123" s="36" t="inlineStr">
        <is>
          <t>衣</t>
        </is>
      </c>
      <c r="D123" s="37" t="n">
        <v>1532615</v>
      </c>
      <c r="E123" s="37" t="n">
        <v>3821064061</v>
      </c>
      <c r="F123" s="37" t="n">
        <v>612666</v>
      </c>
      <c r="G123" s="37" t="n">
        <v>1639429633</v>
      </c>
      <c r="H123" s="37" t="n">
        <v>198312</v>
      </c>
      <c r="I123" s="37" t="n">
        <v>573482893</v>
      </c>
      <c r="J123" s="37" t="n">
        <v>106733</v>
      </c>
      <c r="K123" s="37" t="n">
        <v>356794780</v>
      </c>
      <c r="L123" s="37" t="n">
        <v>41664</v>
      </c>
      <c r="M123" s="37" t="n">
        <v>140783917</v>
      </c>
      <c r="N123" s="37" t="n">
        <v>32357</v>
      </c>
      <c r="O123" s="37" t="n">
        <v>122289103</v>
      </c>
      <c r="P123" s="37" t="n">
        <v>17494</v>
      </c>
      <c r="Q123" s="37" t="n">
        <v>70210139</v>
      </c>
      <c r="R123" s="37" t="n">
        <v>70460</v>
      </c>
      <c r="S123" s="37" t="n">
        <v>354024871</v>
      </c>
    </row>
    <row r="124">
      <c r="A124" s="37" t="inlineStr">
        <is>
          <t>107年</t>
        </is>
      </c>
      <c r="B124" s="37" t="inlineStr">
        <is>
          <t>01月</t>
        </is>
      </c>
      <c r="C124" s="36" t="inlineStr">
        <is>
          <t>衣</t>
        </is>
      </c>
      <c r="D124" s="37" t="n">
        <v>1200810</v>
      </c>
      <c r="E124" s="37" t="n">
        <v>3043023983</v>
      </c>
      <c r="F124" s="37" t="n">
        <v>494961</v>
      </c>
      <c r="G124" s="37" t="n">
        <v>1345356867</v>
      </c>
      <c r="H124" s="37" t="n">
        <v>158445</v>
      </c>
      <c r="I124" s="37" t="n">
        <v>470579091</v>
      </c>
      <c r="J124" s="37" t="n">
        <v>84735</v>
      </c>
      <c r="K124" s="37" t="n">
        <v>288162433</v>
      </c>
      <c r="L124" s="37" t="n">
        <v>33109</v>
      </c>
      <c r="M124" s="37" t="n">
        <v>114408553</v>
      </c>
      <c r="N124" s="37" t="n">
        <v>25729</v>
      </c>
      <c r="O124" s="37" t="n">
        <v>100860182</v>
      </c>
      <c r="P124" s="37" t="n">
        <v>13803</v>
      </c>
      <c r="Q124" s="37" t="n">
        <v>55921116</v>
      </c>
      <c r="R124" s="37" t="n">
        <v>56016</v>
      </c>
      <c r="S124" s="37" t="n">
        <v>285262534</v>
      </c>
    </row>
    <row r="125">
      <c r="A125" s="37" t="inlineStr">
        <is>
          <t>107年</t>
        </is>
      </c>
      <c r="B125" s="37" t="inlineStr">
        <is>
          <t>02月</t>
        </is>
      </c>
      <c r="C125" s="36" t="inlineStr">
        <is>
          <t>衣</t>
        </is>
      </c>
      <c r="D125" s="37" t="n">
        <v>1301684</v>
      </c>
      <c r="E125" s="37" t="n">
        <v>3278216849</v>
      </c>
      <c r="F125" s="37" t="n">
        <v>522968</v>
      </c>
      <c r="G125" s="37" t="n">
        <v>1391762210</v>
      </c>
      <c r="H125" s="37" t="n">
        <v>169402</v>
      </c>
      <c r="I125" s="37" t="n">
        <v>489359471</v>
      </c>
      <c r="J125" s="37" t="n">
        <v>91011</v>
      </c>
      <c r="K125" s="37" t="n">
        <v>299887795</v>
      </c>
      <c r="L125" s="37" t="n">
        <v>35243</v>
      </c>
      <c r="M125" s="37" t="n">
        <v>116591194</v>
      </c>
      <c r="N125" s="37" t="n">
        <v>26512</v>
      </c>
      <c r="O125" s="37" t="n">
        <v>98074833</v>
      </c>
      <c r="P125" s="37" t="n">
        <v>14374</v>
      </c>
      <c r="Q125" s="37" t="n">
        <v>55059239</v>
      </c>
      <c r="R125" s="37" t="n">
        <v>57560</v>
      </c>
      <c r="S125" s="37" t="n">
        <v>275374421</v>
      </c>
    </row>
    <row r="126">
      <c r="A126" s="37" t="inlineStr">
        <is>
          <t>107年</t>
        </is>
      </c>
      <c r="B126" s="37" t="inlineStr">
        <is>
          <t>03月</t>
        </is>
      </c>
      <c r="C126" s="36" t="inlineStr">
        <is>
          <t>衣</t>
        </is>
      </c>
      <c r="D126" s="37" t="n">
        <v>1091685</v>
      </c>
      <c r="E126" s="37" t="n">
        <v>2628149031</v>
      </c>
      <c r="F126" s="37" t="n">
        <v>433556</v>
      </c>
      <c r="G126" s="37" t="n">
        <v>1125534652</v>
      </c>
      <c r="H126" s="37" t="n">
        <v>138780</v>
      </c>
      <c r="I126" s="37" t="n">
        <v>397570758</v>
      </c>
      <c r="J126" s="37" t="n">
        <v>75713</v>
      </c>
      <c r="K126" s="37" t="n">
        <v>254195311</v>
      </c>
      <c r="L126" s="37" t="n">
        <v>29826</v>
      </c>
      <c r="M126" s="37" t="n">
        <v>101451021</v>
      </c>
      <c r="N126" s="37" t="n">
        <v>23585</v>
      </c>
      <c r="O126" s="37" t="n">
        <v>89737152</v>
      </c>
      <c r="P126" s="37" t="n">
        <v>12471</v>
      </c>
      <c r="Q126" s="37" t="n">
        <v>47734979</v>
      </c>
      <c r="R126" s="37" t="n">
        <v>52636</v>
      </c>
      <c r="S126" s="37" t="n">
        <v>272348973</v>
      </c>
    </row>
    <row r="127">
      <c r="A127" s="37" t="inlineStr">
        <is>
          <t>107年</t>
        </is>
      </c>
      <c r="B127" s="37" t="inlineStr">
        <is>
          <t>04月</t>
        </is>
      </c>
      <c r="C127" s="36" t="inlineStr">
        <is>
          <t>衣</t>
        </is>
      </c>
      <c r="D127" s="37" t="n">
        <v>1205215</v>
      </c>
      <c r="E127" s="37" t="n">
        <v>2777095796</v>
      </c>
      <c r="F127" s="37" t="n">
        <v>485570</v>
      </c>
      <c r="G127" s="37" t="n">
        <v>1195883181</v>
      </c>
      <c r="H127" s="37" t="n">
        <v>158350</v>
      </c>
      <c r="I127" s="37" t="n">
        <v>435039404</v>
      </c>
      <c r="J127" s="37" t="n">
        <v>84799</v>
      </c>
      <c r="K127" s="37" t="n">
        <v>260034890</v>
      </c>
      <c r="L127" s="37" t="n">
        <v>34168</v>
      </c>
      <c r="M127" s="37" t="n">
        <v>106566819</v>
      </c>
      <c r="N127" s="37" t="n">
        <v>26181</v>
      </c>
      <c r="O127" s="37" t="n">
        <v>92794848</v>
      </c>
      <c r="P127" s="37" t="n">
        <v>14392</v>
      </c>
      <c r="Q127" s="37" t="n">
        <v>51971737</v>
      </c>
      <c r="R127" s="37" t="n">
        <v>58130</v>
      </c>
      <c r="S127" s="37" t="n">
        <v>268799274</v>
      </c>
    </row>
    <row r="128">
      <c r="A128" s="37" t="inlineStr">
        <is>
          <t>107年</t>
        </is>
      </c>
      <c r="B128" s="37" t="inlineStr">
        <is>
          <t>05月</t>
        </is>
      </c>
      <c r="C128" s="36" t="inlineStr">
        <is>
          <t>衣</t>
        </is>
      </c>
      <c r="D128" s="37" t="n">
        <v>1325925</v>
      </c>
      <c r="E128" s="37" t="n">
        <v>3024822608</v>
      </c>
      <c r="F128" s="37" t="n">
        <v>529078</v>
      </c>
      <c r="G128" s="37" t="n">
        <v>1299136611</v>
      </c>
      <c r="H128" s="37" t="n">
        <v>172610</v>
      </c>
      <c r="I128" s="37" t="n">
        <v>457504331</v>
      </c>
      <c r="J128" s="37" t="n">
        <v>92680</v>
      </c>
      <c r="K128" s="37" t="n">
        <v>289333435</v>
      </c>
      <c r="L128" s="37" t="n">
        <v>37194</v>
      </c>
      <c r="M128" s="37" t="n">
        <v>117590933</v>
      </c>
      <c r="N128" s="37" t="n">
        <v>28991</v>
      </c>
      <c r="O128" s="37" t="n">
        <v>104059193</v>
      </c>
      <c r="P128" s="37" t="n">
        <v>15762</v>
      </c>
      <c r="Q128" s="37" t="n">
        <v>56677381</v>
      </c>
      <c r="R128" s="37" t="n">
        <v>64063</v>
      </c>
      <c r="S128" s="37" t="n">
        <v>339879065</v>
      </c>
    </row>
    <row r="129">
      <c r="A129" s="37" t="inlineStr">
        <is>
          <t>107年</t>
        </is>
      </c>
      <c r="B129" s="37" t="inlineStr">
        <is>
          <t>06月</t>
        </is>
      </c>
      <c r="C129" s="36" t="inlineStr">
        <is>
          <t>衣</t>
        </is>
      </c>
      <c r="D129" s="37" t="n">
        <v>1265161</v>
      </c>
      <c r="E129" s="37" t="n">
        <v>2807191923</v>
      </c>
      <c r="F129" s="37" t="n">
        <v>509834</v>
      </c>
      <c r="G129" s="37" t="n">
        <v>1205293829</v>
      </c>
      <c r="H129" s="37" t="n">
        <v>169068</v>
      </c>
      <c r="I129" s="37" t="n">
        <v>434120610</v>
      </c>
      <c r="J129" s="37" t="n">
        <v>89787</v>
      </c>
      <c r="K129" s="37" t="n">
        <v>262151179</v>
      </c>
      <c r="L129" s="37" t="n">
        <v>36180</v>
      </c>
      <c r="M129" s="37" t="n">
        <v>108311452</v>
      </c>
      <c r="N129" s="37" t="n">
        <v>28203</v>
      </c>
      <c r="O129" s="37" t="n">
        <v>90248587</v>
      </c>
      <c r="P129" s="37" t="n">
        <v>15580</v>
      </c>
      <c r="Q129" s="37" t="n">
        <v>53545608</v>
      </c>
      <c r="R129" s="37" t="n">
        <v>61153</v>
      </c>
      <c r="S129" s="37" t="n">
        <v>268541740</v>
      </c>
    </row>
    <row r="130">
      <c r="A130" s="37" t="inlineStr">
        <is>
          <t>107年</t>
        </is>
      </c>
      <c r="B130" s="37" t="inlineStr">
        <is>
          <t>07月</t>
        </is>
      </c>
      <c r="C130" s="36" t="inlineStr">
        <is>
          <t>衣</t>
        </is>
      </c>
      <c r="D130" s="37" t="n">
        <v>1238603</v>
      </c>
      <c r="E130" s="37" t="n">
        <v>2654718795</v>
      </c>
      <c r="F130" s="37" t="n">
        <v>502005</v>
      </c>
      <c r="G130" s="37" t="n">
        <v>1149514151</v>
      </c>
      <c r="H130" s="37" t="n">
        <v>166256</v>
      </c>
      <c r="I130" s="37" t="n">
        <v>408984271</v>
      </c>
      <c r="J130" s="37" t="n">
        <v>89018</v>
      </c>
      <c r="K130" s="37" t="n">
        <v>251195790</v>
      </c>
      <c r="L130" s="37" t="n">
        <v>35521</v>
      </c>
      <c r="M130" s="37" t="n">
        <v>104113229</v>
      </c>
      <c r="N130" s="37" t="n">
        <v>27363</v>
      </c>
      <c r="O130" s="37" t="n">
        <v>87078920</v>
      </c>
      <c r="P130" s="37" t="n">
        <v>14980</v>
      </c>
      <c r="Q130" s="37" t="n">
        <v>50008269</v>
      </c>
      <c r="R130" s="37" t="n">
        <v>59775</v>
      </c>
      <c r="S130" s="37" t="n">
        <v>246069778</v>
      </c>
    </row>
    <row r="131">
      <c r="A131" s="37" t="inlineStr">
        <is>
          <t>107年</t>
        </is>
      </c>
      <c r="B131" s="37" t="inlineStr">
        <is>
          <t>08月</t>
        </is>
      </c>
      <c r="C131" s="36" t="inlineStr">
        <is>
          <t>衣</t>
        </is>
      </c>
      <c r="D131" s="37" t="n">
        <v>1128421</v>
      </c>
      <c r="E131" s="37" t="n">
        <v>2409448685</v>
      </c>
      <c r="F131" s="37" t="n">
        <v>457875</v>
      </c>
      <c r="G131" s="37" t="n">
        <v>1033229224</v>
      </c>
      <c r="H131" s="37" t="n">
        <v>151612</v>
      </c>
      <c r="I131" s="37" t="n">
        <v>371864837</v>
      </c>
      <c r="J131" s="37" t="n">
        <v>79830</v>
      </c>
      <c r="K131" s="37" t="n">
        <v>222703263</v>
      </c>
      <c r="L131" s="37" t="n">
        <v>31916</v>
      </c>
      <c r="M131" s="37" t="n">
        <v>93786991</v>
      </c>
      <c r="N131" s="37" t="n">
        <v>24471</v>
      </c>
      <c r="O131" s="37" t="n">
        <v>75149574</v>
      </c>
      <c r="P131" s="37" t="n">
        <v>13716</v>
      </c>
      <c r="Q131" s="37" t="n">
        <v>45571148</v>
      </c>
      <c r="R131" s="37" t="n">
        <v>54113</v>
      </c>
      <c r="S131" s="37" t="n">
        <v>218074017</v>
      </c>
    </row>
    <row r="132">
      <c r="A132" s="37" t="inlineStr">
        <is>
          <t>107年</t>
        </is>
      </c>
      <c r="B132" s="37" t="inlineStr">
        <is>
          <t>09月</t>
        </is>
      </c>
      <c r="C132" s="36" t="inlineStr">
        <is>
          <t>衣</t>
        </is>
      </c>
      <c r="D132" s="37" t="n">
        <v>1151090</v>
      </c>
      <c r="E132" s="37" t="n">
        <v>2602812033</v>
      </c>
      <c r="F132" s="37" t="n">
        <v>451219</v>
      </c>
      <c r="G132" s="37" t="n">
        <v>1101346983</v>
      </c>
      <c r="H132" s="37" t="n">
        <v>146148</v>
      </c>
      <c r="I132" s="37" t="n">
        <v>388416048</v>
      </c>
      <c r="J132" s="37" t="n">
        <v>76521</v>
      </c>
      <c r="K132" s="37" t="n">
        <v>240427283</v>
      </c>
      <c r="L132" s="37" t="n">
        <v>31008</v>
      </c>
      <c r="M132" s="37" t="n">
        <v>101298021</v>
      </c>
      <c r="N132" s="37" t="n">
        <v>24055</v>
      </c>
      <c r="O132" s="37" t="n">
        <v>86601384</v>
      </c>
      <c r="P132" s="37" t="n">
        <v>12941</v>
      </c>
      <c r="Q132" s="37" t="n">
        <v>48336520</v>
      </c>
      <c r="R132" s="37" t="n">
        <v>51691</v>
      </c>
      <c r="S132" s="37" t="n">
        <v>269967800</v>
      </c>
    </row>
    <row r="133">
      <c r="A133" s="37" t="inlineStr">
        <is>
          <t>107年</t>
        </is>
      </c>
      <c r="B133" s="37" t="inlineStr">
        <is>
          <t>10月</t>
        </is>
      </c>
      <c r="C133" s="36" t="inlineStr">
        <is>
          <t>衣</t>
        </is>
      </c>
      <c r="D133" s="37" t="n">
        <v>1135847</v>
      </c>
      <c r="E133" s="37" t="n">
        <v>2683725057</v>
      </c>
      <c r="F133" s="37" t="n">
        <v>448909</v>
      </c>
      <c r="G133" s="37" t="n">
        <v>1141947517</v>
      </c>
      <c r="H133" s="37" t="n">
        <v>144349</v>
      </c>
      <c r="I133" s="37" t="n">
        <v>401096294</v>
      </c>
      <c r="J133" s="37" t="n">
        <v>72971</v>
      </c>
      <c r="K133" s="37" t="n">
        <v>233082625</v>
      </c>
      <c r="L133" s="37" t="n">
        <v>30122</v>
      </c>
      <c r="M133" s="37" t="n">
        <v>98377083</v>
      </c>
      <c r="N133" s="37" t="n">
        <v>22232</v>
      </c>
      <c r="O133" s="37" t="n">
        <v>81093091</v>
      </c>
      <c r="P133" s="37" t="n">
        <v>12673</v>
      </c>
      <c r="Q133" s="37" t="n">
        <v>47381422</v>
      </c>
      <c r="R133" s="37" t="n">
        <v>48108</v>
      </c>
      <c r="S133" s="37" t="n">
        <v>226401819</v>
      </c>
    </row>
    <row r="134">
      <c r="A134" s="37" t="inlineStr">
        <is>
          <t>107年</t>
        </is>
      </c>
      <c r="B134" s="37" t="inlineStr">
        <is>
          <t>11月</t>
        </is>
      </c>
      <c r="C134" s="36" t="inlineStr">
        <is>
          <t>衣</t>
        </is>
      </c>
      <c r="D134" s="37" t="n">
        <v>1226010</v>
      </c>
      <c r="E134" s="37" t="n">
        <v>2976402576</v>
      </c>
      <c r="F134" s="37" t="n">
        <v>474743</v>
      </c>
      <c r="G134" s="37" t="n">
        <v>1235009180</v>
      </c>
      <c r="H134" s="37" t="n">
        <v>152781</v>
      </c>
      <c r="I134" s="37" t="n">
        <v>438606700</v>
      </c>
      <c r="J134" s="37" t="n">
        <v>78542</v>
      </c>
      <c r="K134" s="37" t="n">
        <v>256792556</v>
      </c>
      <c r="L134" s="37" t="n">
        <v>31932</v>
      </c>
      <c r="M134" s="37" t="n">
        <v>108819800</v>
      </c>
      <c r="N134" s="37" t="n">
        <v>24642</v>
      </c>
      <c r="O134" s="37" t="n">
        <v>96497657</v>
      </c>
      <c r="P134" s="37" t="n">
        <v>13776</v>
      </c>
      <c r="Q134" s="37" t="n">
        <v>53363138</v>
      </c>
      <c r="R134" s="37" t="n">
        <v>54312</v>
      </c>
      <c r="S134" s="37" t="n">
        <v>263629873</v>
      </c>
    </row>
    <row r="135">
      <c r="A135" s="37" t="inlineStr">
        <is>
          <t>107年</t>
        </is>
      </c>
      <c r="B135" s="37" t="inlineStr">
        <is>
          <t>12月</t>
        </is>
      </c>
      <c r="C135" s="36" t="inlineStr">
        <is>
          <t>衣</t>
        </is>
      </c>
      <c r="D135" s="37" t="n">
        <v>1553366</v>
      </c>
      <c r="E135" s="37" t="n">
        <v>3763653507</v>
      </c>
      <c r="F135" s="37" t="n">
        <v>610983</v>
      </c>
      <c r="G135" s="37" t="n">
        <v>1593344814</v>
      </c>
      <c r="H135" s="37" t="n">
        <v>200306</v>
      </c>
      <c r="I135" s="37" t="n">
        <v>562862140</v>
      </c>
      <c r="J135" s="37" t="n">
        <v>103313</v>
      </c>
      <c r="K135" s="37" t="n">
        <v>335633207</v>
      </c>
      <c r="L135" s="37" t="n">
        <v>42501</v>
      </c>
      <c r="M135" s="37" t="n">
        <v>143869173</v>
      </c>
      <c r="N135" s="37" t="n">
        <v>32285</v>
      </c>
      <c r="O135" s="37" t="n">
        <v>113962418</v>
      </c>
      <c r="P135" s="37" t="n">
        <v>17866</v>
      </c>
      <c r="Q135" s="37" t="n">
        <v>65096760</v>
      </c>
      <c r="R135" s="37" t="n">
        <v>71438</v>
      </c>
      <c r="S135" s="37" t="n">
        <v>335937499</v>
      </c>
    </row>
    <row r="136">
      <c r="A136" s="37" t="inlineStr">
        <is>
          <t>108年</t>
        </is>
      </c>
      <c r="B136" s="37" t="inlineStr">
        <is>
          <t>01月</t>
        </is>
      </c>
      <c r="C136" s="36" t="inlineStr">
        <is>
          <t>衣</t>
        </is>
      </c>
      <c r="D136" s="37" t="n">
        <v>1397733</v>
      </c>
      <c r="E136" s="37" t="n">
        <v>3449668177</v>
      </c>
      <c r="F136" s="37" t="n">
        <v>559290</v>
      </c>
      <c r="G136" s="37" t="n">
        <v>1476527167</v>
      </c>
      <c r="H136" s="37" t="n">
        <v>181399</v>
      </c>
      <c r="I136" s="37" t="n">
        <v>520647222</v>
      </c>
      <c r="J136" s="37" t="n">
        <v>92988</v>
      </c>
      <c r="K136" s="37" t="n">
        <v>302253637</v>
      </c>
      <c r="L136" s="37" t="n">
        <v>37428</v>
      </c>
      <c r="M136" s="37" t="n">
        <v>125831980</v>
      </c>
      <c r="N136" s="37" t="n">
        <v>28698</v>
      </c>
      <c r="O136" s="37" t="n">
        <v>104673448</v>
      </c>
      <c r="P136" s="37" t="n">
        <v>15618</v>
      </c>
      <c r="Q136" s="37" t="n">
        <v>57266208</v>
      </c>
      <c r="R136" s="37" t="n">
        <v>63865</v>
      </c>
      <c r="S136" s="37" t="n">
        <v>307174803</v>
      </c>
    </row>
    <row r="137">
      <c r="A137" s="37" t="inlineStr">
        <is>
          <t>108年</t>
        </is>
      </c>
      <c r="B137" s="37" t="inlineStr">
        <is>
          <t>02月</t>
        </is>
      </c>
      <c r="C137" s="36" t="inlineStr">
        <is>
          <t>衣</t>
        </is>
      </c>
      <c r="D137" s="37" t="n">
        <v>992377</v>
      </c>
      <c r="E137" s="37" t="n">
        <v>2334121115</v>
      </c>
      <c r="F137" s="37" t="n">
        <v>402776</v>
      </c>
      <c r="G137" s="37" t="n">
        <v>1009185332</v>
      </c>
      <c r="H137" s="37" t="n">
        <v>133589</v>
      </c>
      <c r="I137" s="37" t="n">
        <v>360013575</v>
      </c>
      <c r="J137" s="37" t="n">
        <v>69044</v>
      </c>
      <c r="K137" s="37" t="n">
        <v>208116866</v>
      </c>
      <c r="L137" s="37" t="n">
        <v>28542</v>
      </c>
      <c r="M137" s="37" t="n">
        <v>90332827</v>
      </c>
      <c r="N137" s="37" t="n">
        <v>21374</v>
      </c>
      <c r="O137" s="37" t="n">
        <v>73304559</v>
      </c>
      <c r="P137" s="37" t="n">
        <v>11859</v>
      </c>
      <c r="Q137" s="37" t="n">
        <v>41522843</v>
      </c>
      <c r="R137" s="37" t="n">
        <v>46842</v>
      </c>
      <c r="S137" s="37" t="n">
        <v>208434119</v>
      </c>
    </row>
    <row r="138">
      <c r="A138" s="37" t="inlineStr">
        <is>
          <t>108年</t>
        </is>
      </c>
      <c r="B138" s="37" t="inlineStr">
        <is>
          <t>03月</t>
        </is>
      </c>
      <c r="C138" s="36" t="inlineStr">
        <is>
          <t>衣</t>
        </is>
      </c>
      <c r="D138" s="37" t="n">
        <v>1157029</v>
      </c>
      <c r="E138" s="37" t="n">
        <v>2691863029</v>
      </c>
      <c r="F138" s="37" t="n">
        <v>451179</v>
      </c>
      <c r="G138" s="37" t="n">
        <v>1132651427</v>
      </c>
      <c r="H138" s="37" t="n">
        <v>148531</v>
      </c>
      <c r="I138" s="37" t="n">
        <v>410584164</v>
      </c>
      <c r="J138" s="37" t="n">
        <v>77569</v>
      </c>
      <c r="K138" s="37" t="n">
        <v>243636681</v>
      </c>
      <c r="L138" s="37" t="n">
        <v>31921</v>
      </c>
      <c r="M138" s="37" t="n">
        <v>102664147</v>
      </c>
      <c r="N138" s="37" t="n">
        <v>24992</v>
      </c>
      <c r="O138" s="37" t="n">
        <v>88099675</v>
      </c>
      <c r="P138" s="37" t="n">
        <v>14001</v>
      </c>
      <c r="Q138" s="37" t="n">
        <v>52478838</v>
      </c>
      <c r="R138" s="37" t="n">
        <v>57262</v>
      </c>
      <c r="S138" s="37" t="n">
        <v>276454429</v>
      </c>
    </row>
    <row r="139">
      <c r="A139" s="37" t="inlineStr">
        <is>
          <t>108年</t>
        </is>
      </c>
      <c r="B139" s="37" t="inlineStr">
        <is>
          <t>04月</t>
        </is>
      </c>
      <c r="C139" s="36" t="inlineStr">
        <is>
          <t>衣</t>
        </is>
      </c>
      <c r="D139" s="37" t="n">
        <v>1182641</v>
      </c>
      <c r="E139" s="37" t="n">
        <v>2705178708</v>
      </c>
      <c r="F139" s="37" t="n">
        <v>461044</v>
      </c>
      <c r="G139" s="37" t="n">
        <v>1146300331</v>
      </c>
      <c r="H139" s="37" t="n">
        <v>154127</v>
      </c>
      <c r="I139" s="37" t="n">
        <v>413790326</v>
      </c>
      <c r="J139" s="37" t="n">
        <v>80697</v>
      </c>
      <c r="K139" s="37" t="n">
        <v>249963325</v>
      </c>
      <c r="L139" s="37" t="n">
        <v>33752</v>
      </c>
      <c r="M139" s="37" t="n">
        <v>107367593</v>
      </c>
      <c r="N139" s="37" t="n">
        <v>26329</v>
      </c>
      <c r="O139" s="37" t="n">
        <v>95223473</v>
      </c>
      <c r="P139" s="37" t="n">
        <v>14273</v>
      </c>
      <c r="Q139" s="37" t="n">
        <v>50113162</v>
      </c>
      <c r="R139" s="37" t="n">
        <v>59676</v>
      </c>
      <c r="S139" s="37" t="n">
        <v>269612597</v>
      </c>
    </row>
    <row r="140">
      <c r="A140" s="37" t="inlineStr">
        <is>
          <t>108年</t>
        </is>
      </c>
      <c r="B140" s="37" t="inlineStr">
        <is>
          <t>05月</t>
        </is>
      </c>
      <c r="C140" s="36" t="inlineStr">
        <is>
          <t>衣</t>
        </is>
      </c>
      <c r="D140" s="37" t="n">
        <v>1157084</v>
      </c>
      <c r="E140" s="37" t="n">
        <v>2652836615</v>
      </c>
      <c r="F140" s="37" t="n">
        <v>459529</v>
      </c>
      <c r="G140" s="37" t="n">
        <v>1131298193</v>
      </c>
      <c r="H140" s="37" t="n">
        <v>155165</v>
      </c>
      <c r="I140" s="37" t="n">
        <v>420589851</v>
      </c>
      <c r="J140" s="37" t="n">
        <v>80103</v>
      </c>
      <c r="K140" s="37" t="n">
        <v>244423628</v>
      </c>
      <c r="L140" s="37" t="n">
        <v>34184</v>
      </c>
      <c r="M140" s="37" t="n">
        <v>111983446</v>
      </c>
      <c r="N140" s="37" t="n">
        <v>26372</v>
      </c>
      <c r="O140" s="37" t="n">
        <v>93082110</v>
      </c>
      <c r="P140" s="37" t="n">
        <v>14456</v>
      </c>
      <c r="Q140" s="37" t="n">
        <v>51156034</v>
      </c>
      <c r="R140" s="37" t="n">
        <v>60864</v>
      </c>
      <c r="S140" s="37" t="n">
        <v>294207985</v>
      </c>
    </row>
    <row r="141">
      <c r="A141" s="37" t="inlineStr">
        <is>
          <t>108年</t>
        </is>
      </c>
      <c r="B141" s="37" t="inlineStr">
        <is>
          <t>06月</t>
        </is>
      </c>
      <c r="C141" s="36" t="inlineStr">
        <is>
          <t>衣</t>
        </is>
      </c>
      <c r="D141" s="37" t="n">
        <v>1211781</v>
      </c>
      <c r="E141" s="37" t="n">
        <v>2617485807</v>
      </c>
      <c r="F141" s="37" t="n">
        <v>481839</v>
      </c>
      <c r="G141" s="37" t="n">
        <v>1131750469</v>
      </c>
      <c r="H141" s="37" t="n">
        <v>162871</v>
      </c>
      <c r="I141" s="37" t="n">
        <v>411813375</v>
      </c>
      <c r="J141" s="37" t="n">
        <v>82750</v>
      </c>
      <c r="K141" s="37" t="n">
        <v>236385025</v>
      </c>
      <c r="L141" s="37" t="n">
        <v>35375</v>
      </c>
      <c r="M141" s="37" t="n">
        <v>102510609</v>
      </c>
      <c r="N141" s="37" t="n">
        <v>26878</v>
      </c>
      <c r="O141" s="37" t="n">
        <v>84719733</v>
      </c>
      <c r="P141" s="37" t="n">
        <v>15169</v>
      </c>
      <c r="Q141" s="37" t="n">
        <v>48147924</v>
      </c>
      <c r="R141" s="37" t="n">
        <v>60702</v>
      </c>
      <c r="S141" s="37" t="n">
        <v>241093828</v>
      </c>
    </row>
    <row r="142">
      <c r="A142" s="37" t="inlineStr">
        <is>
          <t>108年</t>
        </is>
      </c>
      <c r="B142" s="37" t="inlineStr">
        <is>
          <t>07月</t>
        </is>
      </c>
      <c r="C142" s="36" t="inlineStr">
        <is>
          <t>衣</t>
        </is>
      </c>
      <c r="D142" s="37" t="n">
        <v>1281517</v>
      </c>
      <c r="E142" s="37" t="n">
        <v>2734730291</v>
      </c>
      <c r="F142" s="37" t="n">
        <v>514990</v>
      </c>
      <c r="G142" s="37" t="n">
        <v>1175773687</v>
      </c>
      <c r="H142" s="37" t="n">
        <v>175708</v>
      </c>
      <c r="I142" s="37" t="n">
        <v>429473936</v>
      </c>
      <c r="J142" s="37" t="n">
        <v>90288</v>
      </c>
      <c r="K142" s="37" t="n">
        <v>254320629</v>
      </c>
      <c r="L142" s="37" t="n">
        <v>37741</v>
      </c>
      <c r="M142" s="37" t="n">
        <v>107071361</v>
      </c>
      <c r="N142" s="37" t="n">
        <v>29678</v>
      </c>
      <c r="O142" s="37" t="n">
        <v>94552039</v>
      </c>
      <c r="P142" s="37" t="n">
        <v>16141</v>
      </c>
      <c r="Q142" s="37" t="n">
        <v>52421976</v>
      </c>
      <c r="R142" s="37" t="n">
        <v>68112</v>
      </c>
      <c r="S142" s="37" t="n">
        <v>281642455</v>
      </c>
    </row>
    <row r="143">
      <c r="A143" s="37" t="inlineStr">
        <is>
          <t>108年</t>
        </is>
      </c>
      <c r="B143" s="37" t="inlineStr">
        <is>
          <t>08月</t>
        </is>
      </c>
      <c r="C143" s="36" t="inlineStr">
        <is>
          <t>衣</t>
        </is>
      </c>
      <c r="D143" s="37" t="n">
        <v>1247293</v>
      </c>
      <c r="E143" s="37" t="n">
        <v>2628756301</v>
      </c>
      <c r="F143" s="37" t="n">
        <v>501005</v>
      </c>
      <c r="G143" s="37" t="n">
        <v>1134009479</v>
      </c>
      <c r="H143" s="37" t="n">
        <v>168425</v>
      </c>
      <c r="I143" s="37" t="n">
        <v>413510463</v>
      </c>
      <c r="J143" s="37" t="n">
        <v>86870</v>
      </c>
      <c r="K143" s="37" t="n">
        <v>242341809</v>
      </c>
      <c r="L143" s="37" t="n">
        <v>36123</v>
      </c>
      <c r="M143" s="37" t="n">
        <v>104302866</v>
      </c>
      <c r="N143" s="37" t="n">
        <v>28002</v>
      </c>
      <c r="O143" s="37" t="n">
        <v>88157231</v>
      </c>
      <c r="P143" s="37" t="n">
        <v>15767</v>
      </c>
      <c r="Q143" s="37" t="n">
        <v>50862556</v>
      </c>
      <c r="R143" s="37" t="n">
        <v>64578</v>
      </c>
      <c r="S143" s="37" t="n">
        <v>262492943</v>
      </c>
    </row>
    <row r="144">
      <c r="A144" s="37" t="inlineStr">
        <is>
          <t>108年</t>
        </is>
      </c>
      <c r="B144" s="37" t="inlineStr">
        <is>
          <t>09月</t>
        </is>
      </c>
      <c r="C144" s="36" t="inlineStr">
        <is>
          <t>衣</t>
        </is>
      </c>
      <c r="D144" s="37" t="n">
        <v>1064552</v>
      </c>
      <c r="E144" s="37" t="n">
        <v>2373725401</v>
      </c>
      <c r="F144" s="37" t="n">
        <v>424809</v>
      </c>
      <c r="G144" s="37" t="n">
        <v>1024137387</v>
      </c>
      <c r="H144" s="37" t="n">
        <v>142367</v>
      </c>
      <c r="I144" s="37" t="n">
        <v>372014481</v>
      </c>
      <c r="J144" s="37" t="n">
        <v>71124</v>
      </c>
      <c r="K144" s="37" t="n">
        <v>215825437</v>
      </c>
      <c r="L144" s="37" t="n">
        <v>30867</v>
      </c>
      <c r="M144" s="37" t="n">
        <v>96004308</v>
      </c>
      <c r="N144" s="37" t="n">
        <v>23381</v>
      </c>
      <c r="O144" s="37" t="n">
        <v>78582602</v>
      </c>
      <c r="P144" s="37" t="n">
        <v>13619</v>
      </c>
      <c r="Q144" s="37" t="n">
        <v>48897187</v>
      </c>
      <c r="R144" s="37" t="n">
        <v>52626</v>
      </c>
      <c r="S144" s="37" t="n">
        <v>238340886</v>
      </c>
    </row>
    <row r="145">
      <c r="A145" s="37" t="inlineStr">
        <is>
          <t>108年</t>
        </is>
      </c>
      <c r="B145" s="37" t="inlineStr">
        <is>
          <t>10月</t>
        </is>
      </c>
      <c r="C145" s="36" t="inlineStr">
        <is>
          <t>衣</t>
        </is>
      </c>
      <c r="D145" s="37" t="n">
        <v>1214810</v>
      </c>
      <c r="E145" s="37" t="n">
        <v>2838249661</v>
      </c>
      <c r="F145" s="37" t="n">
        <v>482246</v>
      </c>
      <c r="G145" s="37" t="n">
        <v>1210004082</v>
      </c>
      <c r="H145" s="37" t="n">
        <v>163383</v>
      </c>
      <c r="I145" s="37" t="n">
        <v>447638966</v>
      </c>
      <c r="J145" s="37" t="n">
        <v>82349</v>
      </c>
      <c r="K145" s="37" t="n">
        <v>260877745</v>
      </c>
      <c r="L145" s="37" t="n">
        <v>35857</v>
      </c>
      <c r="M145" s="37" t="n">
        <v>117394430</v>
      </c>
      <c r="N145" s="37" t="n">
        <v>28230</v>
      </c>
      <c r="O145" s="37" t="n">
        <v>99193472</v>
      </c>
      <c r="P145" s="37" t="n">
        <v>15573</v>
      </c>
      <c r="Q145" s="37" t="n">
        <v>56754352</v>
      </c>
      <c r="R145" s="37" t="n">
        <v>64369</v>
      </c>
      <c r="S145" s="37" t="n">
        <v>293404105</v>
      </c>
    </row>
    <row r="146">
      <c r="A146" s="37" t="inlineStr">
        <is>
          <t>108年</t>
        </is>
      </c>
      <c r="B146" s="37" t="inlineStr">
        <is>
          <t>11月</t>
        </is>
      </c>
      <c r="C146" s="36" t="inlineStr">
        <is>
          <t>衣</t>
        </is>
      </c>
      <c r="D146" s="37" t="n">
        <v>1377593</v>
      </c>
      <c r="E146" s="37" t="n">
        <v>3284572349</v>
      </c>
      <c r="F146" s="37" t="n">
        <v>536207</v>
      </c>
      <c r="G146" s="37" t="n">
        <v>1377467946</v>
      </c>
      <c r="H146" s="37" t="n">
        <v>183226</v>
      </c>
      <c r="I146" s="37" t="n">
        <v>518174030</v>
      </c>
      <c r="J146" s="37" t="n">
        <v>91566</v>
      </c>
      <c r="K146" s="37" t="n">
        <v>293794757</v>
      </c>
      <c r="L146" s="37" t="n">
        <v>40490</v>
      </c>
      <c r="M146" s="37" t="n">
        <v>133598287</v>
      </c>
      <c r="N146" s="37" t="n">
        <v>30928</v>
      </c>
      <c r="O146" s="37" t="n">
        <v>108785931</v>
      </c>
      <c r="P146" s="37" t="n">
        <v>16997</v>
      </c>
      <c r="Q146" s="37" t="n">
        <v>62980881</v>
      </c>
      <c r="R146" s="37" t="n">
        <v>70799</v>
      </c>
      <c r="S146" s="37" t="n">
        <v>323990705</v>
      </c>
    </row>
    <row r="147">
      <c r="A147" s="37" t="inlineStr">
        <is>
          <t>108年</t>
        </is>
      </c>
      <c r="B147" s="37" t="inlineStr">
        <is>
          <t>12月</t>
        </is>
      </c>
      <c r="C147" s="36" t="inlineStr">
        <is>
          <t>衣</t>
        </is>
      </c>
      <c r="D147" s="37" t="n">
        <v>1498302</v>
      </c>
      <c r="E147" s="37" t="n">
        <v>3616170884</v>
      </c>
      <c r="F147" s="37" t="n">
        <v>592460</v>
      </c>
      <c r="G147" s="37" t="n">
        <v>1537600216</v>
      </c>
      <c r="H147" s="37" t="n">
        <v>203087</v>
      </c>
      <c r="I147" s="37" t="n">
        <v>568922544</v>
      </c>
      <c r="J147" s="37" t="n">
        <v>102285</v>
      </c>
      <c r="K147" s="37" t="n">
        <v>323883718</v>
      </c>
      <c r="L147" s="37" t="n">
        <v>44811</v>
      </c>
      <c r="M147" s="37" t="n">
        <v>146886254</v>
      </c>
      <c r="N147" s="37" t="n">
        <v>34784</v>
      </c>
      <c r="O147" s="37" t="n">
        <v>120211093</v>
      </c>
      <c r="P147" s="37" t="n">
        <v>19393</v>
      </c>
      <c r="Q147" s="37" t="n">
        <v>69004974</v>
      </c>
      <c r="R147" s="37" t="n">
        <v>78176</v>
      </c>
      <c r="S147" s="37" t="n">
        <v>362955004</v>
      </c>
    </row>
    <row r="148">
      <c r="A148" s="37" t="inlineStr">
        <is>
          <t>109年</t>
        </is>
      </c>
      <c r="B148" s="37" t="inlineStr">
        <is>
          <t>01月</t>
        </is>
      </c>
      <c r="C148" s="36" t="inlineStr">
        <is>
          <t>衣</t>
        </is>
      </c>
      <c r="D148" s="37" t="n">
        <v>1490705</v>
      </c>
      <c r="E148" s="37" t="n">
        <v>3565525144</v>
      </c>
      <c r="F148" s="37" t="n">
        <v>591835</v>
      </c>
      <c r="G148" s="37" t="n">
        <v>1498761824</v>
      </c>
      <c r="H148" s="37" t="n">
        <v>204693</v>
      </c>
      <c r="I148" s="37" t="n">
        <v>560021692</v>
      </c>
      <c r="J148" s="37" t="n">
        <v>103305</v>
      </c>
      <c r="K148" s="37" t="n">
        <v>315297201</v>
      </c>
      <c r="L148" s="37" t="n">
        <v>44434</v>
      </c>
      <c r="M148" s="37" t="n">
        <v>139958582</v>
      </c>
      <c r="N148" s="37" t="n">
        <v>34065</v>
      </c>
      <c r="O148" s="37" t="n">
        <v>113360282</v>
      </c>
      <c r="P148" s="37" t="n">
        <v>19294</v>
      </c>
      <c r="Q148" s="37" t="n">
        <v>69728904</v>
      </c>
      <c r="R148" s="37" t="n">
        <v>77435</v>
      </c>
      <c r="S148" s="37" t="n">
        <v>333418586</v>
      </c>
    </row>
    <row r="149">
      <c r="A149" s="37" t="inlineStr">
        <is>
          <t>109年</t>
        </is>
      </c>
      <c r="B149" s="37" t="inlineStr">
        <is>
          <t>02月</t>
        </is>
      </c>
      <c r="C149" s="36" t="inlineStr">
        <is>
          <t>衣</t>
        </is>
      </c>
      <c r="D149" s="37" t="n">
        <v>1150763</v>
      </c>
      <c r="E149" s="37" t="n">
        <v>2592052285</v>
      </c>
      <c r="F149" s="37" t="n">
        <v>443658</v>
      </c>
      <c r="G149" s="37" t="n">
        <v>1072172739</v>
      </c>
      <c r="H149" s="37" t="n">
        <v>151590</v>
      </c>
      <c r="I149" s="37" t="n">
        <v>397979914</v>
      </c>
      <c r="J149" s="37" t="n">
        <v>76030</v>
      </c>
      <c r="K149" s="37" t="n">
        <v>220775339</v>
      </c>
      <c r="L149" s="37" t="n">
        <v>33161</v>
      </c>
      <c r="M149" s="37" t="n">
        <v>102212158</v>
      </c>
      <c r="N149" s="37" t="n">
        <v>25568</v>
      </c>
      <c r="O149" s="37" t="n">
        <v>83091483</v>
      </c>
      <c r="P149" s="37" t="n">
        <v>14544</v>
      </c>
      <c r="Q149" s="37" t="n">
        <v>50899251</v>
      </c>
      <c r="R149" s="37" t="n">
        <v>57829</v>
      </c>
      <c r="S149" s="37" t="n">
        <v>244353534</v>
      </c>
    </row>
    <row r="150">
      <c r="A150" s="37" t="inlineStr">
        <is>
          <t>103年</t>
        </is>
      </c>
      <c r="B150" s="37" t="inlineStr">
        <is>
          <t>01月</t>
        </is>
      </c>
      <c r="C150" s="36" t="inlineStr">
        <is>
          <t>住</t>
        </is>
      </c>
      <c r="D150" s="37" t="n">
        <v>1085083</v>
      </c>
      <c r="E150" s="37" t="n">
        <v>4888088851</v>
      </c>
      <c r="F150" s="37" t="n">
        <v>609903</v>
      </c>
      <c r="G150" s="37" t="n">
        <v>2788133711</v>
      </c>
      <c r="H150" s="37" t="n">
        <v>256126</v>
      </c>
      <c r="I150" s="37" t="n">
        <v>1272435825</v>
      </c>
      <c r="J150" s="37" t="n">
        <v>166532</v>
      </c>
      <c r="K150" s="37" t="n">
        <v>1015549515</v>
      </c>
      <c r="L150" s="37" t="n">
        <v>54944</v>
      </c>
      <c r="M150" s="37" t="n">
        <v>331578448</v>
      </c>
      <c r="N150" s="37" t="n">
        <v>49446</v>
      </c>
      <c r="O150" s="37" t="n">
        <v>355517445</v>
      </c>
      <c r="P150" s="37" t="n">
        <v>24549</v>
      </c>
      <c r="Q150" s="37" t="n">
        <v>161043423</v>
      </c>
      <c r="R150" s="37" t="n">
        <v>114906</v>
      </c>
      <c r="S150" s="37" t="n">
        <v>1106388157</v>
      </c>
    </row>
    <row r="151">
      <c r="A151" s="37" t="inlineStr">
        <is>
          <t>103年</t>
        </is>
      </c>
      <c r="B151" s="37" t="inlineStr">
        <is>
          <t>02月</t>
        </is>
      </c>
      <c r="C151" s="36" t="inlineStr">
        <is>
          <t>住</t>
        </is>
      </c>
      <c r="D151" s="37" t="n">
        <v>854886</v>
      </c>
      <c r="E151" s="37" t="n">
        <v>3427497153</v>
      </c>
      <c r="F151" s="37" t="n">
        <v>480069</v>
      </c>
      <c r="G151" s="37" t="n">
        <v>1915596533</v>
      </c>
      <c r="H151" s="37" t="n">
        <v>196788</v>
      </c>
      <c r="I151" s="37" t="n">
        <v>844016277</v>
      </c>
      <c r="J151" s="37" t="n">
        <v>130651</v>
      </c>
      <c r="K151" s="37" t="n">
        <v>692401140</v>
      </c>
      <c r="L151" s="37" t="n">
        <v>42624</v>
      </c>
      <c r="M151" s="37" t="n">
        <v>222345031</v>
      </c>
      <c r="N151" s="37" t="n">
        <v>40632</v>
      </c>
      <c r="O151" s="37" t="n">
        <v>287178998</v>
      </c>
      <c r="P151" s="37" t="n">
        <v>19331</v>
      </c>
      <c r="Q151" s="37" t="n">
        <v>109312276</v>
      </c>
      <c r="R151" s="37" t="n">
        <v>92372</v>
      </c>
      <c r="S151" s="37" t="n">
        <v>744472813</v>
      </c>
    </row>
    <row r="152">
      <c r="A152" s="37" t="inlineStr">
        <is>
          <t>103年</t>
        </is>
      </c>
      <c r="B152" s="37" t="inlineStr">
        <is>
          <t>03月</t>
        </is>
      </c>
      <c r="C152" s="36" t="inlineStr">
        <is>
          <t>住</t>
        </is>
      </c>
      <c r="D152" s="37" t="n">
        <v>861846</v>
      </c>
      <c r="E152" s="37" t="n">
        <v>3572624871</v>
      </c>
      <c r="F152" s="37" t="n">
        <v>474653</v>
      </c>
      <c r="G152" s="37" t="n">
        <v>1991398833</v>
      </c>
      <c r="H152" s="37" t="n">
        <v>195234</v>
      </c>
      <c r="I152" s="37" t="n">
        <v>894670470</v>
      </c>
      <c r="J152" s="37" t="n">
        <v>131473</v>
      </c>
      <c r="K152" s="37" t="n">
        <v>737089131</v>
      </c>
      <c r="L152" s="37" t="n">
        <v>43336</v>
      </c>
      <c r="M152" s="37" t="n">
        <v>237488994</v>
      </c>
      <c r="N152" s="37" t="n">
        <v>42409</v>
      </c>
      <c r="O152" s="37" t="n">
        <v>329465053</v>
      </c>
      <c r="P152" s="37" t="n">
        <v>20188</v>
      </c>
      <c r="Q152" s="37" t="n">
        <v>126280691</v>
      </c>
      <c r="R152" s="37" t="n">
        <v>97673</v>
      </c>
      <c r="S152" s="37" t="n">
        <v>865490203</v>
      </c>
    </row>
    <row r="153">
      <c r="A153" s="37" t="inlineStr">
        <is>
          <t>103年</t>
        </is>
      </c>
      <c r="B153" s="37" t="inlineStr">
        <is>
          <t>04月</t>
        </is>
      </c>
      <c r="C153" s="36" t="inlineStr">
        <is>
          <t>住</t>
        </is>
      </c>
      <c r="D153" s="37" t="n">
        <v>838494</v>
      </c>
      <c r="E153" s="37" t="n">
        <v>3881746619</v>
      </c>
      <c r="F153" s="37" t="n">
        <v>464954</v>
      </c>
      <c r="G153" s="37" t="n">
        <v>2189389867</v>
      </c>
      <c r="H153" s="37" t="n">
        <v>191617</v>
      </c>
      <c r="I153" s="37" t="n">
        <v>963207165</v>
      </c>
      <c r="J153" s="37" t="n">
        <v>125639</v>
      </c>
      <c r="K153" s="37" t="n">
        <v>760937814</v>
      </c>
      <c r="L153" s="37" t="n">
        <v>42881</v>
      </c>
      <c r="M153" s="37" t="n">
        <v>252532789</v>
      </c>
      <c r="N153" s="37" t="n">
        <v>39082</v>
      </c>
      <c r="O153" s="37" t="n">
        <v>280123777</v>
      </c>
      <c r="P153" s="37" t="n">
        <v>19566</v>
      </c>
      <c r="Q153" s="37" t="n">
        <v>123072818</v>
      </c>
      <c r="R153" s="37" t="n">
        <v>92746</v>
      </c>
      <c r="S153" s="37" t="n">
        <v>841666263</v>
      </c>
    </row>
    <row r="154">
      <c r="A154" s="37" t="inlineStr">
        <is>
          <t>103年</t>
        </is>
      </c>
      <c r="B154" s="37" t="inlineStr">
        <is>
          <t>05月</t>
        </is>
      </c>
      <c r="C154" s="36" t="inlineStr">
        <is>
          <t>住</t>
        </is>
      </c>
      <c r="D154" s="37" t="n">
        <v>915115</v>
      </c>
      <c r="E154" s="37" t="n">
        <v>4087617390</v>
      </c>
      <c r="F154" s="37" t="n">
        <v>506659</v>
      </c>
      <c r="G154" s="37" t="n">
        <v>2260234317</v>
      </c>
      <c r="H154" s="37" t="n">
        <v>210146</v>
      </c>
      <c r="I154" s="37" t="n">
        <v>1004746023</v>
      </c>
      <c r="J154" s="37" t="n">
        <v>137427</v>
      </c>
      <c r="K154" s="37" t="n">
        <v>781791242</v>
      </c>
      <c r="L154" s="37" t="n">
        <v>46941</v>
      </c>
      <c r="M154" s="37" t="n">
        <v>269374679</v>
      </c>
      <c r="N154" s="37" t="n">
        <v>42203</v>
      </c>
      <c r="O154" s="37" t="n">
        <v>288743230</v>
      </c>
      <c r="P154" s="37" t="n">
        <v>21740</v>
      </c>
      <c r="Q154" s="37" t="n">
        <v>137943240</v>
      </c>
      <c r="R154" s="37" t="n">
        <v>99942</v>
      </c>
      <c r="S154" s="37" t="n">
        <v>859722530</v>
      </c>
    </row>
    <row r="155">
      <c r="A155" s="37" t="inlineStr">
        <is>
          <t>103年</t>
        </is>
      </c>
      <c r="B155" s="37" t="inlineStr">
        <is>
          <t>06月</t>
        </is>
      </c>
      <c r="C155" s="36" t="inlineStr">
        <is>
          <t>住</t>
        </is>
      </c>
      <c r="D155" s="37" t="n">
        <v>931800</v>
      </c>
      <c r="E155" s="37" t="n">
        <v>4174474004</v>
      </c>
      <c r="F155" s="37" t="n">
        <v>516732</v>
      </c>
      <c r="G155" s="37" t="n">
        <v>2301131560</v>
      </c>
      <c r="H155" s="37" t="n">
        <v>216528</v>
      </c>
      <c r="I155" s="37" t="n">
        <v>1030444332</v>
      </c>
      <c r="J155" s="37" t="n">
        <v>139141</v>
      </c>
      <c r="K155" s="37" t="n">
        <v>781632398</v>
      </c>
      <c r="L155" s="37" t="n">
        <v>48077</v>
      </c>
      <c r="M155" s="37" t="n">
        <v>267894700</v>
      </c>
      <c r="N155" s="37" t="n">
        <v>42497</v>
      </c>
      <c r="O155" s="37" t="n">
        <v>279544820</v>
      </c>
      <c r="P155" s="37" t="n">
        <v>22238</v>
      </c>
      <c r="Q155" s="37" t="n">
        <v>133576513</v>
      </c>
      <c r="R155" s="37" t="n">
        <v>100314</v>
      </c>
      <c r="S155" s="37" t="n">
        <v>859380258</v>
      </c>
    </row>
    <row r="156">
      <c r="A156" s="37" t="inlineStr">
        <is>
          <t>103年</t>
        </is>
      </c>
      <c r="B156" s="37" t="inlineStr">
        <is>
          <t>07月</t>
        </is>
      </c>
      <c r="C156" s="36" t="inlineStr">
        <is>
          <t>住</t>
        </is>
      </c>
      <c r="D156" s="37" t="n">
        <v>1040249</v>
      </c>
      <c r="E156" s="37" t="n">
        <v>4800668627</v>
      </c>
      <c r="F156" s="37" t="n">
        <v>585946</v>
      </c>
      <c r="G156" s="37" t="n">
        <v>2688103948</v>
      </c>
      <c r="H156" s="37" t="n">
        <v>248744</v>
      </c>
      <c r="I156" s="37" t="n">
        <v>1207012735</v>
      </c>
      <c r="J156" s="37" t="n">
        <v>157178</v>
      </c>
      <c r="K156" s="37" t="n">
        <v>890790592</v>
      </c>
      <c r="L156" s="37" t="n">
        <v>53429</v>
      </c>
      <c r="M156" s="37" t="n">
        <v>307130165</v>
      </c>
      <c r="N156" s="37" t="n">
        <v>46203</v>
      </c>
      <c r="O156" s="37" t="n">
        <v>286420486</v>
      </c>
      <c r="P156" s="37" t="n">
        <v>24427</v>
      </c>
      <c r="Q156" s="37" t="n">
        <v>148491082</v>
      </c>
      <c r="R156" s="37" t="n">
        <v>112023</v>
      </c>
      <c r="S156" s="37" t="n">
        <v>949414198</v>
      </c>
    </row>
    <row r="157">
      <c r="A157" s="37" t="inlineStr">
        <is>
          <t>103年</t>
        </is>
      </c>
      <c r="B157" s="37" t="inlineStr">
        <is>
          <t>08月</t>
        </is>
      </c>
      <c r="C157" s="36" t="inlineStr">
        <is>
          <t>住</t>
        </is>
      </c>
      <c r="D157" s="37" t="n">
        <v>1034262</v>
      </c>
      <c r="E157" s="37" t="n">
        <v>4405863158</v>
      </c>
      <c r="F157" s="37" t="n">
        <v>586036</v>
      </c>
      <c r="G157" s="37" t="n">
        <v>2516900684</v>
      </c>
      <c r="H157" s="37" t="n">
        <v>249544</v>
      </c>
      <c r="I157" s="37" t="n">
        <v>1138864052</v>
      </c>
      <c r="J157" s="37" t="n">
        <v>158312</v>
      </c>
      <c r="K157" s="37" t="n">
        <v>852186774</v>
      </c>
      <c r="L157" s="37" t="n">
        <v>54771</v>
      </c>
      <c r="M157" s="37" t="n">
        <v>292263261</v>
      </c>
      <c r="N157" s="37" t="n">
        <v>47033</v>
      </c>
      <c r="O157" s="37" t="n">
        <v>286109132</v>
      </c>
      <c r="P157" s="37" t="n">
        <v>24980</v>
      </c>
      <c r="Q157" s="37" t="n">
        <v>144227591</v>
      </c>
      <c r="R157" s="37" t="n">
        <v>114771</v>
      </c>
      <c r="S157" s="37" t="n">
        <v>944861543</v>
      </c>
    </row>
    <row r="158">
      <c r="A158" s="37" t="inlineStr">
        <is>
          <t>103年</t>
        </is>
      </c>
      <c r="B158" s="37" t="inlineStr">
        <is>
          <t>09月</t>
        </is>
      </c>
      <c r="C158" s="36" t="inlineStr">
        <is>
          <t>住</t>
        </is>
      </c>
      <c r="D158" s="37" t="n">
        <v>912536</v>
      </c>
      <c r="E158" s="37" t="n">
        <v>3886875787</v>
      </c>
      <c r="F158" s="37" t="n">
        <v>494702</v>
      </c>
      <c r="G158" s="37" t="n">
        <v>2152088962</v>
      </c>
      <c r="H158" s="37" t="n">
        <v>206176</v>
      </c>
      <c r="I158" s="37" t="n">
        <v>971837202</v>
      </c>
      <c r="J158" s="37" t="n">
        <v>133609</v>
      </c>
      <c r="K158" s="37" t="n">
        <v>737530087</v>
      </c>
      <c r="L158" s="37" t="n">
        <v>46520</v>
      </c>
      <c r="M158" s="37" t="n">
        <v>258557247</v>
      </c>
      <c r="N158" s="37" t="n">
        <v>41593</v>
      </c>
      <c r="O158" s="37" t="n">
        <v>260812536</v>
      </c>
      <c r="P158" s="37" t="n">
        <v>21661</v>
      </c>
      <c r="Q158" s="37" t="n">
        <v>128389916</v>
      </c>
      <c r="R158" s="37" t="n">
        <v>98101</v>
      </c>
      <c r="S158" s="37" t="n">
        <v>841294309</v>
      </c>
    </row>
    <row r="159">
      <c r="A159" s="37" t="inlineStr">
        <is>
          <t>103年</t>
        </is>
      </c>
      <c r="B159" s="37" t="inlineStr">
        <is>
          <t>10月</t>
        </is>
      </c>
      <c r="C159" s="36" t="inlineStr">
        <is>
          <t>住</t>
        </is>
      </c>
      <c r="D159" s="37" t="n">
        <v>940961</v>
      </c>
      <c r="E159" s="37" t="n">
        <v>3977219723</v>
      </c>
      <c r="F159" s="37" t="n">
        <v>514235</v>
      </c>
      <c r="G159" s="37" t="n">
        <v>2169963821</v>
      </c>
      <c r="H159" s="37" t="n">
        <v>213210</v>
      </c>
      <c r="I159" s="37" t="n">
        <v>982736714</v>
      </c>
      <c r="J159" s="37" t="n">
        <v>138822</v>
      </c>
      <c r="K159" s="37" t="n">
        <v>760979617</v>
      </c>
      <c r="L159" s="37" t="n">
        <v>48573</v>
      </c>
      <c r="M159" s="37" t="n">
        <v>267222192</v>
      </c>
      <c r="N159" s="37" t="n">
        <v>41813</v>
      </c>
      <c r="O159" s="37" t="n">
        <v>257169241</v>
      </c>
      <c r="P159" s="37" t="n">
        <v>22369</v>
      </c>
      <c r="Q159" s="37" t="n">
        <v>139138109</v>
      </c>
      <c r="R159" s="37" t="n">
        <v>105010</v>
      </c>
      <c r="S159" s="37" t="n">
        <v>923818363</v>
      </c>
    </row>
    <row r="160">
      <c r="A160" s="37" t="inlineStr">
        <is>
          <t>103年</t>
        </is>
      </c>
      <c r="B160" s="37" t="inlineStr">
        <is>
          <t>11月</t>
        </is>
      </c>
      <c r="C160" s="36" t="inlineStr">
        <is>
          <t>住</t>
        </is>
      </c>
      <c r="D160" s="37" t="n">
        <v>1000916</v>
      </c>
      <c r="E160" s="37" t="n">
        <v>4528743088</v>
      </c>
      <c r="F160" s="37" t="n">
        <v>552808</v>
      </c>
      <c r="G160" s="37" t="n">
        <v>2549116484</v>
      </c>
      <c r="H160" s="37" t="n">
        <v>227489</v>
      </c>
      <c r="I160" s="37" t="n">
        <v>1160632840</v>
      </c>
      <c r="J160" s="37" t="n">
        <v>149034</v>
      </c>
      <c r="K160" s="37" t="n">
        <v>894004002</v>
      </c>
      <c r="L160" s="37" t="n">
        <v>52461</v>
      </c>
      <c r="M160" s="37" t="n">
        <v>324108143</v>
      </c>
      <c r="N160" s="37" t="n">
        <v>45360</v>
      </c>
      <c r="O160" s="37" t="n">
        <v>298648153</v>
      </c>
      <c r="P160" s="37" t="n">
        <v>23848</v>
      </c>
      <c r="Q160" s="37" t="n">
        <v>153781106</v>
      </c>
      <c r="R160" s="37" t="n">
        <v>109464</v>
      </c>
      <c r="S160" s="37" t="n">
        <v>994982466</v>
      </c>
    </row>
    <row r="161">
      <c r="A161" s="37" t="inlineStr">
        <is>
          <t>103年</t>
        </is>
      </c>
      <c r="B161" s="37" t="inlineStr">
        <is>
          <t>12月</t>
        </is>
      </c>
      <c r="C161" s="36" t="inlineStr">
        <is>
          <t>住</t>
        </is>
      </c>
      <c r="D161" s="37" t="n">
        <v>1040772</v>
      </c>
      <c r="E161" s="37" t="n">
        <v>4442631387</v>
      </c>
      <c r="F161" s="37" t="n">
        <v>560601</v>
      </c>
      <c r="G161" s="37" t="n">
        <v>2459118204</v>
      </c>
      <c r="H161" s="37" t="n">
        <v>233011</v>
      </c>
      <c r="I161" s="37" t="n">
        <v>1141541943</v>
      </c>
      <c r="J161" s="37" t="n">
        <v>152295</v>
      </c>
      <c r="K161" s="37" t="n">
        <v>886482429</v>
      </c>
      <c r="L161" s="37" t="n">
        <v>53437</v>
      </c>
      <c r="M161" s="37" t="n">
        <v>316710374</v>
      </c>
      <c r="N161" s="37" t="n">
        <v>46304</v>
      </c>
      <c r="O161" s="37" t="n">
        <v>305778686</v>
      </c>
      <c r="P161" s="37" t="n">
        <v>24665</v>
      </c>
      <c r="Q161" s="37" t="n">
        <v>156430710</v>
      </c>
      <c r="R161" s="37" t="n">
        <v>114853</v>
      </c>
      <c r="S161" s="37" t="n">
        <v>1039333787</v>
      </c>
    </row>
    <row r="162">
      <c r="A162" s="37" t="inlineStr">
        <is>
          <t>104年</t>
        </is>
      </c>
      <c r="B162" s="37" t="inlineStr">
        <is>
          <t>01月</t>
        </is>
      </c>
      <c r="C162" s="36" t="inlineStr">
        <is>
          <t>住</t>
        </is>
      </c>
      <c r="D162" s="37" t="n">
        <v>1084479</v>
      </c>
      <c r="E162" s="37" t="n">
        <v>4721042834</v>
      </c>
      <c r="F162" s="37" t="n">
        <v>596690</v>
      </c>
      <c r="G162" s="37" t="n">
        <v>2609321114</v>
      </c>
      <c r="H162" s="37" t="n">
        <v>246991</v>
      </c>
      <c r="I162" s="37" t="n">
        <v>1175342841</v>
      </c>
      <c r="J162" s="37" t="n">
        <v>158579</v>
      </c>
      <c r="K162" s="37" t="n">
        <v>908870844</v>
      </c>
      <c r="L162" s="37" t="n">
        <v>55698</v>
      </c>
      <c r="M162" s="37" t="n">
        <v>325885854</v>
      </c>
      <c r="N162" s="37" t="n">
        <v>47411</v>
      </c>
      <c r="O162" s="37" t="n">
        <v>298384905</v>
      </c>
      <c r="P162" s="37" t="n">
        <v>25013</v>
      </c>
      <c r="Q162" s="37" t="n">
        <v>162968450</v>
      </c>
      <c r="R162" s="37" t="n">
        <v>116860</v>
      </c>
      <c r="S162" s="37" t="n">
        <v>1063396246</v>
      </c>
    </row>
    <row r="163">
      <c r="A163" s="37" t="inlineStr">
        <is>
          <t>104年</t>
        </is>
      </c>
      <c r="B163" s="37" t="inlineStr">
        <is>
          <t>02月</t>
        </is>
      </c>
      <c r="C163" s="36" t="inlineStr">
        <is>
          <t>住</t>
        </is>
      </c>
      <c r="D163" s="37" t="n">
        <v>1067708</v>
      </c>
      <c r="E163" s="37" t="n">
        <v>4554351889</v>
      </c>
      <c r="F163" s="37" t="n">
        <v>603849</v>
      </c>
      <c r="G163" s="37" t="n">
        <v>2516746844</v>
      </c>
      <c r="H163" s="37" t="n">
        <v>251848</v>
      </c>
      <c r="I163" s="37" t="n">
        <v>1132743648</v>
      </c>
      <c r="J163" s="37" t="n">
        <v>156454</v>
      </c>
      <c r="K163" s="37" t="n">
        <v>848429369</v>
      </c>
      <c r="L163" s="37" t="n">
        <v>55958</v>
      </c>
      <c r="M163" s="37" t="n">
        <v>301923805</v>
      </c>
      <c r="N163" s="37" t="n">
        <v>46863</v>
      </c>
      <c r="O163" s="37" t="n">
        <v>279263472</v>
      </c>
      <c r="P163" s="37" t="n">
        <v>25153</v>
      </c>
      <c r="Q163" s="37" t="n">
        <v>155095227</v>
      </c>
      <c r="R163" s="37" t="n">
        <v>113990</v>
      </c>
      <c r="S163" s="37" t="n">
        <v>997023709</v>
      </c>
    </row>
    <row r="164">
      <c r="A164" s="37" t="inlineStr">
        <is>
          <t>104年</t>
        </is>
      </c>
      <c r="B164" s="37" t="inlineStr">
        <is>
          <t>03月</t>
        </is>
      </c>
      <c r="C164" s="36" t="inlineStr">
        <is>
          <t>住</t>
        </is>
      </c>
      <c r="D164" s="37" t="n">
        <v>950063</v>
      </c>
      <c r="E164" s="37" t="n">
        <v>3829141479</v>
      </c>
      <c r="F164" s="37" t="n">
        <v>510993</v>
      </c>
      <c r="G164" s="37" t="n">
        <v>2057007618</v>
      </c>
      <c r="H164" s="37" t="n">
        <v>210297</v>
      </c>
      <c r="I164" s="37" t="n">
        <v>927967653</v>
      </c>
      <c r="J164" s="37" t="n">
        <v>135787</v>
      </c>
      <c r="K164" s="37" t="n">
        <v>726617517</v>
      </c>
      <c r="L164" s="37" t="n">
        <v>48158</v>
      </c>
      <c r="M164" s="37" t="n">
        <v>255228000</v>
      </c>
      <c r="N164" s="37" t="n">
        <v>41293</v>
      </c>
      <c r="O164" s="37" t="n">
        <v>247847322</v>
      </c>
      <c r="P164" s="37" t="n">
        <v>22186</v>
      </c>
      <c r="Q164" s="37" t="n">
        <v>137281260</v>
      </c>
      <c r="R164" s="37" t="n">
        <v>103546</v>
      </c>
      <c r="S164" s="37" t="n">
        <v>872611599</v>
      </c>
    </row>
    <row r="165">
      <c r="A165" s="37" t="inlineStr">
        <is>
          <t>104年</t>
        </is>
      </c>
      <c r="B165" s="37" t="inlineStr">
        <is>
          <t>04月</t>
        </is>
      </c>
      <c r="C165" s="36" t="inlineStr">
        <is>
          <t>住</t>
        </is>
      </c>
      <c r="D165" s="37" t="n">
        <v>934553</v>
      </c>
      <c r="E165" s="37" t="n">
        <v>4214396790</v>
      </c>
      <c r="F165" s="37" t="n">
        <v>514819</v>
      </c>
      <c r="G165" s="37" t="n">
        <v>2332922304</v>
      </c>
      <c r="H165" s="37" t="n">
        <v>212459</v>
      </c>
      <c r="I165" s="37" t="n">
        <v>1022109492</v>
      </c>
      <c r="J165" s="37" t="n">
        <v>136472</v>
      </c>
      <c r="K165" s="37" t="n">
        <v>776469658</v>
      </c>
      <c r="L165" s="37" t="n">
        <v>48749</v>
      </c>
      <c r="M165" s="37" t="n">
        <v>277198437</v>
      </c>
      <c r="N165" s="37" t="n">
        <v>41634</v>
      </c>
      <c r="O165" s="37" t="n">
        <v>260193080</v>
      </c>
      <c r="P165" s="37" t="n">
        <v>22241</v>
      </c>
      <c r="Q165" s="37" t="n">
        <v>135974280</v>
      </c>
      <c r="R165" s="37" t="n">
        <v>104067</v>
      </c>
      <c r="S165" s="37" t="n">
        <v>886312723</v>
      </c>
    </row>
    <row r="166">
      <c r="A166" s="37" t="inlineStr">
        <is>
          <t>104年</t>
        </is>
      </c>
      <c r="B166" s="37" t="inlineStr">
        <is>
          <t>05月</t>
        </is>
      </c>
      <c r="C166" s="36" t="inlineStr">
        <is>
          <t>住</t>
        </is>
      </c>
      <c r="D166" s="37" t="n">
        <v>971765</v>
      </c>
      <c r="E166" s="37" t="n">
        <v>4275145122</v>
      </c>
      <c r="F166" s="37" t="n">
        <v>530263</v>
      </c>
      <c r="G166" s="37" t="n">
        <v>2357697469</v>
      </c>
      <c r="H166" s="37" t="n">
        <v>221182</v>
      </c>
      <c r="I166" s="37" t="n">
        <v>1057009344</v>
      </c>
      <c r="J166" s="37" t="n">
        <v>142334</v>
      </c>
      <c r="K166" s="37" t="n">
        <v>794762918</v>
      </c>
      <c r="L166" s="37" t="n">
        <v>51510</v>
      </c>
      <c r="M166" s="37" t="n">
        <v>297047885</v>
      </c>
      <c r="N166" s="37" t="n">
        <v>43861</v>
      </c>
      <c r="O166" s="37" t="n">
        <v>278106708</v>
      </c>
      <c r="P166" s="37" t="n">
        <v>23900</v>
      </c>
      <c r="Q166" s="37" t="n">
        <v>138601497</v>
      </c>
      <c r="R166" s="37" t="n">
        <v>109089</v>
      </c>
      <c r="S166" s="37" t="n">
        <v>961497301</v>
      </c>
    </row>
    <row r="167">
      <c r="A167" s="37" t="inlineStr">
        <is>
          <t>104年</t>
        </is>
      </c>
      <c r="B167" s="37" t="inlineStr">
        <is>
          <t>06月</t>
        </is>
      </c>
      <c r="C167" s="36" t="inlineStr">
        <is>
          <t>住</t>
        </is>
      </c>
      <c r="D167" s="37" t="n">
        <v>978535</v>
      </c>
      <c r="E167" s="37" t="n">
        <v>4461911711</v>
      </c>
      <c r="F167" s="37" t="n">
        <v>526665</v>
      </c>
      <c r="G167" s="37" t="n">
        <v>2384577002</v>
      </c>
      <c r="H167" s="37" t="n">
        <v>217788</v>
      </c>
      <c r="I167" s="37" t="n">
        <v>1066610749</v>
      </c>
      <c r="J167" s="37" t="n">
        <v>139964</v>
      </c>
      <c r="K167" s="37" t="n">
        <v>792397745</v>
      </c>
      <c r="L167" s="37" t="n">
        <v>51001</v>
      </c>
      <c r="M167" s="37" t="n">
        <v>286414925</v>
      </c>
      <c r="N167" s="37" t="n">
        <v>42615</v>
      </c>
      <c r="O167" s="37" t="n">
        <v>258169158</v>
      </c>
      <c r="P167" s="37" t="n">
        <v>22926</v>
      </c>
      <c r="Q167" s="37" t="n">
        <v>133179822</v>
      </c>
      <c r="R167" s="37" t="n">
        <v>106107</v>
      </c>
      <c r="S167" s="37" t="n">
        <v>900240969</v>
      </c>
    </row>
    <row r="168">
      <c r="A168" s="37" t="inlineStr">
        <is>
          <t>104年</t>
        </is>
      </c>
      <c r="B168" s="37" t="inlineStr">
        <is>
          <t>07月</t>
        </is>
      </c>
      <c r="C168" s="36" t="inlineStr">
        <is>
          <t>住</t>
        </is>
      </c>
      <c r="D168" s="37" t="n">
        <v>1060612</v>
      </c>
      <c r="E168" s="37" t="n">
        <v>4648780978</v>
      </c>
      <c r="F168" s="37" t="n">
        <v>585107</v>
      </c>
      <c r="G168" s="37" t="n">
        <v>2611780515</v>
      </c>
      <c r="H168" s="37" t="n">
        <v>247617</v>
      </c>
      <c r="I168" s="37" t="n">
        <v>1183500408</v>
      </c>
      <c r="J168" s="37" t="n">
        <v>154857</v>
      </c>
      <c r="K168" s="37" t="n">
        <v>860436365</v>
      </c>
      <c r="L168" s="37" t="n">
        <v>56075</v>
      </c>
      <c r="M168" s="37" t="n">
        <v>315682860</v>
      </c>
      <c r="N168" s="37" t="n">
        <v>46659</v>
      </c>
      <c r="O168" s="37" t="n">
        <v>280294902</v>
      </c>
      <c r="P168" s="37" t="n">
        <v>25306</v>
      </c>
      <c r="Q168" s="37" t="n">
        <v>154008479</v>
      </c>
      <c r="R168" s="37" t="n">
        <v>117329</v>
      </c>
      <c r="S168" s="37" t="n">
        <v>1012772765</v>
      </c>
    </row>
    <row r="169">
      <c r="A169" s="37" t="inlineStr">
        <is>
          <t>104年</t>
        </is>
      </c>
      <c r="B169" s="37" t="inlineStr">
        <is>
          <t>08月</t>
        </is>
      </c>
      <c r="C169" s="36" t="inlineStr">
        <is>
          <t>住</t>
        </is>
      </c>
      <c r="D169" s="37" t="n">
        <v>1065654</v>
      </c>
      <c r="E169" s="37" t="n">
        <v>4276372889</v>
      </c>
      <c r="F169" s="37" t="n">
        <v>588027</v>
      </c>
      <c r="G169" s="37" t="n">
        <v>2387197154</v>
      </c>
      <c r="H169" s="37" t="n">
        <v>248256</v>
      </c>
      <c r="I169" s="37" t="n">
        <v>1088797296</v>
      </c>
      <c r="J169" s="37" t="n">
        <v>156636</v>
      </c>
      <c r="K169" s="37" t="n">
        <v>805546543</v>
      </c>
      <c r="L169" s="37" t="n">
        <v>56590</v>
      </c>
      <c r="M169" s="37" t="n">
        <v>294764140</v>
      </c>
      <c r="N169" s="37" t="n">
        <v>47898</v>
      </c>
      <c r="O169" s="37" t="n">
        <v>271967450</v>
      </c>
      <c r="P169" s="37" t="n">
        <v>25319</v>
      </c>
      <c r="Q169" s="37" t="n">
        <v>138520141</v>
      </c>
      <c r="R169" s="37" t="n">
        <v>118252</v>
      </c>
      <c r="S169" s="37" t="n">
        <v>927272940</v>
      </c>
    </row>
    <row r="170">
      <c r="A170" s="37" t="inlineStr">
        <is>
          <t>104年</t>
        </is>
      </c>
      <c r="B170" s="37" t="inlineStr">
        <is>
          <t>09月</t>
        </is>
      </c>
      <c r="C170" s="36" t="inlineStr">
        <is>
          <t>住</t>
        </is>
      </c>
      <c r="D170" s="37" t="n">
        <v>940102</v>
      </c>
      <c r="E170" s="37" t="n">
        <v>3836657864</v>
      </c>
      <c r="F170" s="37" t="n">
        <v>503144</v>
      </c>
      <c r="G170" s="37" t="n">
        <v>2087916928</v>
      </c>
      <c r="H170" s="37" t="n">
        <v>208788</v>
      </c>
      <c r="I170" s="37" t="n">
        <v>933882980</v>
      </c>
      <c r="J170" s="37" t="n">
        <v>133525</v>
      </c>
      <c r="K170" s="37" t="n">
        <v>720448516</v>
      </c>
      <c r="L170" s="37" t="n">
        <v>49155</v>
      </c>
      <c r="M170" s="37" t="n">
        <v>267347423</v>
      </c>
      <c r="N170" s="37" t="n">
        <v>41757</v>
      </c>
      <c r="O170" s="37" t="n">
        <v>242878638</v>
      </c>
      <c r="P170" s="37" t="n">
        <v>22181</v>
      </c>
      <c r="Q170" s="37" t="n">
        <v>123327619</v>
      </c>
      <c r="R170" s="37" t="n">
        <v>103363</v>
      </c>
      <c r="S170" s="37" t="n">
        <v>855666702</v>
      </c>
    </row>
    <row r="171">
      <c r="A171" s="37" t="inlineStr">
        <is>
          <t>104年</t>
        </is>
      </c>
      <c r="B171" s="37" t="inlineStr">
        <is>
          <t>10月</t>
        </is>
      </c>
      <c r="C171" s="36" t="inlineStr">
        <is>
          <t>住</t>
        </is>
      </c>
      <c r="D171" s="37" t="n">
        <v>973434</v>
      </c>
      <c r="E171" s="37" t="n">
        <v>4159319702</v>
      </c>
      <c r="F171" s="37" t="n">
        <v>523388</v>
      </c>
      <c r="G171" s="37" t="n">
        <v>2276555141</v>
      </c>
      <c r="H171" s="37" t="n">
        <v>218103</v>
      </c>
      <c r="I171" s="37" t="n">
        <v>1053295510</v>
      </c>
      <c r="J171" s="37" t="n">
        <v>139995</v>
      </c>
      <c r="K171" s="37" t="n">
        <v>811814842</v>
      </c>
      <c r="L171" s="37" t="n">
        <v>51722</v>
      </c>
      <c r="M171" s="37" t="n">
        <v>298696189</v>
      </c>
      <c r="N171" s="37" t="n">
        <v>43624</v>
      </c>
      <c r="O171" s="37" t="n">
        <v>269654316</v>
      </c>
      <c r="P171" s="37" t="n">
        <v>23164</v>
      </c>
      <c r="Q171" s="37" t="n">
        <v>143221223</v>
      </c>
      <c r="R171" s="37" t="n">
        <v>109737</v>
      </c>
      <c r="S171" s="37" t="n">
        <v>983648159</v>
      </c>
    </row>
    <row r="172">
      <c r="A172" s="37" t="inlineStr">
        <is>
          <t>104年</t>
        </is>
      </c>
      <c r="B172" s="37" t="inlineStr">
        <is>
          <t>11月</t>
        </is>
      </c>
      <c r="C172" s="36" t="inlineStr">
        <is>
          <t>住</t>
        </is>
      </c>
      <c r="D172" s="37" t="n">
        <v>1041366</v>
      </c>
      <c r="E172" s="37" t="n">
        <v>4859872792</v>
      </c>
      <c r="F172" s="37" t="n">
        <v>562903</v>
      </c>
      <c r="G172" s="37" t="n">
        <v>2714640776</v>
      </c>
      <c r="H172" s="37" t="n">
        <v>233154</v>
      </c>
      <c r="I172" s="37" t="n">
        <v>1213365814</v>
      </c>
      <c r="J172" s="37" t="n">
        <v>149126</v>
      </c>
      <c r="K172" s="37" t="n">
        <v>927483152</v>
      </c>
      <c r="L172" s="37" t="n">
        <v>54650</v>
      </c>
      <c r="M172" s="37" t="n">
        <v>339250925</v>
      </c>
      <c r="N172" s="37" t="n">
        <v>46628</v>
      </c>
      <c r="O172" s="37" t="n">
        <v>327448906</v>
      </c>
      <c r="P172" s="37" t="n">
        <v>24942</v>
      </c>
      <c r="Q172" s="37" t="n">
        <v>166101723</v>
      </c>
      <c r="R172" s="37" t="n">
        <v>115098</v>
      </c>
      <c r="S172" s="37" t="n">
        <v>1113668187</v>
      </c>
    </row>
    <row r="173">
      <c r="A173" s="37" t="inlineStr">
        <is>
          <t>104年</t>
        </is>
      </c>
      <c r="B173" s="37" t="inlineStr">
        <is>
          <t>12月</t>
        </is>
      </c>
      <c r="C173" s="36" t="inlineStr">
        <is>
          <t>住</t>
        </is>
      </c>
      <c r="D173" s="37" t="n">
        <v>1060269</v>
      </c>
      <c r="E173" s="37" t="n">
        <v>4689728163</v>
      </c>
      <c r="F173" s="37" t="n">
        <v>565102</v>
      </c>
      <c r="G173" s="37" t="n">
        <v>2543029584</v>
      </c>
      <c r="H173" s="37" t="n">
        <v>234991</v>
      </c>
      <c r="I173" s="37" t="n">
        <v>1172243701</v>
      </c>
      <c r="J173" s="37" t="n">
        <v>151385</v>
      </c>
      <c r="K173" s="37" t="n">
        <v>888352623</v>
      </c>
      <c r="L173" s="37" t="n">
        <v>56161</v>
      </c>
      <c r="M173" s="37" t="n">
        <v>349768444</v>
      </c>
      <c r="N173" s="37" t="n">
        <v>48058</v>
      </c>
      <c r="O173" s="37" t="n">
        <v>331298812</v>
      </c>
      <c r="P173" s="37" t="n">
        <v>25851</v>
      </c>
      <c r="Q173" s="37" t="n">
        <v>165328468</v>
      </c>
      <c r="R173" s="37" t="n">
        <v>120910</v>
      </c>
      <c r="S173" s="37" t="n">
        <v>1149069128</v>
      </c>
    </row>
    <row r="174">
      <c r="A174" s="37" t="inlineStr">
        <is>
          <t>105年</t>
        </is>
      </c>
      <c r="B174" s="37" t="inlineStr">
        <is>
          <t>01月</t>
        </is>
      </c>
      <c r="C174" s="36" t="inlineStr">
        <is>
          <t>住</t>
        </is>
      </c>
      <c r="D174" s="37" t="n">
        <v>1153496</v>
      </c>
      <c r="E174" s="37" t="n">
        <v>5348124152</v>
      </c>
      <c r="F174" s="37" t="n">
        <v>620006</v>
      </c>
      <c r="G174" s="37" t="n">
        <v>2950640385</v>
      </c>
      <c r="H174" s="37" t="n">
        <v>256943</v>
      </c>
      <c r="I174" s="37" t="n">
        <v>1322817834</v>
      </c>
      <c r="J174" s="37" t="n">
        <v>159380</v>
      </c>
      <c r="K174" s="37" t="n">
        <v>957318006</v>
      </c>
      <c r="L174" s="37" t="n">
        <v>59030</v>
      </c>
      <c r="M174" s="37" t="n">
        <v>362318868</v>
      </c>
      <c r="N174" s="37" t="n">
        <v>49592</v>
      </c>
      <c r="O174" s="37" t="n">
        <v>337248349</v>
      </c>
      <c r="P174" s="37" t="n">
        <v>26406</v>
      </c>
      <c r="Q174" s="37" t="n">
        <v>177313493</v>
      </c>
      <c r="R174" s="37" t="n">
        <v>121876</v>
      </c>
      <c r="S174" s="37" t="n">
        <v>1152291717</v>
      </c>
    </row>
    <row r="175">
      <c r="A175" s="37" t="inlineStr">
        <is>
          <t>105年</t>
        </is>
      </c>
      <c r="B175" s="37" t="inlineStr">
        <is>
          <t>02月</t>
        </is>
      </c>
      <c r="C175" s="36" t="inlineStr">
        <is>
          <t>住</t>
        </is>
      </c>
      <c r="D175" s="37" t="n">
        <v>1061742</v>
      </c>
      <c r="E175" s="37" t="n">
        <v>4711324275</v>
      </c>
      <c r="F175" s="37" t="n">
        <v>588998</v>
      </c>
      <c r="G175" s="37" t="n">
        <v>2542727291</v>
      </c>
      <c r="H175" s="37" t="n">
        <v>241147</v>
      </c>
      <c r="I175" s="37" t="n">
        <v>1128812165</v>
      </c>
      <c r="J175" s="37" t="n">
        <v>149363</v>
      </c>
      <c r="K175" s="37" t="n">
        <v>802428370</v>
      </c>
      <c r="L175" s="37" t="n">
        <v>54750</v>
      </c>
      <c r="M175" s="37" t="n">
        <v>301035486</v>
      </c>
      <c r="N175" s="37" t="n">
        <v>46577</v>
      </c>
      <c r="O175" s="37" t="n">
        <v>275542605</v>
      </c>
      <c r="P175" s="37" t="n">
        <v>24768</v>
      </c>
      <c r="Q175" s="37" t="n">
        <v>147236296</v>
      </c>
      <c r="R175" s="37" t="n">
        <v>112304</v>
      </c>
      <c r="S175" s="37" t="n">
        <v>923153012</v>
      </c>
    </row>
    <row r="176">
      <c r="A176" s="37" t="inlineStr">
        <is>
          <t>105年</t>
        </is>
      </c>
      <c r="B176" s="37" t="inlineStr">
        <is>
          <t>03月</t>
        </is>
      </c>
      <c r="C176" s="36" t="inlineStr">
        <is>
          <t>住</t>
        </is>
      </c>
      <c r="D176" s="37" t="n">
        <v>885461</v>
      </c>
      <c r="E176" s="37" t="n">
        <v>3508989278</v>
      </c>
      <c r="F176" s="37" t="n">
        <v>463313</v>
      </c>
      <c r="G176" s="37" t="n">
        <v>1888435035</v>
      </c>
      <c r="H176" s="37" t="n">
        <v>194302</v>
      </c>
      <c r="I176" s="37" t="n">
        <v>853727829</v>
      </c>
      <c r="J176" s="37" t="n">
        <v>122512</v>
      </c>
      <c r="K176" s="37" t="n">
        <v>655012673</v>
      </c>
      <c r="L176" s="37" t="n">
        <v>45139</v>
      </c>
      <c r="M176" s="37" t="n">
        <v>238297012</v>
      </c>
      <c r="N176" s="37" t="n">
        <v>39413</v>
      </c>
      <c r="O176" s="37" t="n">
        <v>238472566</v>
      </c>
      <c r="P176" s="37" t="n">
        <v>21079</v>
      </c>
      <c r="Q176" s="37" t="n">
        <v>122419381</v>
      </c>
      <c r="R176" s="37" t="n">
        <v>93195</v>
      </c>
      <c r="S176" s="37" t="n">
        <v>759933136</v>
      </c>
    </row>
    <row r="177">
      <c r="A177" s="37" t="inlineStr">
        <is>
          <t>105年</t>
        </is>
      </c>
      <c r="B177" s="37" t="inlineStr">
        <is>
          <t>04月</t>
        </is>
      </c>
      <c r="C177" s="36" t="inlineStr">
        <is>
          <t>住</t>
        </is>
      </c>
      <c r="D177" s="37" t="n">
        <v>895917</v>
      </c>
      <c r="E177" s="37" t="n">
        <v>3985532783</v>
      </c>
      <c r="F177" s="37" t="n">
        <v>480486</v>
      </c>
      <c r="G177" s="37" t="n">
        <v>2175277319</v>
      </c>
      <c r="H177" s="37" t="n">
        <v>197297</v>
      </c>
      <c r="I177" s="37" t="n">
        <v>954588324</v>
      </c>
      <c r="J177" s="37" t="n">
        <v>122650</v>
      </c>
      <c r="K177" s="37" t="n">
        <v>693374111</v>
      </c>
      <c r="L177" s="37" t="n">
        <v>46212</v>
      </c>
      <c r="M177" s="37" t="n">
        <v>261092374</v>
      </c>
      <c r="N177" s="37" t="n">
        <v>39399</v>
      </c>
      <c r="O177" s="37" t="n">
        <v>243468869</v>
      </c>
      <c r="P177" s="37" t="n">
        <v>21454</v>
      </c>
      <c r="Q177" s="37" t="n">
        <v>142948648</v>
      </c>
      <c r="R177" s="37" t="n">
        <v>92984</v>
      </c>
      <c r="S177" s="37" t="n">
        <v>785661232</v>
      </c>
    </row>
    <row r="178">
      <c r="A178" s="37" t="inlineStr">
        <is>
          <t>105年</t>
        </is>
      </c>
      <c r="B178" s="37" t="inlineStr">
        <is>
          <t>05月</t>
        </is>
      </c>
      <c r="C178" s="36" t="inlineStr">
        <is>
          <t>住</t>
        </is>
      </c>
      <c r="D178" s="37" t="n">
        <v>897618</v>
      </c>
      <c r="E178" s="37" t="n">
        <v>4044962837</v>
      </c>
      <c r="F178" s="37" t="n">
        <v>471943</v>
      </c>
      <c r="G178" s="37" t="n">
        <v>2195135275</v>
      </c>
      <c r="H178" s="37" t="n">
        <v>194624</v>
      </c>
      <c r="I178" s="37" t="n">
        <v>972495718</v>
      </c>
      <c r="J178" s="37" t="n">
        <v>120706</v>
      </c>
      <c r="K178" s="37" t="n">
        <v>706488437</v>
      </c>
      <c r="L178" s="37" t="n">
        <v>46802</v>
      </c>
      <c r="M178" s="37" t="n">
        <v>277016567</v>
      </c>
      <c r="N178" s="37" t="n">
        <v>38836</v>
      </c>
      <c r="O178" s="37" t="n">
        <v>250712277</v>
      </c>
      <c r="P178" s="37" t="n">
        <v>21345</v>
      </c>
      <c r="Q178" s="37" t="n">
        <v>135322211</v>
      </c>
      <c r="R178" s="37" t="n">
        <v>93251</v>
      </c>
      <c r="S178" s="37" t="n">
        <v>788899472</v>
      </c>
    </row>
    <row r="179">
      <c r="A179" s="37" t="inlineStr">
        <is>
          <t>105年</t>
        </is>
      </c>
      <c r="B179" s="37" t="inlineStr">
        <is>
          <t>06月</t>
        </is>
      </c>
      <c r="C179" s="36" t="inlineStr">
        <is>
          <t>住</t>
        </is>
      </c>
      <c r="D179" s="37" t="n">
        <v>966826</v>
      </c>
      <c r="E179" s="37" t="n">
        <v>4418369084</v>
      </c>
      <c r="F179" s="37" t="n">
        <v>513834</v>
      </c>
      <c r="G179" s="37" t="n">
        <v>2365073826</v>
      </c>
      <c r="H179" s="37" t="n">
        <v>212754</v>
      </c>
      <c r="I179" s="37" t="n">
        <v>1054235084</v>
      </c>
      <c r="J179" s="37" t="n">
        <v>133550</v>
      </c>
      <c r="K179" s="37" t="n">
        <v>753975399</v>
      </c>
      <c r="L179" s="37" t="n">
        <v>49636</v>
      </c>
      <c r="M179" s="37" t="n">
        <v>277854708</v>
      </c>
      <c r="N179" s="37" t="n">
        <v>42719</v>
      </c>
      <c r="O179" s="37" t="n">
        <v>260659032</v>
      </c>
      <c r="P179" s="37" t="n">
        <v>22807</v>
      </c>
      <c r="Q179" s="37" t="n">
        <v>140781256</v>
      </c>
      <c r="R179" s="37" t="n">
        <v>107908</v>
      </c>
      <c r="S179" s="37" t="n">
        <v>908227085</v>
      </c>
    </row>
    <row r="180">
      <c r="A180" s="37" t="inlineStr">
        <is>
          <t>105年</t>
        </is>
      </c>
      <c r="B180" s="37" t="inlineStr">
        <is>
          <t>07月</t>
        </is>
      </c>
      <c r="C180" s="36" t="inlineStr">
        <is>
          <t>住</t>
        </is>
      </c>
      <c r="D180" s="37" t="n">
        <v>1010577</v>
      </c>
      <c r="E180" s="37" t="n">
        <v>4537710840</v>
      </c>
      <c r="F180" s="37" t="n">
        <v>545817</v>
      </c>
      <c r="G180" s="37" t="n">
        <v>2542203257</v>
      </c>
      <c r="H180" s="37" t="n">
        <v>230200</v>
      </c>
      <c r="I180" s="37" t="n">
        <v>1135692194</v>
      </c>
      <c r="J180" s="37" t="n">
        <v>138806</v>
      </c>
      <c r="K180" s="37" t="n">
        <v>778784445</v>
      </c>
      <c r="L180" s="37" t="n">
        <v>52665</v>
      </c>
      <c r="M180" s="37" t="n">
        <v>303483261</v>
      </c>
      <c r="N180" s="37" t="n">
        <v>44560</v>
      </c>
      <c r="O180" s="37" t="n">
        <v>266414508</v>
      </c>
      <c r="P180" s="37" t="n">
        <v>23936</v>
      </c>
      <c r="Q180" s="37" t="n">
        <v>150966801</v>
      </c>
      <c r="R180" s="37" t="n">
        <v>102657</v>
      </c>
      <c r="S180" s="37" t="n">
        <v>853514347</v>
      </c>
    </row>
    <row r="181">
      <c r="A181" s="37" t="inlineStr">
        <is>
          <t>105年</t>
        </is>
      </c>
      <c r="B181" s="37" t="inlineStr">
        <is>
          <t>08月</t>
        </is>
      </c>
      <c r="C181" s="36" t="inlineStr">
        <is>
          <t>住</t>
        </is>
      </c>
      <c r="D181" s="37" t="n">
        <v>959899</v>
      </c>
      <c r="E181" s="37" t="n">
        <v>4103726776</v>
      </c>
      <c r="F181" s="37" t="n">
        <v>506628</v>
      </c>
      <c r="G181" s="37" t="n">
        <v>2267652292</v>
      </c>
      <c r="H181" s="37" t="n">
        <v>216612</v>
      </c>
      <c r="I181" s="37" t="n">
        <v>1028476326</v>
      </c>
      <c r="J181" s="37" t="n">
        <v>131847</v>
      </c>
      <c r="K181" s="37" t="n">
        <v>727160554</v>
      </c>
      <c r="L181" s="37" t="n">
        <v>52811</v>
      </c>
      <c r="M181" s="37" t="n">
        <v>290910731</v>
      </c>
      <c r="N181" s="37" t="n">
        <v>43110</v>
      </c>
      <c r="O181" s="37" t="n">
        <v>252784882</v>
      </c>
      <c r="P181" s="37" t="n">
        <v>23535</v>
      </c>
      <c r="Q181" s="37" t="n">
        <v>132524947</v>
      </c>
      <c r="R181" s="37" t="n">
        <v>100393</v>
      </c>
      <c r="S181" s="37" t="n">
        <v>762168737</v>
      </c>
    </row>
    <row r="182">
      <c r="A182" s="37" t="inlineStr">
        <is>
          <t>105年</t>
        </is>
      </c>
      <c r="B182" s="37" t="inlineStr">
        <is>
          <t>09月</t>
        </is>
      </c>
      <c r="C182" s="36" t="inlineStr">
        <is>
          <t>住</t>
        </is>
      </c>
      <c r="D182" s="37" t="n">
        <v>862866</v>
      </c>
      <c r="E182" s="37" t="n">
        <v>3632109241</v>
      </c>
      <c r="F182" s="37" t="n">
        <v>448763</v>
      </c>
      <c r="G182" s="37" t="n">
        <v>1958440123</v>
      </c>
      <c r="H182" s="37" t="n">
        <v>186415</v>
      </c>
      <c r="I182" s="37" t="n">
        <v>865209688</v>
      </c>
      <c r="J182" s="37" t="n">
        <v>116293</v>
      </c>
      <c r="K182" s="37" t="n">
        <v>619581321</v>
      </c>
      <c r="L182" s="37" t="n">
        <v>47396</v>
      </c>
      <c r="M182" s="37" t="n">
        <v>260193310</v>
      </c>
      <c r="N182" s="37" t="n">
        <v>38634</v>
      </c>
      <c r="O182" s="37" t="n">
        <v>229021139</v>
      </c>
      <c r="P182" s="37" t="n">
        <v>20790</v>
      </c>
      <c r="Q182" s="37" t="n">
        <v>124918230</v>
      </c>
      <c r="R182" s="37" t="n">
        <v>89194</v>
      </c>
      <c r="S182" s="37" t="n">
        <v>727214346</v>
      </c>
    </row>
    <row r="183">
      <c r="A183" s="37" t="inlineStr">
        <is>
          <t>105年</t>
        </is>
      </c>
      <c r="B183" s="37" t="inlineStr">
        <is>
          <t>10月</t>
        </is>
      </c>
      <c r="C183" s="36" t="inlineStr">
        <is>
          <t>住</t>
        </is>
      </c>
      <c r="D183" s="37" t="n">
        <v>944228</v>
      </c>
      <c r="E183" s="37" t="n">
        <v>4025591639</v>
      </c>
      <c r="F183" s="37" t="n">
        <v>500912</v>
      </c>
      <c r="G183" s="37" t="n">
        <v>2217446916</v>
      </c>
      <c r="H183" s="37" t="n">
        <v>206716</v>
      </c>
      <c r="I183" s="37" t="n">
        <v>994442435</v>
      </c>
      <c r="J183" s="37" t="n">
        <v>130164</v>
      </c>
      <c r="K183" s="37" t="n">
        <v>727048926</v>
      </c>
      <c r="L183" s="37" t="n">
        <v>52461</v>
      </c>
      <c r="M183" s="37" t="n">
        <v>291968815</v>
      </c>
      <c r="N183" s="37" t="n">
        <v>43007</v>
      </c>
      <c r="O183" s="37" t="n">
        <v>265051345</v>
      </c>
      <c r="P183" s="37" t="n">
        <v>23020</v>
      </c>
      <c r="Q183" s="37" t="n">
        <v>144082876</v>
      </c>
      <c r="R183" s="37" t="n">
        <v>98388</v>
      </c>
      <c r="S183" s="37" t="n">
        <v>822399232</v>
      </c>
    </row>
    <row r="184">
      <c r="A184" s="37" t="inlineStr">
        <is>
          <t>105年</t>
        </is>
      </c>
      <c r="B184" s="37" t="inlineStr">
        <is>
          <t>11月</t>
        </is>
      </c>
      <c r="C184" s="36" t="inlineStr">
        <is>
          <t>住</t>
        </is>
      </c>
      <c r="D184" s="37" t="n">
        <v>1004032</v>
      </c>
      <c r="E184" s="37" t="n">
        <v>4524535382</v>
      </c>
      <c r="F184" s="37" t="n">
        <v>541441</v>
      </c>
      <c r="G184" s="37" t="n">
        <v>2518607666</v>
      </c>
      <c r="H184" s="37" t="n">
        <v>221711</v>
      </c>
      <c r="I184" s="37" t="n">
        <v>1124249501</v>
      </c>
      <c r="J184" s="37" t="n">
        <v>139041</v>
      </c>
      <c r="K184" s="37" t="n">
        <v>840480892</v>
      </c>
      <c r="L184" s="37" t="n">
        <v>55122</v>
      </c>
      <c r="M184" s="37" t="n">
        <v>347489339</v>
      </c>
      <c r="N184" s="37" t="n">
        <v>45147</v>
      </c>
      <c r="O184" s="37" t="n">
        <v>302725211</v>
      </c>
      <c r="P184" s="37" t="n">
        <v>24181</v>
      </c>
      <c r="Q184" s="37" t="n">
        <v>162222774</v>
      </c>
      <c r="R184" s="37" t="n">
        <v>112894</v>
      </c>
      <c r="S184" s="37" t="n">
        <v>1007472214</v>
      </c>
    </row>
    <row r="185">
      <c r="A185" s="37" t="inlineStr">
        <is>
          <t>105年</t>
        </is>
      </c>
      <c r="B185" s="37" t="inlineStr">
        <is>
          <t>12月</t>
        </is>
      </c>
      <c r="C185" s="36" t="inlineStr">
        <is>
          <t>住</t>
        </is>
      </c>
      <c r="D185" s="37" t="n">
        <v>1036754</v>
      </c>
      <c r="E185" s="37" t="n">
        <v>4480614519</v>
      </c>
      <c r="F185" s="37" t="n">
        <v>549197</v>
      </c>
      <c r="G185" s="37" t="n">
        <v>2507612671</v>
      </c>
      <c r="H185" s="37" t="n">
        <v>226346</v>
      </c>
      <c r="I185" s="37" t="n">
        <v>1120325191</v>
      </c>
      <c r="J185" s="37" t="n">
        <v>143807</v>
      </c>
      <c r="K185" s="37" t="n">
        <v>826883518</v>
      </c>
      <c r="L185" s="37" t="n">
        <v>57303</v>
      </c>
      <c r="M185" s="37" t="n">
        <v>337757518</v>
      </c>
      <c r="N185" s="37" t="n">
        <v>47363</v>
      </c>
      <c r="O185" s="37" t="n">
        <v>316265266</v>
      </c>
      <c r="P185" s="37" t="n">
        <v>25553</v>
      </c>
      <c r="Q185" s="37" t="n">
        <v>166787702</v>
      </c>
      <c r="R185" s="37" t="n">
        <v>120595</v>
      </c>
      <c r="S185" s="37" t="n">
        <v>1080544871</v>
      </c>
    </row>
    <row r="186">
      <c r="A186" s="37" t="inlineStr">
        <is>
          <t>106年</t>
        </is>
      </c>
      <c r="B186" s="37" t="inlineStr">
        <is>
          <t>01月</t>
        </is>
      </c>
      <c r="C186" s="36" t="inlineStr">
        <is>
          <t>住</t>
        </is>
      </c>
      <c r="D186" s="37" t="n">
        <v>1070264</v>
      </c>
      <c r="E186" s="37" t="n">
        <v>5034463633</v>
      </c>
      <c r="F186" s="37" t="n">
        <v>564597</v>
      </c>
      <c r="G186" s="37" t="n">
        <v>2728384723</v>
      </c>
      <c r="H186" s="37" t="n">
        <v>232705</v>
      </c>
      <c r="I186" s="37" t="n">
        <v>1217980898</v>
      </c>
      <c r="J186" s="37" t="n">
        <v>148487</v>
      </c>
      <c r="K186" s="37" t="n">
        <v>894479125</v>
      </c>
      <c r="L186" s="37" t="n">
        <v>58637</v>
      </c>
      <c r="M186" s="37" t="n">
        <v>356846091</v>
      </c>
      <c r="N186" s="37" t="n">
        <v>48778</v>
      </c>
      <c r="O186" s="37" t="n">
        <v>334814547</v>
      </c>
      <c r="P186" s="37" t="n">
        <v>25814</v>
      </c>
      <c r="Q186" s="37" t="n">
        <v>172939077</v>
      </c>
      <c r="R186" s="37" t="n">
        <v>119684</v>
      </c>
      <c r="S186" s="37" t="n">
        <v>1091089669</v>
      </c>
    </row>
    <row r="187">
      <c r="A187" s="37" t="inlineStr">
        <is>
          <t>106年</t>
        </is>
      </c>
      <c r="B187" s="37" t="inlineStr">
        <is>
          <t>02月</t>
        </is>
      </c>
      <c r="C187" s="36" t="inlineStr">
        <is>
          <t>住</t>
        </is>
      </c>
      <c r="D187" s="37" t="n">
        <v>951187</v>
      </c>
      <c r="E187" s="37" t="n">
        <v>3798223980</v>
      </c>
      <c r="F187" s="37" t="n">
        <v>497772</v>
      </c>
      <c r="G187" s="37" t="n">
        <v>2014817685</v>
      </c>
      <c r="H187" s="37" t="n">
        <v>205507</v>
      </c>
      <c r="I187" s="37" t="n">
        <v>905105018</v>
      </c>
      <c r="J187" s="37" t="n">
        <v>130948</v>
      </c>
      <c r="K187" s="37" t="n">
        <v>660556951</v>
      </c>
      <c r="L187" s="37" t="n">
        <v>52642</v>
      </c>
      <c r="M187" s="37" t="n">
        <v>268983564</v>
      </c>
      <c r="N187" s="37" t="n">
        <v>42921</v>
      </c>
      <c r="O187" s="37" t="n">
        <v>238331300</v>
      </c>
      <c r="P187" s="37" t="n">
        <v>22760</v>
      </c>
      <c r="Q187" s="37" t="n">
        <v>128539306</v>
      </c>
      <c r="R187" s="37" t="n">
        <v>106375</v>
      </c>
      <c r="S187" s="37" t="n">
        <v>809350017</v>
      </c>
    </row>
    <row r="188">
      <c r="A188" s="37" t="inlineStr">
        <is>
          <t>106年</t>
        </is>
      </c>
      <c r="B188" s="37" t="inlineStr">
        <is>
          <t>03月</t>
        </is>
      </c>
      <c r="C188" s="36" t="inlineStr">
        <is>
          <t>住</t>
        </is>
      </c>
      <c r="D188" s="37" t="n">
        <v>888850</v>
      </c>
      <c r="E188" s="37" t="n">
        <v>3670139103</v>
      </c>
      <c r="F188" s="37" t="n">
        <v>463331</v>
      </c>
      <c r="G188" s="37" t="n">
        <v>1962634009</v>
      </c>
      <c r="H188" s="37" t="n">
        <v>189848</v>
      </c>
      <c r="I188" s="37" t="n">
        <v>884480294</v>
      </c>
      <c r="J188" s="37" t="n">
        <v>121979</v>
      </c>
      <c r="K188" s="37" t="n">
        <v>678931393</v>
      </c>
      <c r="L188" s="37" t="n">
        <v>48257</v>
      </c>
      <c r="M188" s="37" t="n">
        <v>265541449</v>
      </c>
      <c r="N188" s="37" t="n">
        <v>39583</v>
      </c>
      <c r="O188" s="37" t="n">
        <v>243153686</v>
      </c>
      <c r="P188" s="37" t="n">
        <v>21918</v>
      </c>
      <c r="Q188" s="37" t="n">
        <v>131097118</v>
      </c>
      <c r="R188" s="37" t="n">
        <v>104373</v>
      </c>
      <c r="S188" s="37" t="n">
        <v>835072938</v>
      </c>
    </row>
    <row r="189">
      <c r="A189" s="37" t="inlineStr">
        <is>
          <t>106年</t>
        </is>
      </c>
      <c r="B189" s="37" t="inlineStr">
        <is>
          <t>04月</t>
        </is>
      </c>
      <c r="C189" s="36" t="inlineStr">
        <is>
          <t>住</t>
        </is>
      </c>
      <c r="D189" s="37" t="n">
        <v>959345</v>
      </c>
      <c r="E189" s="37" t="n">
        <v>4471189076</v>
      </c>
      <c r="F189" s="37" t="n">
        <v>508788</v>
      </c>
      <c r="G189" s="37" t="n">
        <v>2431431566</v>
      </c>
      <c r="H189" s="37" t="n">
        <v>209024</v>
      </c>
      <c r="I189" s="37" t="n">
        <v>1075522339</v>
      </c>
      <c r="J189" s="37" t="n">
        <v>130864</v>
      </c>
      <c r="K189" s="37" t="n">
        <v>772862157</v>
      </c>
      <c r="L189" s="37" t="n">
        <v>52346</v>
      </c>
      <c r="M189" s="37" t="n">
        <v>311956168</v>
      </c>
      <c r="N189" s="37" t="n">
        <v>42581</v>
      </c>
      <c r="O189" s="37" t="n">
        <v>276546765</v>
      </c>
      <c r="P189" s="37" t="n">
        <v>23311</v>
      </c>
      <c r="Q189" s="37" t="n">
        <v>153385986</v>
      </c>
      <c r="R189" s="37" t="n">
        <v>108909</v>
      </c>
      <c r="S189" s="37" t="n">
        <v>891779225</v>
      </c>
    </row>
    <row r="190">
      <c r="A190" s="37" t="inlineStr">
        <is>
          <t>106年</t>
        </is>
      </c>
      <c r="B190" s="37" t="inlineStr">
        <is>
          <t>05月</t>
        </is>
      </c>
      <c r="C190" s="36" t="inlineStr">
        <is>
          <t>住</t>
        </is>
      </c>
      <c r="D190" s="37" t="n">
        <v>939931</v>
      </c>
      <c r="E190" s="37" t="n">
        <v>4191169582</v>
      </c>
      <c r="F190" s="37" t="n">
        <v>495326</v>
      </c>
      <c r="G190" s="37" t="n">
        <v>2291708856</v>
      </c>
      <c r="H190" s="37" t="n">
        <v>202745</v>
      </c>
      <c r="I190" s="37" t="n">
        <v>992280984</v>
      </c>
      <c r="J190" s="37" t="n">
        <v>127919</v>
      </c>
      <c r="K190" s="37" t="n">
        <v>743003319</v>
      </c>
      <c r="L190" s="37" t="n">
        <v>50725</v>
      </c>
      <c r="M190" s="37" t="n">
        <v>286460545</v>
      </c>
      <c r="N190" s="37" t="n">
        <v>42332</v>
      </c>
      <c r="O190" s="37" t="n">
        <v>270835437</v>
      </c>
      <c r="P190" s="37" t="n">
        <v>23057</v>
      </c>
      <c r="Q190" s="37" t="n">
        <v>149403640</v>
      </c>
      <c r="R190" s="37" t="n">
        <v>108671</v>
      </c>
      <c r="S190" s="37" t="n">
        <v>910617083</v>
      </c>
    </row>
    <row r="191">
      <c r="A191" s="37" t="inlineStr">
        <is>
          <t>106年</t>
        </is>
      </c>
      <c r="B191" s="37" t="inlineStr">
        <is>
          <t>06月</t>
        </is>
      </c>
      <c r="C191" s="36" t="inlineStr">
        <is>
          <t>住</t>
        </is>
      </c>
      <c r="D191" s="37" t="n">
        <v>890132</v>
      </c>
      <c r="E191" s="37" t="n">
        <v>4147843922</v>
      </c>
      <c r="F191" s="37" t="n">
        <v>462217</v>
      </c>
      <c r="G191" s="37" t="n">
        <v>2204578151</v>
      </c>
      <c r="H191" s="37" t="n">
        <v>188139</v>
      </c>
      <c r="I191" s="37" t="n">
        <v>957553364</v>
      </c>
      <c r="J191" s="37" t="n">
        <v>120267</v>
      </c>
      <c r="K191" s="37" t="n">
        <v>712921373</v>
      </c>
      <c r="L191" s="37" t="n">
        <v>47246</v>
      </c>
      <c r="M191" s="37" t="n">
        <v>273170657</v>
      </c>
      <c r="N191" s="37" t="n">
        <v>39086</v>
      </c>
      <c r="O191" s="37" t="n">
        <v>244669010</v>
      </c>
      <c r="P191" s="37" t="n">
        <v>21175</v>
      </c>
      <c r="Q191" s="37" t="n">
        <v>134732300</v>
      </c>
      <c r="R191" s="37" t="n">
        <v>101971</v>
      </c>
      <c r="S191" s="37" t="n">
        <v>840342217</v>
      </c>
    </row>
    <row r="192">
      <c r="A192" s="37" t="inlineStr">
        <is>
          <t>106年</t>
        </is>
      </c>
      <c r="B192" s="37" t="inlineStr">
        <is>
          <t>07月</t>
        </is>
      </c>
      <c r="C192" s="36" t="inlineStr">
        <is>
          <t>住</t>
        </is>
      </c>
      <c r="D192" s="37" t="n">
        <v>1063348</v>
      </c>
      <c r="E192" s="37" t="n">
        <v>4938823111</v>
      </c>
      <c r="F192" s="37" t="n">
        <v>576383</v>
      </c>
      <c r="G192" s="37" t="n">
        <v>2765870361</v>
      </c>
      <c r="H192" s="37" t="n">
        <v>233880</v>
      </c>
      <c r="I192" s="37" t="n">
        <v>1171311729</v>
      </c>
      <c r="J192" s="37" t="n">
        <v>146032</v>
      </c>
      <c r="K192" s="37" t="n">
        <v>830074900</v>
      </c>
      <c r="L192" s="37" t="n">
        <v>56626</v>
      </c>
      <c r="M192" s="37" t="n">
        <v>319382268</v>
      </c>
      <c r="N192" s="37" t="n">
        <v>45854</v>
      </c>
      <c r="O192" s="37" t="n">
        <v>289238163</v>
      </c>
      <c r="P192" s="37" t="n">
        <v>25281</v>
      </c>
      <c r="Q192" s="37" t="n">
        <v>156039246</v>
      </c>
      <c r="R192" s="37" t="n">
        <v>118401</v>
      </c>
      <c r="S192" s="37" t="n">
        <v>943132026</v>
      </c>
    </row>
    <row r="193">
      <c r="A193" s="37" t="inlineStr">
        <is>
          <t>106年</t>
        </is>
      </c>
      <c r="B193" s="37" t="inlineStr">
        <is>
          <t>08月</t>
        </is>
      </c>
      <c r="C193" s="36" t="inlineStr">
        <is>
          <t>住</t>
        </is>
      </c>
      <c r="D193" s="37" t="n">
        <v>1075613</v>
      </c>
      <c r="E193" s="37" t="n">
        <v>4720572350</v>
      </c>
      <c r="F193" s="37" t="n">
        <v>582311</v>
      </c>
      <c r="G193" s="37" t="n">
        <v>2594568111</v>
      </c>
      <c r="H193" s="37" t="n">
        <v>238044</v>
      </c>
      <c r="I193" s="37" t="n">
        <v>1150091194</v>
      </c>
      <c r="J193" s="37" t="n">
        <v>146714</v>
      </c>
      <c r="K193" s="37" t="n">
        <v>802428132</v>
      </c>
      <c r="L193" s="37" t="n">
        <v>56894</v>
      </c>
      <c r="M193" s="37" t="n">
        <v>316019102</v>
      </c>
      <c r="N193" s="37" t="n">
        <v>46764</v>
      </c>
      <c r="O193" s="37" t="n">
        <v>288360165</v>
      </c>
      <c r="P193" s="37" t="n">
        <v>25770</v>
      </c>
      <c r="Q193" s="37" t="n">
        <v>151341575</v>
      </c>
      <c r="R193" s="37" t="n">
        <v>121103</v>
      </c>
      <c r="S193" s="37" t="n">
        <v>930056008</v>
      </c>
    </row>
    <row r="194">
      <c r="A194" s="37" t="inlineStr">
        <is>
          <t>106年</t>
        </is>
      </c>
      <c r="B194" s="37" t="inlineStr">
        <is>
          <t>09月</t>
        </is>
      </c>
      <c r="C194" s="36" t="inlineStr">
        <is>
          <t>住</t>
        </is>
      </c>
      <c r="D194" s="37" t="n">
        <v>932506</v>
      </c>
      <c r="E194" s="37" t="n">
        <v>4075690237</v>
      </c>
      <c r="F194" s="37" t="n">
        <v>490174</v>
      </c>
      <c r="G194" s="37" t="n">
        <v>2202019118</v>
      </c>
      <c r="H194" s="37" t="n">
        <v>197535</v>
      </c>
      <c r="I194" s="37" t="n">
        <v>968412775</v>
      </c>
      <c r="J194" s="37" t="n">
        <v>125679</v>
      </c>
      <c r="K194" s="37" t="n">
        <v>718455575</v>
      </c>
      <c r="L194" s="37" t="n">
        <v>49624</v>
      </c>
      <c r="M194" s="37" t="n">
        <v>276928992</v>
      </c>
      <c r="N194" s="37" t="n">
        <v>40670</v>
      </c>
      <c r="O194" s="37" t="n">
        <v>254509514</v>
      </c>
      <c r="P194" s="37" t="n">
        <v>22780</v>
      </c>
      <c r="Q194" s="37" t="n">
        <v>142368704</v>
      </c>
      <c r="R194" s="37" t="n">
        <v>105669</v>
      </c>
      <c r="S194" s="37" t="n">
        <v>843223817</v>
      </c>
    </row>
    <row r="195">
      <c r="A195" s="37" t="inlineStr">
        <is>
          <t>106年</t>
        </is>
      </c>
      <c r="B195" s="37" t="inlineStr">
        <is>
          <t>10月</t>
        </is>
      </c>
      <c r="C195" s="36" t="inlineStr">
        <is>
          <t>住</t>
        </is>
      </c>
      <c r="D195" s="37" t="n">
        <v>1023667</v>
      </c>
      <c r="E195" s="37" t="n">
        <v>4670998282</v>
      </c>
      <c r="F195" s="37" t="n">
        <v>559019</v>
      </c>
      <c r="G195" s="37" t="n">
        <v>2627732336</v>
      </c>
      <c r="H195" s="37" t="n">
        <v>226260</v>
      </c>
      <c r="I195" s="37" t="n">
        <v>1163571193</v>
      </c>
      <c r="J195" s="37" t="n">
        <v>143100</v>
      </c>
      <c r="K195" s="37" t="n">
        <v>875026363</v>
      </c>
      <c r="L195" s="37" t="n">
        <v>55705</v>
      </c>
      <c r="M195" s="37" t="n">
        <v>341668648</v>
      </c>
      <c r="N195" s="37" t="n">
        <v>46856</v>
      </c>
      <c r="O195" s="37" t="n">
        <v>317097689</v>
      </c>
      <c r="P195" s="37" t="n">
        <v>25531</v>
      </c>
      <c r="Q195" s="37" t="n">
        <v>168990861</v>
      </c>
      <c r="R195" s="37" t="n">
        <v>118977</v>
      </c>
      <c r="S195" s="37" t="n">
        <v>1009393658</v>
      </c>
    </row>
    <row r="196">
      <c r="A196" s="37" t="inlineStr">
        <is>
          <t>106年</t>
        </is>
      </c>
      <c r="B196" s="37" t="inlineStr">
        <is>
          <t>11月</t>
        </is>
      </c>
      <c r="C196" s="36" t="inlineStr">
        <is>
          <t>住</t>
        </is>
      </c>
      <c r="D196" s="37" t="n">
        <v>1004871</v>
      </c>
      <c r="E196" s="37" t="n">
        <v>4508346391</v>
      </c>
      <c r="F196" s="37" t="n">
        <v>550067</v>
      </c>
      <c r="G196" s="37" t="n">
        <v>2555537276</v>
      </c>
      <c r="H196" s="37" t="n">
        <v>220763</v>
      </c>
      <c r="I196" s="37" t="n">
        <v>1133136546</v>
      </c>
      <c r="J196" s="37" t="n">
        <v>138342</v>
      </c>
      <c r="K196" s="37" t="n">
        <v>835244592</v>
      </c>
      <c r="L196" s="37" t="n">
        <v>53835</v>
      </c>
      <c r="M196" s="37" t="n">
        <v>333231645</v>
      </c>
      <c r="N196" s="37" t="n">
        <v>44804</v>
      </c>
      <c r="O196" s="37" t="n">
        <v>316135746</v>
      </c>
      <c r="P196" s="37" t="n">
        <v>24565</v>
      </c>
      <c r="Q196" s="37" t="n">
        <v>172544980</v>
      </c>
      <c r="R196" s="37" t="n">
        <v>114399</v>
      </c>
      <c r="S196" s="37" t="n">
        <v>1057120473</v>
      </c>
    </row>
    <row r="197">
      <c r="A197" s="37" t="inlineStr">
        <is>
          <t>106年</t>
        </is>
      </c>
      <c r="B197" s="37" t="inlineStr">
        <is>
          <t>12月</t>
        </is>
      </c>
      <c r="C197" s="36" t="inlineStr">
        <is>
          <t>住</t>
        </is>
      </c>
      <c r="D197" s="37" t="n">
        <v>1085554</v>
      </c>
      <c r="E197" s="37" t="n">
        <v>4710192747</v>
      </c>
      <c r="F197" s="37" t="n">
        <v>582785</v>
      </c>
      <c r="G197" s="37" t="n">
        <v>2589572122</v>
      </c>
      <c r="H197" s="37" t="n">
        <v>238039</v>
      </c>
      <c r="I197" s="37" t="n">
        <v>1194468753</v>
      </c>
      <c r="J197" s="37" t="n">
        <v>151005</v>
      </c>
      <c r="K197" s="37" t="n">
        <v>890494029</v>
      </c>
      <c r="L197" s="37" t="n">
        <v>59134</v>
      </c>
      <c r="M197" s="37" t="n">
        <v>364277934</v>
      </c>
      <c r="N197" s="37" t="n">
        <v>48774</v>
      </c>
      <c r="O197" s="37" t="n">
        <v>335211818</v>
      </c>
      <c r="P197" s="37" t="n">
        <v>27170</v>
      </c>
      <c r="Q197" s="37" t="n">
        <v>184205061</v>
      </c>
      <c r="R197" s="37" t="n">
        <v>126126</v>
      </c>
      <c r="S197" s="37" t="n">
        <v>1129589311</v>
      </c>
    </row>
    <row r="198">
      <c r="A198" s="37" t="inlineStr">
        <is>
          <t>107年</t>
        </is>
      </c>
      <c r="B198" s="37" t="inlineStr">
        <is>
          <t>01月</t>
        </is>
      </c>
      <c r="C198" s="36" t="inlineStr">
        <is>
          <t>住</t>
        </is>
      </c>
      <c r="D198" s="37" t="n">
        <v>963364</v>
      </c>
      <c r="E198" s="37" t="n">
        <v>4354929743</v>
      </c>
      <c r="F198" s="37" t="n">
        <v>504158</v>
      </c>
      <c r="G198" s="37" t="n">
        <v>2393792944</v>
      </c>
      <c r="H198" s="37" t="n">
        <v>207958</v>
      </c>
      <c r="I198" s="37" t="n">
        <v>1086068995</v>
      </c>
      <c r="J198" s="37" t="n">
        <v>130766</v>
      </c>
      <c r="K198" s="37" t="n">
        <v>787681176</v>
      </c>
      <c r="L198" s="37" t="n">
        <v>51348</v>
      </c>
      <c r="M198" s="37" t="n">
        <v>317748781</v>
      </c>
      <c r="N198" s="37" t="n">
        <v>42921</v>
      </c>
      <c r="O198" s="37" t="n">
        <v>302436835</v>
      </c>
      <c r="P198" s="37" t="n">
        <v>23244</v>
      </c>
      <c r="Q198" s="37" t="n">
        <v>155168753</v>
      </c>
      <c r="R198" s="37" t="n">
        <v>107890</v>
      </c>
      <c r="S198" s="37" t="n">
        <v>979218884</v>
      </c>
    </row>
    <row r="199">
      <c r="A199" s="37" t="inlineStr">
        <is>
          <t>107年</t>
        </is>
      </c>
      <c r="B199" s="37" t="inlineStr">
        <is>
          <t>02月</t>
        </is>
      </c>
      <c r="C199" s="36" t="inlineStr">
        <is>
          <t>住</t>
        </is>
      </c>
      <c r="D199" s="37" t="n">
        <v>1039203</v>
      </c>
      <c r="E199" s="37" t="n">
        <v>4537535471</v>
      </c>
      <c r="F199" s="37" t="n">
        <v>554396</v>
      </c>
      <c r="G199" s="37" t="n">
        <v>2494133147</v>
      </c>
      <c r="H199" s="37" t="n">
        <v>228707</v>
      </c>
      <c r="I199" s="37" t="n">
        <v>1123299038</v>
      </c>
      <c r="J199" s="37" t="n">
        <v>144450</v>
      </c>
      <c r="K199" s="37" t="n">
        <v>811365515</v>
      </c>
      <c r="L199" s="37" t="n">
        <v>55471</v>
      </c>
      <c r="M199" s="37" t="n">
        <v>320713648</v>
      </c>
      <c r="N199" s="37" t="n">
        <v>45708</v>
      </c>
      <c r="O199" s="37" t="n">
        <v>284620453</v>
      </c>
      <c r="P199" s="37" t="n">
        <v>25589</v>
      </c>
      <c r="Q199" s="37" t="n">
        <v>162363387</v>
      </c>
      <c r="R199" s="37" t="n">
        <v>115225</v>
      </c>
      <c r="S199" s="37" t="n">
        <v>973328025</v>
      </c>
    </row>
    <row r="200">
      <c r="A200" s="37" t="inlineStr">
        <is>
          <t>107年</t>
        </is>
      </c>
      <c r="B200" s="37" t="inlineStr">
        <is>
          <t>03月</t>
        </is>
      </c>
      <c r="C200" s="36" t="inlineStr">
        <is>
          <t>住</t>
        </is>
      </c>
      <c r="D200" s="37" t="n">
        <v>959855</v>
      </c>
      <c r="E200" s="37" t="n">
        <v>3983456170</v>
      </c>
      <c r="F200" s="37" t="n">
        <v>492061</v>
      </c>
      <c r="G200" s="37" t="n">
        <v>2153717892</v>
      </c>
      <c r="H200" s="37" t="n">
        <v>200625</v>
      </c>
      <c r="I200" s="37" t="n">
        <v>964502665</v>
      </c>
      <c r="J200" s="37" t="n">
        <v>127021</v>
      </c>
      <c r="K200" s="37" t="n">
        <v>712047408</v>
      </c>
      <c r="L200" s="37" t="n">
        <v>50118</v>
      </c>
      <c r="M200" s="37" t="n">
        <v>285199228</v>
      </c>
      <c r="N200" s="37" t="n">
        <v>41493</v>
      </c>
      <c r="O200" s="37" t="n">
        <v>263421022</v>
      </c>
      <c r="P200" s="37" t="n">
        <v>23191</v>
      </c>
      <c r="Q200" s="37" t="n">
        <v>148053793</v>
      </c>
      <c r="R200" s="37" t="n">
        <v>107570</v>
      </c>
      <c r="S200" s="37" t="n">
        <v>886300767</v>
      </c>
    </row>
    <row r="201">
      <c r="A201" s="37" t="inlineStr">
        <is>
          <t>107年</t>
        </is>
      </c>
      <c r="B201" s="37" t="inlineStr">
        <is>
          <t>04月</t>
        </is>
      </c>
      <c r="C201" s="36" t="inlineStr">
        <is>
          <t>住</t>
        </is>
      </c>
      <c r="D201" s="37" t="n">
        <v>1007166</v>
      </c>
      <c r="E201" s="37" t="n">
        <v>4723181104</v>
      </c>
      <c r="F201" s="37" t="n">
        <v>532813</v>
      </c>
      <c r="G201" s="37" t="n">
        <v>2593180897</v>
      </c>
      <c r="H201" s="37" t="n">
        <v>216927</v>
      </c>
      <c r="I201" s="37" t="n">
        <v>1142873142</v>
      </c>
      <c r="J201" s="37" t="n">
        <v>135911</v>
      </c>
      <c r="K201" s="37" t="n">
        <v>797367773</v>
      </c>
      <c r="L201" s="37" t="n">
        <v>53822</v>
      </c>
      <c r="M201" s="37" t="n">
        <v>329256315</v>
      </c>
      <c r="N201" s="37" t="n">
        <v>44446</v>
      </c>
      <c r="O201" s="37" t="n">
        <v>297713069</v>
      </c>
      <c r="P201" s="37" t="n">
        <v>24447</v>
      </c>
      <c r="Q201" s="37" t="n">
        <v>159257104</v>
      </c>
      <c r="R201" s="37" t="n">
        <v>110736</v>
      </c>
      <c r="S201" s="37" t="n">
        <v>911064523</v>
      </c>
    </row>
    <row r="202">
      <c r="A202" s="37" t="inlineStr">
        <is>
          <t>107年</t>
        </is>
      </c>
      <c r="B202" s="37" t="inlineStr">
        <is>
          <t>05月</t>
        </is>
      </c>
      <c r="C202" s="36" t="inlineStr">
        <is>
          <t>住</t>
        </is>
      </c>
      <c r="D202" s="37" t="n">
        <v>987988</v>
      </c>
      <c r="E202" s="37" t="n">
        <v>4652776081</v>
      </c>
      <c r="F202" s="37" t="n">
        <v>506704</v>
      </c>
      <c r="G202" s="37" t="n">
        <v>2471978387</v>
      </c>
      <c r="H202" s="37" t="n">
        <v>207403</v>
      </c>
      <c r="I202" s="37" t="n">
        <v>1099524924</v>
      </c>
      <c r="J202" s="37" t="n">
        <v>130888</v>
      </c>
      <c r="K202" s="37" t="n">
        <v>775331394</v>
      </c>
      <c r="L202" s="37" t="n">
        <v>52379</v>
      </c>
      <c r="M202" s="37" t="n">
        <v>327094132</v>
      </c>
      <c r="N202" s="37" t="n">
        <v>43049</v>
      </c>
      <c r="O202" s="37" t="n">
        <v>287123544</v>
      </c>
      <c r="P202" s="37" t="n">
        <v>23962</v>
      </c>
      <c r="Q202" s="37" t="n">
        <v>156626498</v>
      </c>
      <c r="R202" s="37" t="n">
        <v>109822</v>
      </c>
      <c r="S202" s="37" t="n">
        <v>937747235</v>
      </c>
    </row>
    <row r="203">
      <c r="A203" s="37" t="inlineStr">
        <is>
          <t>107年</t>
        </is>
      </c>
      <c r="B203" s="37" t="inlineStr">
        <is>
          <t>06月</t>
        </is>
      </c>
      <c r="C203" s="36" t="inlineStr">
        <is>
          <t>住</t>
        </is>
      </c>
      <c r="D203" s="37" t="n">
        <v>997461</v>
      </c>
      <c r="E203" s="37" t="n">
        <v>4357559657</v>
      </c>
      <c r="F203" s="37" t="n">
        <v>514173</v>
      </c>
      <c r="G203" s="37" t="n">
        <v>2355037416</v>
      </c>
      <c r="H203" s="37" t="n">
        <v>211681</v>
      </c>
      <c r="I203" s="37" t="n">
        <v>1064779956</v>
      </c>
      <c r="J203" s="37" t="n">
        <v>131855</v>
      </c>
      <c r="K203" s="37" t="n">
        <v>743346294</v>
      </c>
      <c r="L203" s="37" t="n">
        <v>52677</v>
      </c>
      <c r="M203" s="37" t="n">
        <v>311493567</v>
      </c>
      <c r="N203" s="37" t="n">
        <v>43166</v>
      </c>
      <c r="O203" s="37" t="n">
        <v>275097696</v>
      </c>
      <c r="P203" s="37" t="n">
        <v>24806</v>
      </c>
      <c r="Q203" s="37" t="n">
        <v>155264364</v>
      </c>
      <c r="R203" s="37" t="n">
        <v>110242</v>
      </c>
      <c r="S203" s="37" t="n">
        <v>899521088</v>
      </c>
    </row>
    <row r="204">
      <c r="A204" s="37" t="inlineStr">
        <is>
          <t>107年</t>
        </is>
      </c>
      <c r="B204" s="37" t="inlineStr">
        <is>
          <t>07月</t>
        </is>
      </c>
      <c r="C204" s="36" t="inlineStr">
        <is>
          <t>住</t>
        </is>
      </c>
      <c r="D204" s="37" t="n">
        <v>1152744</v>
      </c>
      <c r="E204" s="37" t="n">
        <v>4883561507</v>
      </c>
      <c r="F204" s="37" t="n">
        <v>616314</v>
      </c>
      <c r="G204" s="37" t="n">
        <v>2737312153</v>
      </c>
      <c r="H204" s="37" t="n">
        <v>257505</v>
      </c>
      <c r="I204" s="37" t="n">
        <v>1233017792</v>
      </c>
      <c r="J204" s="37" t="n">
        <v>154876</v>
      </c>
      <c r="K204" s="37" t="n">
        <v>845601745</v>
      </c>
      <c r="L204" s="37" t="n">
        <v>60786</v>
      </c>
      <c r="M204" s="37" t="n">
        <v>348125343</v>
      </c>
      <c r="N204" s="37" t="n">
        <v>48482</v>
      </c>
      <c r="O204" s="37" t="n">
        <v>298804862</v>
      </c>
      <c r="P204" s="37" t="n">
        <v>27777</v>
      </c>
      <c r="Q204" s="37" t="n">
        <v>175729598</v>
      </c>
      <c r="R204" s="37" t="n">
        <v>121450</v>
      </c>
      <c r="S204" s="37" t="n">
        <v>960346668</v>
      </c>
    </row>
    <row r="205">
      <c r="A205" s="37" t="inlineStr">
        <is>
          <t>107年</t>
        </is>
      </c>
      <c r="B205" s="37" t="inlineStr">
        <is>
          <t>08月</t>
        </is>
      </c>
      <c r="C205" s="36" t="inlineStr">
        <is>
          <t>住</t>
        </is>
      </c>
      <c r="D205" s="37" t="n">
        <v>1122933</v>
      </c>
      <c r="E205" s="37" t="n">
        <v>4389566653</v>
      </c>
      <c r="F205" s="37" t="n">
        <v>590336</v>
      </c>
      <c r="G205" s="37" t="n">
        <v>2455045572</v>
      </c>
      <c r="H205" s="37" t="n">
        <v>243894</v>
      </c>
      <c r="I205" s="37" t="n">
        <v>1098886537</v>
      </c>
      <c r="J205" s="37" t="n">
        <v>145332</v>
      </c>
      <c r="K205" s="37" t="n">
        <v>747773341</v>
      </c>
      <c r="L205" s="37" t="n">
        <v>58092</v>
      </c>
      <c r="M205" s="37" t="n">
        <v>317580641</v>
      </c>
      <c r="N205" s="37" t="n">
        <v>46362</v>
      </c>
      <c r="O205" s="37" t="n">
        <v>268788103</v>
      </c>
      <c r="P205" s="37" t="n">
        <v>27069</v>
      </c>
      <c r="Q205" s="37" t="n">
        <v>160038499</v>
      </c>
      <c r="R205" s="37" t="n">
        <v>117505</v>
      </c>
      <c r="S205" s="37" t="n">
        <v>863370868</v>
      </c>
    </row>
    <row r="206">
      <c r="A206" s="37" t="inlineStr">
        <is>
          <t>107年</t>
        </is>
      </c>
      <c r="B206" s="37" t="inlineStr">
        <is>
          <t>09月</t>
        </is>
      </c>
      <c r="C206" s="36" t="inlineStr">
        <is>
          <t>住</t>
        </is>
      </c>
      <c r="D206" s="37" t="n">
        <v>1145514</v>
      </c>
      <c r="E206" s="37" t="n">
        <v>4404385122</v>
      </c>
      <c r="F206" s="37" t="n">
        <v>573302</v>
      </c>
      <c r="G206" s="37" t="n">
        <v>2406153968</v>
      </c>
      <c r="H206" s="37" t="n">
        <v>231455</v>
      </c>
      <c r="I206" s="37" t="n">
        <v>1079372699</v>
      </c>
      <c r="J206" s="37" t="n">
        <v>138510</v>
      </c>
      <c r="K206" s="37" t="n">
        <v>739952960</v>
      </c>
      <c r="L206" s="37" t="n">
        <v>55914</v>
      </c>
      <c r="M206" s="37" t="n">
        <v>307620188</v>
      </c>
      <c r="N206" s="37" t="n">
        <v>45043</v>
      </c>
      <c r="O206" s="37" t="n">
        <v>277882537</v>
      </c>
      <c r="P206" s="37" t="n">
        <v>26267</v>
      </c>
      <c r="Q206" s="37" t="n">
        <v>160831422</v>
      </c>
      <c r="R206" s="37" t="n">
        <v>110886</v>
      </c>
      <c r="S206" s="37" t="n">
        <v>844159120</v>
      </c>
    </row>
    <row r="207">
      <c r="A207" s="37" t="inlineStr">
        <is>
          <t>107年</t>
        </is>
      </c>
      <c r="B207" s="37" t="inlineStr">
        <is>
          <t>10月</t>
        </is>
      </c>
      <c r="C207" s="36" t="inlineStr">
        <is>
          <t>住</t>
        </is>
      </c>
      <c r="D207" s="37" t="n">
        <v>1000671</v>
      </c>
      <c r="E207" s="37" t="n">
        <v>3759165747</v>
      </c>
      <c r="F207" s="37" t="n">
        <v>506784</v>
      </c>
      <c r="G207" s="37" t="n">
        <v>2090401994</v>
      </c>
      <c r="H207" s="37" t="n">
        <v>201733</v>
      </c>
      <c r="I207" s="37" t="n">
        <v>932264884</v>
      </c>
      <c r="J207" s="37" t="n">
        <v>118974</v>
      </c>
      <c r="K207" s="37" t="n">
        <v>651268480</v>
      </c>
      <c r="L207" s="37" t="n">
        <v>48558</v>
      </c>
      <c r="M207" s="37" t="n">
        <v>268659992</v>
      </c>
      <c r="N207" s="37" t="n">
        <v>37446</v>
      </c>
      <c r="O207" s="37" t="n">
        <v>241986084</v>
      </c>
      <c r="P207" s="37" t="n">
        <v>22411</v>
      </c>
      <c r="Q207" s="37" t="n">
        <v>138016892</v>
      </c>
      <c r="R207" s="37" t="n">
        <v>93106</v>
      </c>
      <c r="S207" s="37" t="n">
        <v>737661204</v>
      </c>
    </row>
    <row r="208">
      <c r="A208" s="37" t="inlineStr">
        <is>
          <t>107年</t>
        </is>
      </c>
      <c r="B208" s="37" t="inlineStr">
        <is>
          <t>11月</t>
        </is>
      </c>
      <c r="C208" s="36" t="inlineStr">
        <is>
          <t>住</t>
        </is>
      </c>
      <c r="D208" s="37" t="n">
        <v>1248356</v>
      </c>
      <c r="E208" s="37" t="n">
        <v>5050306512</v>
      </c>
      <c r="F208" s="37" t="n">
        <v>636961</v>
      </c>
      <c r="G208" s="37" t="n">
        <v>2788140524</v>
      </c>
      <c r="H208" s="37" t="n">
        <v>255305</v>
      </c>
      <c r="I208" s="37" t="n">
        <v>1257477334</v>
      </c>
      <c r="J208" s="37" t="n">
        <v>149771</v>
      </c>
      <c r="K208" s="37" t="n">
        <v>880878440</v>
      </c>
      <c r="L208" s="37" t="n">
        <v>60712</v>
      </c>
      <c r="M208" s="37" t="n">
        <v>382634575</v>
      </c>
      <c r="N208" s="37" t="n">
        <v>48625</v>
      </c>
      <c r="O208" s="37" t="n">
        <v>325835374</v>
      </c>
      <c r="P208" s="37" t="n">
        <v>28362</v>
      </c>
      <c r="Q208" s="37" t="n">
        <v>183604953</v>
      </c>
      <c r="R208" s="37" t="n">
        <v>120160</v>
      </c>
      <c r="S208" s="37" t="n">
        <v>1012574666</v>
      </c>
    </row>
    <row r="209">
      <c r="A209" s="37" t="inlineStr">
        <is>
          <t>107年</t>
        </is>
      </c>
      <c r="B209" s="37" t="inlineStr">
        <is>
          <t>12月</t>
        </is>
      </c>
      <c r="C209" s="36" t="inlineStr">
        <is>
          <t>住</t>
        </is>
      </c>
      <c r="D209" s="37" t="n">
        <v>1385744</v>
      </c>
      <c r="E209" s="37" t="n">
        <v>5200613194</v>
      </c>
      <c r="F209" s="37" t="n">
        <v>692245</v>
      </c>
      <c r="G209" s="37" t="n">
        <v>2796698873</v>
      </c>
      <c r="H209" s="37" t="n">
        <v>279825</v>
      </c>
      <c r="I209" s="37" t="n">
        <v>1287642253</v>
      </c>
      <c r="J209" s="37" t="n">
        <v>167494</v>
      </c>
      <c r="K209" s="37" t="n">
        <v>899860168</v>
      </c>
      <c r="L209" s="37" t="n">
        <v>67876</v>
      </c>
      <c r="M209" s="37" t="n">
        <v>384722524</v>
      </c>
      <c r="N209" s="37" t="n">
        <v>54414</v>
      </c>
      <c r="O209" s="37" t="n">
        <v>338269868</v>
      </c>
      <c r="P209" s="37" t="n">
        <v>31903</v>
      </c>
      <c r="Q209" s="37" t="n">
        <v>204775883</v>
      </c>
      <c r="R209" s="37" t="n">
        <v>136290</v>
      </c>
      <c r="S209" s="37" t="n">
        <v>1119505882</v>
      </c>
    </row>
    <row r="210">
      <c r="A210" s="37" t="inlineStr">
        <is>
          <t>108年</t>
        </is>
      </c>
      <c r="B210" s="37" t="inlineStr">
        <is>
          <t>01月</t>
        </is>
      </c>
      <c r="C210" s="36" t="inlineStr">
        <is>
          <t>住</t>
        </is>
      </c>
      <c r="D210" s="37" t="n">
        <v>1317656</v>
      </c>
      <c r="E210" s="37" t="n">
        <v>5212203523</v>
      </c>
      <c r="F210" s="37" t="n">
        <v>667883</v>
      </c>
      <c r="G210" s="37" t="n">
        <v>2909764535</v>
      </c>
      <c r="H210" s="37" t="n">
        <v>272542</v>
      </c>
      <c r="I210" s="37" t="n">
        <v>1303325013</v>
      </c>
      <c r="J210" s="37" t="n">
        <v>159815</v>
      </c>
      <c r="K210" s="37" t="n">
        <v>886340489</v>
      </c>
      <c r="L210" s="37" t="n">
        <v>64145</v>
      </c>
      <c r="M210" s="37" t="n">
        <v>371747412</v>
      </c>
      <c r="N210" s="37" t="n">
        <v>51162</v>
      </c>
      <c r="O210" s="37" t="n">
        <v>333803655</v>
      </c>
      <c r="P210" s="37" t="n">
        <v>29316</v>
      </c>
      <c r="Q210" s="37" t="n">
        <v>195385895</v>
      </c>
      <c r="R210" s="37" t="n">
        <v>124947</v>
      </c>
      <c r="S210" s="37" t="n">
        <v>1041193518</v>
      </c>
    </row>
    <row r="211">
      <c r="A211" s="37" t="inlineStr">
        <is>
          <t>108年</t>
        </is>
      </c>
      <c r="B211" s="37" t="inlineStr">
        <is>
          <t>02月</t>
        </is>
      </c>
      <c r="C211" s="36" t="inlineStr">
        <is>
          <t>住</t>
        </is>
      </c>
      <c r="D211" s="37" t="n">
        <v>1010929</v>
      </c>
      <c r="E211" s="37" t="n">
        <v>3813867379</v>
      </c>
      <c r="F211" s="37" t="n">
        <v>524275</v>
      </c>
      <c r="G211" s="37" t="n">
        <v>2107315618</v>
      </c>
      <c r="H211" s="37" t="n">
        <v>210487</v>
      </c>
      <c r="I211" s="37" t="n">
        <v>933936281</v>
      </c>
      <c r="J211" s="37" t="n">
        <v>123543</v>
      </c>
      <c r="K211" s="37" t="n">
        <v>624868481</v>
      </c>
      <c r="L211" s="37" t="n">
        <v>50425</v>
      </c>
      <c r="M211" s="37" t="n">
        <v>260889695</v>
      </c>
      <c r="N211" s="37" t="n">
        <v>41207</v>
      </c>
      <c r="O211" s="37" t="n">
        <v>232329172</v>
      </c>
      <c r="P211" s="37" t="n">
        <v>23190</v>
      </c>
      <c r="Q211" s="37" t="n">
        <v>136328679</v>
      </c>
      <c r="R211" s="37" t="n">
        <v>100230</v>
      </c>
      <c r="S211" s="37" t="n">
        <v>734698790</v>
      </c>
    </row>
    <row r="212">
      <c r="A212" s="37" t="inlineStr">
        <is>
          <t>108年</t>
        </is>
      </c>
      <c r="B212" s="37" t="inlineStr">
        <is>
          <t>03月</t>
        </is>
      </c>
      <c r="C212" s="36" t="inlineStr">
        <is>
          <t>住</t>
        </is>
      </c>
      <c r="D212" s="37" t="n">
        <v>1169974</v>
      </c>
      <c r="E212" s="37" t="n">
        <v>4388887462</v>
      </c>
      <c r="F212" s="37" t="n">
        <v>571652</v>
      </c>
      <c r="G212" s="37" t="n">
        <v>2366345155</v>
      </c>
      <c r="H212" s="37" t="n">
        <v>231219</v>
      </c>
      <c r="I212" s="37" t="n">
        <v>1070713638</v>
      </c>
      <c r="J212" s="37" t="n">
        <v>137385</v>
      </c>
      <c r="K212" s="37" t="n">
        <v>747406560</v>
      </c>
      <c r="L212" s="37" t="n">
        <v>57402</v>
      </c>
      <c r="M212" s="37" t="n">
        <v>317998242</v>
      </c>
      <c r="N212" s="37" t="n">
        <v>46781</v>
      </c>
      <c r="O212" s="37" t="n">
        <v>287486111</v>
      </c>
      <c r="P212" s="37" t="n">
        <v>26112</v>
      </c>
      <c r="Q212" s="37" t="n">
        <v>156344207</v>
      </c>
      <c r="R212" s="37" t="n">
        <v>117767</v>
      </c>
      <c r="S212" s="37" t="n">
        <v>913056753</v>
      </c>
    </row>
    <row r="213">
      <c r="A213" s="37" t="inlineStr">
        <is>
          <t>108年</t>
        </is>
      </c>
      <c r="B213" s="37" t="inlineStr">
        <is>
          <t>04月</t>
        </is>
      </c>
      <c r="C213" s="36" t="inlineStr">
        <is>
          <t>住</t>
        </is>
      </c>
      <c r="D213" s="37" t="n">
        <v>1138085</v>
      </c>
      <c r="E213" s="37" t="n">
        <v>5007493639</v>
      </c>
      <c r="F213" s="37" t="n">
        <v>561240</v>
      </c>
      <c r="G213" s="37" t="n">
        <v>2682334343</v>
      </c>
      <c r="H213" s="37" t="n">
        <v>227982</v>
      </c>
      <c r="I213" s="37" t="n">
        <v>1183506214</v>
      </c>
      <c r="J213" s="37" t="n">
        <v>134044</v>
      </c>
      <c r="K213" s="37" t="n">
        <v>788436422</v>
      </c>
      <c r="L213" s="37" t="n">
        <v>56055</v>
      </c>
      <c r="M213" s="37" t="n">
        <v>342389417</v>
      </c>
      <c r="N213" s="37" t="n">
        <v>45494</v>
      </c>
      <c r="O213" s="37" t="n">
        <v>293146081</v>
      </c>
      <c r="P213" s="37" t="n">
        <v>25785</v>
      </c>
      <c r="Q213" s="37" t="n">
        <v>164938383</v>
      </c>
      <c r="R213" s="37" t="n">
        <v>114590</v>
      </c>
      <c r="S213" s="37" t="n">
        <v>915906618</v>
      </c>
    </row>
    <row r="214">
      <c r="A214" s="37" t="inlineStr">
        <is>
          <t>108年</t>
        </is>
      </c>
      <c r="B214" s="37" t="inlineStr">
        <is>
          <t>05月</t>
        </is>
      </c>
      <c r="C214" s="36" t="inlineStr">
        <is>
          <t>住</t>
        </is>
      </c>
      <c r="D214" s="37" t="n">
        <v>1053973</v>
      </c>
      <c r="E214" s="37" t="n">
        <v>4273866521</v>
      </c>
      <c r="F214" s="37" t="n">
        <v>524674</v>
      </c>
      <c r="G214" s="37" t="n">
        <v>2328974686</v>
      </c>
      <c r="H214" s="37" t="n">
        <v>217016</v>
      </c>
      <c r="I214" s="37" t="n">
        <v>1063222555</v>
      </c>
      <c r="J214" s="37" t="n">
        <v>128103</v>
      </c>
      <c r="K214" s="37" t="n">
        <v>727251940</v>
      </c>
      <c r="L214" s="37" t="n">
        <v>54391</v>
      </c>
      <c r="M214" s="37" t="n">
        <v>319879960</v>
      </c>
      <c r="N214" s="37" t="n">
        <v>43770</v>
      </c>
      <c r="O214" s="37" t="n">
        <v>273859447</v>
      </c>
      <c r="P214" s="37" t="n">
        <v>25508</v>
      </c>
      <c r="Q214" s="37" t="n">
        <v>160515105</v>
      </c>
      <c r="R214" s="37" t="n">
        <v>111751</v>
      </c>
      <c r="S214" s="37" t="n">
        <v>888085500</v>
      </c>
    </row>
    <row r="215">
      <c r="A215" s="37" t="inlineStr">
        <is>
          <t>108年</t>
        </is>
      </c>
      <c r="B215" s="37" t="inlineStr">
        <is>
          <t>06月</t>
        </is>
      </c>
      <c r="C215" s="36" t="inlineStr">
        <is>
          <t>住</t>
        </is>
      </c>
      <c r="D215" s="37" t="n">
        <v>1071671</v>
      </c>
      <c r="E215" s="37" t="n">
        <v>4473610742</v>
      </c>
      <c r="F215" s="37" t="n">
        <v>529626</v>
      </c>
      <c r="G215" s="37" t="n">
        <v>2418200933</v>
      </c>
      <c r="H215" s="37" t="n">
        <v>219464</v>
      </c>
      <c r="I215" s="37" t="n">
        <v>1110239644</v>
      </c>
      <c r="J215" s="37" t="n">
        <v>127495</v>
      </c>
      <c r="K215" s="37" t="n">
        <v>718572532</v>
      </c>
      <c r="L215" s="37" t="n">
        <v>54219</v>
      </c>
      <c r="M215" s="37" t="n">
        <v>320233128</v>
      </c>
      <c r="N215" s="37" t="n">
        <v>42334</v>
      </c>
      <c r="O215" s="37" t="n">
        <v>260196901</v>
      </c>
      <c r="P215" s="37" t="n">
        <v>25095</v>
      </c>
      <c r="Q215" s="37" t="n">
        <v>159083121</v>
      </c>
      <c r="R215" s="37" t="n">
        <v>108324</v>
      </c>
      <c r="S215" s="37" t="n">
        <v>844623962</v>
      </c>
    </row>
    <row r="216">
      <c r="A216" s="37" t="inlineStr">
        <is>
          <t>108年</t>
        </is>
      </c>
      <c r="B216" s="37" t="inlineStr">
        <is>
          <t>07月</t>
        </is>
      </c>
      <c r="C216" s="36" t="inlineStr">
        <is>
          <t>住</t>
        </is>
      </c>
      <c r="D216" s="37" t="n">
        <v>1314106</v>
      </c>
      <c r="E216" s="37" t="n">
        <v>5555798652</v>
      </c>
      <c r="F216" s="37" t="n">
        <v>667109</v>
      </c>
      <c r="G216" s="37" t="n">
        <v>3055977799</v>
      </c>
      <c r="H216" s="37" t="n">
        <v>277223</v>
      </c>
      <c r="I216" s="37" t="n">
        <v>1378659384</v>
      </c>
      <c r="J216" s="37" t="n">
        <v>158258</v>
      </c>
      <c r="K216" s="37" t="n">
        <v>883830269</v>
      </c>
      <c r="L216" s="37" t="n">
        <v>66977</v>
      </c>
      <c r="M216" s="37" t="n">
        <v>394583488</v>
      </c>
      <c r="N216" s="37" t="n">
        <v>52417</v>
      </c>
      <c r="O216" s="37" t="n">
        <v>329748773</v>
      </c>
      <c r="P216" s="37" t="n">
        <v>30113</v>
      </c>
      <c r="Q216" s="37" t="n">
        <v>190214567</v>
      </c>
      <c r="R216" s="37" t="n">
        <v>134413</v>
      </c>
      <c r="S216" s="37" t="n">
        <v>1037707963</v>
      </c>
    </row>
    <row r="217">
      <c r="A217" s="37" t="inlineStr">
        <is>
          <t>108年</t>
        </is>
      </c>
      <c r="B217" s="37" t="inlineStr">
        <is>
          <t>08月</t>
        </is>
      </c>
      <c r="C217" s="36" t="inlineStr">
        <is>
          <t>住</t>
        </is>
      </c>
      <c r="D217" s="37" t="n">
        <v>1330153</v>
      </c>
      <c r="E217" s="37" t="n">
        <v>4941680467</v>
      </c>
      <c r="F217" s="37" t="n">
        <v>671916</v>
      </c>
      <c r="G217" s="37" t="n">
        <v>2734239271</v>
      </c>
      <c r="H217" s="37" t="n">
        <v>277583</v>
      </c>
      <c r="I217" s="37" t="n">
        <v>1242106501</v>
      </c>
      <c r="J217" s="37" t="n">
        <v>159127</v>
      </c>
      <c r="K217" s="37" t="n">
        <v>805698793</v>
      </c>
      <c r="L217" s="37" t="n">
        <v>67342</v>
      </c>
      <c r="M217" s="37" t="n">
        <v>356572313</v>
      </c>
      <c r="N217" s="37" t="n">
        <v>53555</v>
      </c>
      <c r="O217" s="37" t="n">
        <v>296889629</v>
      </c>
      <c r="P217" s="37" t="n">
        <v>31164</v>
      </c>
      <c r="Q217" s="37" t="n">
        <v>179740314</v>
      </c>
      <c r="R217" s="37" t="n">
        <v>136081</v>
      </c>
      <c r="S217" s="37" t="n">
        <v>948794830</v>
      </c>
    </row>
    <row r="218">
      <c r="A218" s="37" t="inlineStr">
        <is>
          <t>108年</t>
        </is>
      </c>
      <c r="B218" s="37" t="inlineStr">
        <is>
          <t>09月</t>
        </is>
      </c>
      <c r="C218" s="36" t="inlineStr">
        <is>
          <t>住</t>
        </is>
      </c>
      <c r="D218" s="37" t="n">
        <v>1140237</v>
      </c>
      <c r="E218" s="37" t="n">
        <v>4148704386</v>
      </c>
      <c r="F218" s="37" t="n">
        <v>566358</v>
      </c>
      <c r="G218" s="37" t="n">
        <v>2275049095</v>
      </c>
      <c r="H218" s="37" t="n">
        <v>231121</v>
      </c>
      <c r="I218" s="37" t="n">
        <v>1022939426</v>
      </c>
      <c r="J218" s="37" t="n">
        <v>130614</v>
      </c>
      <c r="K218" s="37" t="n">
        <v>667284697</v>
      </c>
      <c r="L218" s="37" t="n">
        <v>56154</v>
      </c>
      <c r="M218" s="37" t="n">
        <v>293374415</v>
      </c>
      <c r="N218" s="37" t="n">
        <v>43657</v>
      </c>
      <c r="O218" s="37" t="n">
        <v>243324577</v>
      </c>
      <c r="P218" s="37" t="n">
        <v>25491</v>
      </c>
      <c r="Q218" s="37" t="n">
        <v>145288841</v>
      </c>
      <c r="R218" s="37" t="n">
        <v>108180</v>
      </c>
      <c r="S218" s="37" t="n">
        <v>761445265</v>
      </c>
    </row>
    <row r="219">
      <c r="A219" s="37" t="inlineStr">
        <is>
          <t>108年</t>
        </is>
      </c>
      <c r="B219" s="37" t="inlineStr">
        <is>
          <t>10月</t>
        </is>
      </c>
      <c r="C219" s="36" t="inlineStr">
        <is>
          <t>住</t>
        </is>
      </c>
      <c r="D219" s="37" t="n">
        <v>1219564</v>
      </c>
      <c r="E219" s="37" t="n">
        <v>4495583972</v>
      </c>
      <c r="F219" s="37" t="n">
        <v>612397</v>
      </c>
      <c r="G219" s="37" t="n">
        <v>2475457510</v>
      </c>
      <c r="H219" s="37" t="n">
        <v>251286</v>
      </c>
      <c r="I219" s="37" t="n">
        <v>1161603156</v>
      </c>
      <c r="J219" s="37" t="n">
        <v>144149</v>
      </c>
      <c r="K219" s="37" t="n">
        <v>760128291</v>
      </c>
      <c r="L219" s="37" t="n">
        <v>62536</v>
      </c>
      <c r="M219" s="37" t="n">
        <v>342051918</v>
      </c>
      <c r="N219" s="37" t="n">
        <v>49811</v>
      </c>
      <c r="O219" s="37" t="n">
        <v>306930264</v>
      </c>
      <c r="P219" s="37" t="n">
        <v>28839</v>
      </c>
      <c r="Q219" s="37" t="n">
        <v>181051405</v>
      </c>
      <c r="R219" s="37" t="n">
        <v>125168</v>
      </c>
      <c r="S219" s="37" t="n">
        <v>922681362</v>
      </c>
    </row>
    <row r="220">
      <c r="A220" s="37" t="inlineStr">
        <is>
          <t>108年</t>
        </is>
      </c>
      <c r="B220" s="37" t="inlineStr">
        <is>
          <t>11月</t>
        </is>
      </c>
      <c r="C220" s="36" t="inlineStr">
        <is>
          <t>住</t>
        </is>
      </c>
      <c r="D220" s="37" t="n">
        <v>1391400</v>
      </c>
      <c r="E220" s="37" t="n">
        <v>5398066517</v>
      </c>
      <c r="F220" s="37" t="n">
        <v>697802</v>
      </c>
      <c r="G220" s="37" t="n">
        <v>2987725024</v>
      </c>
      <c r="H220" s="37" t="n">
        <v>285579</v>
      </c>
      <c r="I220" s="37" t="n">
        <v>1392888691</v>
      </c>
      <c r="J220" s="37" t="n">
        <v>161669</v>
      </c>
      <c r="K220" s="37" t="n">
        <v>901716061</v>
      </c>
      <c r="L220" s="37" t="n">
        <v>70633</v>
      </c>
      <c r="M220" s="37" t="n">
        <v>435397633</v>
      </c>
      <c r="N220" s="37" t="n">
        <v>56147</v>
      </c>
      <c r="O220" s="37" t="n">
        <v>367377098</v>
      </c>
      <c r="P220" s="37" t="n">
        <v>32154</v>
      </c>
      <c r="Q220" s="37" t="n">
        <v>207811204</v>
      </c>
      <c r="R220" s="37" t="n">
        <v>140367</v>
      </c>
      <c r="S220" s="37" t="n">
        <v>1137372018</v>
      </c>
    </row>
    <row r="221">
      <c r="A221" s="37" t="inlineStr">
        <is>
          <t>108年</t>
        </is>
      </c>
      <c r="B221" s="37" t="inlineStr">
        <is>
          <t>12月</t>
        </is>
      </c>
      <c r="C221" s="36" t="inlineStr">
        <is>
          <t>住</t>
        </is>
      </c>
      <c r="D221" s="37" t="n">
        <v>1404739</v>
      </c>
      <c r="E221" s="37" t="n">
        <v>4847412242</v>
      </c>
      <c r="F221" s="37" t="n">
        <v>685854</v>
      </c>
      <c r="G221" s="37" t="n">
        <v>2678799008</v>
      </c>
      <c r="H221" s="37" t="n">
        <v>281473</v>
      </c>
      <c r="I221" s="37" t="n">
        <v>1261032029</v>
      </c>
      <c r="J221" s="37" t="n">
        <v>159989</v>
      </c>
      <c r="K221" s="37" t="n">
        <v>828219518</v>
      </c>
      <c r="L221" s="37" t="n">
        <v>70706</v>
      </c>
      <c r="M221" s="37" t="n">
        <v>385391842</v>
      </c>
      <c r="N221" s="37" t="n">
        <v>55661</v>
      </c>
      <c r="O221" s="37" t="n">
        <v>325921930</v>
      </c>
      <c r="P221" s="37" t="n">
        <v>32624</v>
      </c>
      <c r="Q221" s="37" t="n">
        <v>197530429</v>
      </c>
      <c r="R221" s="37" t="n">
        <v>139342</v>
      </c>
      <c r="S221" s="37" t="n">
        <v>1068711127</v>
      </c>
    </row>
    <row r="222">
      <c r="A222" s="37" t="inlineStr">
        <is>
          <t>109年</t>
        </is>
      </c>
      <c r="B222" s="37" t="inlineStr">
        <is>
          <t>01月</t>
        </is>
      </c>
      <c r="C222" s="36" t="inlineStr">
        <is>
          <t>住</t>
        </is>
      </c>
      <c r="D222" s="37" t="n">
        <v>1464663</v>
      </c>
      <c r="E222" s="37" t="n">
        <v>5512865838</v>
      </c>
      <c r="F222" s="37" t="n">
        <v>718681</v>
      </c>
      <c r="G222" s="37" t="n">
        <v>2982070487</v>
      </c>
      <c r="H222" s="37" t="n">
        <v>300861</v>
      </c>
      <c r="I222" s="37" t="n">
        <v>1379009826</v>
      </c>
      <c r="J222" s="37" t="n">
        <v>172707</v>
      </c>
      <c r="K222" s="37" t="n">
        <v>918295562</v>
      </c>
      <c r="L222" s="37" t="n">
        <v>76167</v>
      </c>
      <c r="M222" s="37" t="n">
        <v>409516837</v>
      </c>
      <c r="N222" s="37" t="n">
        <v>59965</v>
      </c>
      <c r="O222" s="37" t="n">
        <v>352691316</v>
      </c>
      <c r="P222" s="37" t="n">
        <v>35256</v>
      </c>
      <c r="Q222" s="37" t="n">
        <v>211240384</v>
      </c>
      <c r="R222" s="37" t="n">
        <v>148402</v>
      </c>
      <c r="S222" s="37" t="n">
        <v>1118104280</v>
      </c>
    </row>
    <row r="223">
      <c r="A223" s="37" t="inlineStr">
        <is>
          <t>109年</t>
        </is>
      </c>
      <c r="B223" s="37" t="inlineStr">
        <is>
          <t>02月</t>
        </is>
      </c>
      <c r="C223" s="36" t="inlineStr">
        <is>
          <t>住</t>
        </is>
      </c>
      <c r="D223" s="37" t="n">
        <v>1406851</v>
      </c>
      <c r="E223" s="37" t="n">
        <v>4202191522</v>
      </c>
      <c r="F223" s="37" t="n">
        <v>664072</v>
      </c>
      <c r="G223" s="37" t="n">
        <v>2208128746</v>
      </c>
      <c r="H223" s="37" t="n">
        <v>274857</v>
      </c>
      <c r="I223" s="37" t="n">
        <v>995824521</v>
      </c>
      <c r="J223" s="37" t="n">
        <v>153224</v>
      </c>
      <c r="K223" s="37" t="n">
        <v>619538089</v>
      </c>
      <c r="L223" s="37" t="n">
        <v>67406</v>
      </c>
      <c r="M223" s="37" t="n">
        <v>294912462</v>
      </c>
      <c r="N223" s="37" t="n">
        <v>53146</v>
      </c>
      <c r="O223" s="37" t="n">
        <v>245802122</v>
      </c>
      <c r="P223" s="37" t="n">
        <v>31323</v>
      </c>
      <c r="Q223" s="37" t="n">
        <v>148186375</v>
      </c>
      <c r="R223" s="37" t="n">
        <v>128794</v>
      </c>
      <c r="S223" s="37" t="n">
        <v>711814515</v>
      </c>
    </row>
    <row r="224">
      <c r="A224" s="37" t="inlineStr">
        <is>
          <t>103年</t>
        </is>
      </c>
      <c r="B224" s="37" t="inlineStr">
        <is>
          <t>01月</t>
        </is>
      </c>
      <c r="C224" s="36" t="inlineStr">
        <is>
          <t>行</t>
        </is>
      </c>
      <c r="D224" s="37" t="n">
        <v>6957929</v>
      </c>
      <c r="E224" s="37" t="n">
        <v>7278358374</v>
      </c>
      <c r="F224" s="37" t="n">
        <v>3340261</v>
      </c>
      <c r="G224" s="37" t="n">
        <v>3760140476</v>
      </c>
      <c r="H224" s="37" t="n">
        <v>1335055</v>
      </c>
      <c r="I224" s="37" t="n">
        <v>1630075758</v>
      </c>
      <c r="J224" s="37" t="n">
        <v>748531</v>
      </c>
      <c r="K224" s="37" t="n">
        <v>1056592910</v>
      </c>
      <c r="L224" s="37" t="n">
        <v>251012</v>
      </c>
      <c r="M224" s="37" t="n">
        <v>352415896</v>
      </c>
      <c r="N224" s="37" t="n">
        <v>188103</v>
      </c>
      <c r="O224" s="37" t="n">
        <v>282469881</v>
      </c>
      <c r="P224" s="37" t="n">
        <v>99264</v>
      </c>
      <c r="Q224" s="37" t="n">
        <v>147221360</v>
      </c>
      <c r="R224" s="37" t="n">
        <v>369563</v>
      </c>
      <c r="S224" s="37" t="n">
        <v>648217239</v>
      </c>
    </row>
    <row r="225">
      <c r="A225" s="37" t="inlineStr">
        <is>
          <t>103年</t>
        </is>
      </c>
      <c r="B225" s="37" t="inlineStr">
        <is>
          <t>02月</t>
        </is>
      </c>
      <c r="C225" s="36" t="inlineStr">
        <is>
          <t>行</t>
        </is>
      </c>
      <c r="D225" s="37" t="n">
        <v>6226627</v>
      </c>
      <c r="E225" s="37" t="n">
        <v>6554265970</v>
      </c>
      <c r="F225" s="37" t="n">
        <v>3024003</v>
      </c>
      <c r="G225" s="37" t="n">
        <v>3407042891</v>
      </c>
      <c r="H225" s="37" t="n">
        <v>1206330</v>
      </c>
      <c r="I225" s="37" t="n">
        <v>1459216804</v>
      </c>
      <c r="J225" s="37" t="n">
        <v>672851</v>
      </c>
      <c r="K225" s="37" t="n">
        <v>933928593</v>
      </c>
      <c r="L225" s="37" t="n">
        <v>224428</v>
      </c>
      <c r="M225" s="37" t="n">
        <v>309885477</v>
      </c>
      <c r="N225" s="37" t="n">
        <v>169218</v>
      </c>
      <c r="O225" s="37" t="n">
        <v>249174183</v>
      </c>
      <c r="P225" s="37" t="n">
        <v>89086</v>
      </c>
      <c r="Q225" s="37" t="n">
        <v>132321307</v>
      </c>
      <c r="R225" s="37" t="n">
        <v>328631</v>
      </c>
      <c r="S225" s="37" t="n">
        <v>573738001</v>
      </c>
    </row>
    <row r="226">
      <c r="A226" s="37" t="inlineStr">
        <is>
          <t>103年</t>
        </is>
      </c>
      <c r="B226" s="37" t="inlineStr">
        <is>
          <t>03月</t>
        </is>
      </c>
      <c r="C226" s="36" t="inlineStr">
        <is>
          <t>行</t>
        </is>
      </c>
      <c r="D226" s="37" t="n">
        <v>7066723</v>
      </c>
      <c r="E226" s="37" t="n">
        <v>7406142839</v>
      </c>
      <c r="F226" s="37" t="n">
        <v>3406756</v>
      </c>
      <c r="G226" s="37" t="n">
        <v>3845573218</v>
      </c>
      <c r="H226" s="37" t="n">
        <v>1351793</v>
      </c>
      <c r="I226" s="37" t="n">
        <v>1644675855</v>
      </c>
      <c r="J226" s="37" t="n">
        <v>758597</v>
      </c>
      <c r="K226" s="37" t="n">
        <v>1070903636</v>
      </c>
      <c r="L226" s="37" t="n">
        <v>254556</v>
      </c>
      <c r="M226" s="37" t="n">
        <v>357754041</v>
      </c>
      <c r="N226" s="37" t="n">
        <v>193505</v>
      </c>
      <c r="O226" s="37" t="n">
        <v>293056479</v>
      </c>
      <c r="P226" s="37" t="n">
        <v>100932</v>
      </c>
      <c r="Q226" s="37" t="n">
        <v>153579854</v>
      </c>
      <c r="R226" s="37" t="n">
        <v>379104</v>
      </c>
      <c r="S226" s="37" t="n">
        <v>699707762</v>
      </c>
    </row>
    <row r="227">
      <c r="A227" s="37" t="inlineStr">
        <is>
          <t>103年</t>
        </is>
      </c>
      <c r="B227" s="37" t="inlineStr">
        <is>
          <t>04月</t>
        </is>
      </c>
      <c r="C227" s="36" t="inlineStr">
        <is>
          <t>行</t>
        </is>
      </c>
      <c r="D227" s="37" t="n">
        <v>6822834</v>
      </c>
      <c r="E227" s="37" t="n">
        <v>7042088950</v>
      </c>
      <c r="F227" s="37" t="n">
        <v>3293492</v>
      </c>
      <c r="G227" s="37" t="n">
        <v>3662976562</v>
      </c>
      <c r="H227" s="37" t="n">
        <v>1302329</v>
      </c>
      <c r="I227" s="37" t="n">
        <v>1569053293</v>
      </c>
      <c r="J227" s="37" t="n">
        <v>717017</v>
      </c>
      <c r="K227" s="37" t="n">
        <v>995398844</v>
      </c>
      <c r="L227" s="37" t="n">
        <v>246610</v>
      </c>
      <c r="M227" s="37" t="n">
        <v>343773850</v>
      </c>
      <c r="N227" s="37" t="n">
        <v>183046</v>
      </c>
      <c r="O227" s="37" t="n">
        <v>270094602</v>
      </c>
      <c r="P227" s="37" t="n">
        <v>96796</v>
      </c>
      <c r="Q227" s="37" t="n">
        <v>143803568</v>
      </c>
      <c r="R227" s="37" t="n">
        <v>357752</v>
      </c>
      <c r="S227" s="37" t="n">
        <v>638939772</v>
      </c>
    </row>
    <row r="228">
      <c r="A228" s="37" t="inlineStr">
        <is>
          <t>103年</t>
        </is>
      </c>
      <c r="B228" s="37" t="inlineStr">
        <is>
          <t>05月</t>
        </is>
      </c>
      <c r="C228" s="36" t="inlineStr">
        <is>
          <t>行</t>
        </is>
      </c>
      <c r="D228" s="37" t="n">
        <v>7231421</v>
      </c>
      <c r="E228" s="37" t="n">
        <v>7551401609</v>
      </c>
      <c r="F228" s="37" t="n">
        <v>3477396</v>
      </c>
      <c r="G228" s="37" t="n">
        <v>3917500919</v>
      </c>
      <c r="H228" s="37" t="n">
        <v>1376745</v>
      </c>
      <c r="I228" s="37" t="n">
        <v>1679057931</v>
      </c>
      <c r="J228" s="37" t="n">
        <v>754176</v>
      </c>
      <c r="K228" s="37" t="n">
        <v>1061416413</v>
      </c>
      <c r="L228" s="37" t="n">
        <v>260101</v>
      </c>
      <c r="M228" s="37" t="n">
        <v>363448332</v>
      </c>
      <c r="N228" s="37" t="n">
        <v>193530</v>
      </c>
      <c r="O228" s="37" t="n">
        <v>291437742</v>
      </c>
      <c r="P228" s="37" t="n">
        <v>102414</v>
      </c>
      <c r="Q228" s="37" t="n">
        <v>153616799</v>
      </c>
      <c r="R228" s="37" t="n">
        <v>375545</v>
      </c>
      <c r="S228" s="37" t="n">
        <v>673853502</v>
      </c>
    </row>
    <row r="229">
      <c r="A229" s="37" t="inlineStr">
        <is>
          <t>103年</t>
        </is>
      </c>
      <c r="B229" s="37" t="inlineStr">
        <is>
          <t>06月</t>
        </is>
      </c>
      <c r="C229" s="36" t="inlineStr">
        <is>
          <t>行</t>
        </is>
      </c>
      <c r="D229" s="37" t="n">
        <v>7209145</v>
      </c>
      <c r="E229" s="37" t="n">
        <v>7604991271</v>
      </c>
      <c r="F229" s="37" t="n">
        <v>3452981</v>
      </c>
      <c r="G229" s="37" t="n">
        <v>3921842731</v>
      </c>
      <c r="H229" s="37" t="n">
        <v>1368471</v>
      </c>
      <c r="I229" s="37" t="n">
        <v>1688076968</v>
      </c>
      <c r="J229" s="37" t="n">
        <v>747106</v>
      </c>
      <c r="K229" s="37" t="n">
        <v>1054080483</v>
      </c>
      <c r="L229" s="37" t="n">
        <v>259316</v>
      </c>
      <c r="M229" s="37" t="n">
        <v>365558212</v>
      </c>
      <c r="N229" s="37" t="n">
        <v>192516</v>
      </c>
      <c r="O229" s="37" t="n">
        <v>289789245</v>
      </c>
      <c r="P229" s="37" t="n">
        <v>102523</v>
      </c>
      <c r="Q229" s="37" t="n">
        <v>154887665</v>
      </c>
      <c r="R229" s="37" t="n">
        <v>372914</v>
      </c>
      <c r="S229" s="37" t="n">
        <v>675451370</v>
      </c>
    </row>
    <row r="230">
      <c r="A230" s="37" t="inlineStr">
        <is>
          <t>103年</t>
        </is>
      </c>
      <c r="B230" s="37" t="inlineStr">
        <is>
          <t>07月</t>
        </is>
      </c>
      <c r="C230" s="36" t="inlineStr">
        <is>
          <t>行</t>
        </is>
      </c>
      <c r="D230" s="37" t="n">
        <v>7508901</v>
      </c>
      <c r="E230" s="37" t="n">
        <v>7867188491</v>
      </c>
      <c r="F230" s="37" t="n">
        <v>3653334</v>
      </c>
      <c r="G230" s="37" t="n">
        <v>4134140709</v>
      </c>
      <c r="H230" s="37" t="n">
        <v>1452931</v>
      </c>
      <c r="I230" s="37" t="n">
        <v>1774383068</v>
      </c>
      <c r="J230" s="37" t="n">
        <v>789418</v>
      </c>
      <c r="K230" s="37" t="n">
        <v>1122959490</v>
      </c>
      <c r="L230" s="37" t="n">
        <v>272198</v>
      </c>
      <c r="M230" s="37" t="n">
        <v>382143699</v>
      </c>
      <c r="N230" s="37" t="n">
        <v>202906</v>
      </c>
      <c r="O230" s="37" t="n">
        <v>303695005</v>
      </c>
      <c r="P230" s="37" t="n">
        <v>108583</v>
      </c>
      <c r="Q230" s="37" t="n">
        <v>166567380</v>
      </c>
      <c r="R230" s="37" t="n">
        <v>392799</v>
      </c>
      <c r="S230" s="37" t="n">
        <v>731328977</v>
      </c>
    </row>
    <row r="231">
      <c r="A231" s="37" t="inlineStr">
        <is>
          <t>103年</t>
        </is>
      </c>
      <c r="B231" s="37" t="inlineStr">
        <is>
          <t>08月</t>
        </is>
      </c>
      <c r="C231" s="36" t="inlineStr">
        <is>
          <t>行</t>
        </is>
      </c>
      <c r="D231" s="37" t="n">
        <v>7614912</v>
      </c>
      <c r="E231" s="37" t="n">
        <v>7747624871</v>
      </c>
      <c r="F231" s="37" t="n">
        <v>3714722</v>
      </c>
      <c r="G231" s="37" t="n">
        <v>4068538504</v>
      </c>
      <c r="H231" s="37" t="n">
        <v>1477220</v>
      </c>
      <c r="I231" s="37" t="n">
        <v>1759288285</v>
      </c>
      <c r="J231" s="37" t="n">
        <v>797850</v>
      </c>
      <c r="K231" s="37" t="n">
        <v>1085062334</v>
      </c>
      <c r="L231" s="37" t="n">
        <v>276903</v>
      </c>
      <c r="M231" s="37" t="n">
        <v>377148661</v>
      </c>
      <c r="N231" s="37" t="n">
        <v>207452</v>
      </c>
      <c r="O231" s="37" t="n">
        <v>304258852</v>
      </c>
      <c r="P231" s="37" t="n">
        <v>111102</v>
      </c>
      <c r="Q231" s="37" t="n">
        <v>161282070</v>
      </c>
      <c r="R231" s="37" t="n">
        <v>402237</v>
      </c>
      <c r="S231" s="37" t="n">
        <v>698171368</v>
      </c>
    </row>
    <row r="232">
      <c r="A232" s="37" t="inlineStr">
        <is>
          <t>103年</t>
        </is>
      </c>
      <c r="B232" s="37" t="inlineStr">
        <is>
          <t>09月</t>
        </is>
      </c>
      <c r="C232" s="36" t="inlineStr">
        <is>
          <t>行</t>
        </is>
      </c>
      <c r="D232" s="37" t="n">
        <v>7251440</v>
      </c>
      <c r="E232" s="37" t="n">
        <v>7212274841</v>
      </c>
      <c r="F232" s="37" t="n">
        <v>3489446</v>
      </c>
      <c r="G232" s="37" t="n">
        <v>3758568139</v>
      </c>
      <c r="H232" s="37" t="n">
        <v>1380847</v>
      </c>
      <c r="I232" s="37" t="n">
        <v>1610053899</v>
      </c>
      <c r="J232" s="37" t="n">
        <v>755166</v>
      </c>
      <c r="K232" s="37" t="n">
        <v>1018449511</v>
      </c>
      <c r="L232" s="37" t="n">
        <v>263454</v>
      </c>
      <c r="M232" s="37" t="n">
        <v>351423045</v>
      </c>
      <c r="N232" s="37" t="n">
        <v>198462</v>
      </c>
      <c r="O232" s="37" t="n">
        <v>286622778</v>
      </c>
      <c r="P232" s="37" t="n">
        <v>105138</v>
      </c>
      <c r="Q232" s="37" t="n">
        <v>151762725</v>
      </c>
      <c r="R232" s="37" t="n">
        <v>383280</v>
      </c>
      <c r="S232" s="37" t="n">
        <v>673333607</v>
      </c>
    </row>
    <row r="233">
      <c r="A233" s="37" t="inlineStr">
        <is>
          <t>103年</t>
        </is>
      </c>
      <c r="B233" s="37" t="inlineStr">
        <is>
          <t>10月</t>
        </is>
      </c>
      <c r="C233" s="36" t="inlineStr">
        <is>
          <t>行</t>
        </is>
      </c>
      <c r="D233" s="37" t="n">
        <v>7487606</v>
      </c>
      <c r="E233" s="37" t="n">
        <v>7152597029</v>
      </c>
      <c r="F233" s="37" t="n">
        <v>3604709</v>
      </c>
      <c r="G233" s="37" t="n">
        <v>3742656093</v>
      </c>
      <c r="H233" s="37" t="n">
        <v>1427477</v>
      </c>
      <c r="I233" s="37" t="n">
        <v>1615527695</v>
      </c>
      <c r="J233" s="37" t="n">
        <v>781017</v>
      </c>
      <c r="K233" s="37" t="n">
        <v>1021864334</v>
      </c>
      <c r="L233" s="37" t="n">
        <v>271921</v>
      </c>
      <c r="M233" s="37" t="n">
        <v>351070377</v>
      </c>
      <c r="N233" s="37" t="n">
        <v>204976</v>
      </c>
      <c r="O233" s="37" t="n">
        <v>283046317</v>
      </c>
      <c r="P233" s="37" t="n">
        <v>109009</v>
      </c>
      <c r="Q233" s="37" t="n">
        <v>152069905</v>
      </c>
      <c r="R233" s="37" t="n">
        <v>396894</v>
      </c>
      <c r="S233" s="37" t="n">
        <v>683132269</v>
      </c>
    </row>
    <row r="234">
      <c r="A234" s="37" t="inlineStr">
        <is>
          <t>103年</t>
        </is>
      </c>
      <c r="B234" s="37" t="inlineStr">
        <is>
          <t>11月</t>
        </is>
      </c>
      <c r="C234" s="36" t="inlineStr">
        <is>
          <t>行</t>
        </is>
      </c>
      <c r="D234" s="37" t="n">
        <v>7190218</v>
      </c>
      <c r="E234" s="37" t="n">
        <v>6652684267</v>
      </c>
      <c r="F234" s="37" t="n">
        <v>3452454</v>
      </c>
      <c r="G234" s="37" t="n">
        <v>3480750635</v>
      </c>
      <c r="H234" s="37" t="n">
        <v>1367524</v>
      </c>
      <c r="I234" s="37" t="n">
        <v>1504451488</v>
      </c>
      <c r="J234" s="37" t="n">
        <v>746514</v>
      </c>
      <c r="K234" s="37" t="n">
        <v>945073825</v>
      </c>
      <c r="L234" s="37" t="n">
        <v>261600</v>
      </c>
      <c r="M234" s="37" t="n">
        <v>334235096</v>
      </c>
      <c r="N234" s="37" t="n">
        <v>199295</v>
      </c>
      <c r="O234" s="37" t="n">
        <v>270177348</v>
      </c>
      <c r="P234" s="37" t="n">
        <v>104981</v>
      </c>
      <c r="Q234" s="37" t="n">
        <v>144466224</v>
      </c>
      <c r="R234" s="37" t="n">
        <v>383266</v>
      </c>
      <c r="S234" s="37" t="n">
        <v>652154422</v>
      </c>
    </row>
    <row r="235">
      <c r="A235" s="37" t="inlineStr">
        <is>
          <t>103年</t>
        </is>
      </c>
      <c r="B235" s="37" t="inlineStr">
        <is>
          <t>12月</t>
        </is>
      </c>
      <c r="C235" s="36" t="inlineStr">
        <is>
          <t>行</t>
        </is>
      </c>
      <c r="D235" s="37" t="n">
        <v>7541004</v>
      </c>
      <c r="E235" s="37" t="n">
        <v>6743425050</v>
      </c>
      <c r="F235" s="37" t="n">
        <v>3616079</v>
      </c>
      <c r="G235" s="37" t="n">
        <v>3545596911</v>
      </c>
      <c r="H235" s="37" t="n">
        <v>1437252</v>
      </c>
      <c r="I235" s="37" t="n">
        <v>1519260445</v>
      </c>
      <c r="J235" s="37" t="n">
        <v>788969</v>
      </c>
      <c r="K235" s="37" t="n">
        <v>968148331</v>
      </c>
      <c r="L235" s="37" t="n">
        <v>276127</v>
      </c>
      <c r="M235" s="37" t="n">
        <v>341531110</v>
      </c>
      <c r="N235" s="37" t="n">
        <v>210316</v>
      </c>
      <c r="O235" s="37" t="n">
        <v>274543446</v>
      </c>
      <c r="P235" s="37" t="n">
        <v>111774</v>
      </c>
      <c r="Q235" s="37" t="n">
        <v>147467862</v>
      </c>
      <c r="R235" s="37" t="n">
        <v>406067</v>
      </c>
      <c r="S235" s="37" t="n">
        <v>664711666</v>
      </c>
    </row>
    <row r="236">
      <c r="A236" s="37" t="inlineStr">
        <is>
          <t>104年</t>
        </is>
      </c>
      <c r="B236" s="37" t="inlineStr">
        <is>
          <t>01月</t>
        </is>
      </c>
      <c r="C236" s="36" t="inlineStr">
        <is>
          <t>行</t>
        </is>
      </c>
      <c r="D236" s="37" t="n">
        <v>7253388</v>
      </c>
      <c r="E236" s="37" t="n">
        <v>6045619365</v>
      </c>
      <c r="F236" s="37" t="n">
        <v>3519756</v>
      </c>
      <c r="G236" s="37" t="n">
        <v>3220763977</v>
      </c>
      <c r="H236" s="37" t="n">
        <v>1398508</v>
      </c>
      <c r="I236" s="37" t="n">
        <v>1381023949</v>
      </c>
      <c r="J236" s="37" t="n">
        <v>758588</v>
      </c>
      <c r="K236" s="37" t="n">
        <v>873877517</v>
      </c>
      <c r="L236" s="37" t="n">
        <v>268725</v>
      </c>
      <c r="M236" s="37" t="n">
        <v>308763436</v>
      </c>
      <c r="N236" s="37" t="n">
        <v>203663</v>
      </c>
      <c r="O236" s="37" t="n">
        <v>251955506</v>
      </c>
      <c r="P236" s="37" t="n">
        <v>108332</v>
      </c>
      <c r="Q236" s="37" t="n">
        <v>133404475</v>
      </c>
      <c r="R236" s="37" t="n">
        <v>391683</v>
      </c>
      <c r="S236" s="37" t="n">
        <v>615354481</v>
      </c>
    </row>
    <row r="237">
      <c r="A237" s="37" t="inlineStr">
        <is>
          <t>104年</t>
        </is>
      </c>
      <c r="B237" s="37" t="inlineStr">
        <is>
          <t>02月</t>
        </is>
      </c>
      <c r="C237" s="36" t="inlineStr">
        <is>
          <t>行</t>
        </is>
      </c>
      <c r="D237" s="37" t="n">
        <v>6619367</v>
      </c>
      <c r="E237" s="37" t="n">
        <v>5562690671</v>
      </c>
      <c r="F237" s="37" t="n">
        <v>3229271</v>
      </c>
      <c r="G237" s="37" t="n">
        <v>2932494307</v>
      </c>
      <c r="H237" s="37" t="n">
        <v>1305450</v>
      </c>
      <c r="I237" s="37" t="n">
        <v>1269691031</v>
      </c>
      <c r="J237" s="37" t="n">
        <v>707646</v>
      </c>
      <c r="K237" s="37" t="n">
        <v>786335725</v>
      </c>
      <c r="L237" s="37" t="n">
        <v>250786</v>
      </c>
      <c r="M237" s="37" t="n">
        <v>277414263</v>
      </c>
      <c r="N237" s="37" t="n">
        <v>191733</v>
      </c>
      <c r="O237" s="37" t="n">
        <v>230434831</v>
      </c>
      <c r="P237" s="37" t="n">
        <v>101908</v>
      </c>
      <c r="Q237" s="37" t="n">
        <v>121883639</v>
      </c>
      <c r="R237" s="37" t="n">
        <v>360474</v>
      </c>
      <c r="S237" s="37" t="n">
        <v>537768793</v>
      </c>
    </row>
    <row r="238">
      <c r="A238" s="37" t="inlineStr">
        <is>
          <t>104年</t>
        </is>
      </c>
      <c r="B238" s="37" t="inlineStr">
        <is>
          <t>03月</t>
        </is>
      </c>
      <c r="C238" s="36" t="inlineStr">
        <is>
          <t>行</t>
        </is>
      </c>
      <c r="D238" s="37" t="n">
        <v>7361116</v>
      </c>
      <c r="E238" s="37" t="n">
        <v>6343616709</v>
      </c>
      <c r="F238" s="37" t="n">
        <v>3559709</v>
      </c>
      <c r="G238" s="37" t="n">
        <v>3339355280</v>
      </c>
      <c r="H238" s="37" t="n">
        <v>1415581</v>
      </c>
      <c r="I238" s="37" t="n">
        <v>1432545392</v>
      </c>
      <c r="J238" s="37" t="n">
        <v>775647</v>
      </c>
      <c r="K238" s="37" t="n">
        <v>911247199</v>
      </c>
      <c r="L238" s="37" t="n">
        <v>275324</v>
      </c>
      <c r="M238" s="37" t="n">
        <v>322446131</v>
      </c>
      <c r="N238" s="37" t="n">
        <v>210794</v>
      </c>
      <c r="O238" s="37" t="n">
        <v>261530984</v>
      </c>
      <c r="P238" s="37" t="n">
        <v>111227</v>
      </c>
      <c r="Q238" s="37" t="n">
        <v>143896246</v>
      </c>
      <c r="R238" s="37" t="n">
        <v>402487</v>
      </c>
      <c r="S238" s="37" t="n">
        <v>646179781</v>
      </c>
    </row>
    <row r="239">
      <c r="A239" s="37" t="inlineStr">
        <is>
          <t>104年</t>
        </is>
      </c>
      <c r="B239" s="37" t="inlineStr">
        <is>
          <t>04月</t>
        </is>
      </c>
      <c r="C239" s="36" t="inlineStr">
        <is>
          <t>行</t>
        </is>
      </c>
      <c r="D239" s="37" t="n">
        <v>7155337</v>
      </c>
      <c r="E239" s="37" t="n">
        <v>6139673148</v>
      </c>
      <c r="F239" s="37" t="n">
        <v>3464328</v>
      </c>
      <c r="G239" s="37" t="n">
        <v>3234729938</v>
      </c>
      <c r="H239" s="37" t="n">
        <v>1373462</v>
      </c>
      <c r="I239" s="37" t="n">
        <v>1395599993</v>
      </c>
      <c r="J239" s="37" t="n">
        <v>750043</v>
      </c>
      <c r="K239" s="37" t="n">
        <v>881701831</v>
      </c>
      <c r="L239" s="37" t="n">
        <v>266978</v>
      </c>
      <c r="M239" s="37" t="n">
        <v>315799830</v>
      </c>
      <c r="N239" s="37" t="n">
        <v>204642</v>
      </c>
      <c r="O239" s="37" t="n">
        <v>256295974</v>
      </c>
      <c r="P239" s="37" t="n">
        <v>107344</v>
      </c>
      <c r="Q239" s="37" t="n">
        <v>137886564</v>
      </c>
      <c r="R239" s="37" t="n">
        <v>389185</v>
      </c>
      <c r="S239" s="37" t="n">
        <v>620580555</v>
      </c>
    </row>
    <row r="240">
      <c r="A240" s="37" t="inlineStr">
        <is>
          <t>104年</t>
        </is>
      </c>
      <c r="B240" s="37" t="inlineStr">
        <is>
          <t>05月</t>
        </is>
      </c>
      <c r="C240" s="36" t="inlineStr">
        <is>
          <t>行</t>
        </is>
      </c>
      <c r="D240" s="37" t="n">
        <v>7481368</v>
      </c>
      <c r="E240" s="37" t="n">
        <v>6620909237</v>
      </c>
      <c r="F240" s="37" t="n">
        <v>3612143</v>
      </c>
      <c r="G240" s="37" t="n">
        <v>3498054814</v>
      </c>
      <c r="H240" s="37" t="n">
        <v>1425886</v>
      </c>
      <c r="I240" s="37" t="n">
        <v>1501238188</v>
      </c>
      <c r="J240" s="37" t="n">
        <v>774978</v>
      </c>
      <c r="K240" s="37" t="n">
        <v>944212106</v>
      </c>
      <c r="L240" s="37" t="n">
        <v>276763</v>
      </c>
      <c r="M240" s="37" t="n">
        <v>338140453</v>
      </c>
      <c r="N240" s="37" t="n">
        <v>213197</v>
      </c>
      <c r="O240" s="37" t="n">
        <v>277874452</v>
      </c>
      <c r="P240" s="37" t="n">
        <v>111886</v>
      </c>
      <c r="Q240" s="37" t="n">
        <v>147536426</v>
      </c>
      <c r="R240" s="37" t="n">
        <v>404975</v>
      </c>
      <c r="S240" s="37" t="n">
        <v>686365280</v>
      </c>
    </row>
    <row r="241">
      <c r="A241" s="37" t="inlineStr">
        <is>
          <t>104年</t>
        </is>
      </c>
      <c r="B241" s="37" t="inlineStr">
        <is>
          <t>06月</t>
        </is>
      </c>
      <c r="C241" s="36" t="inlineStr">
        <is>
          <t>行</t>
        </is>
      </c>
      <c r="D241" s="37" t="n">
        <v>7630685</v>
      </c>
      <c r="E241" s="37" t="n">
        <v>6812312148</v>
      </c>
      <c r="F241" s="37" t="n">
        <v>3678658</v>
      </c>
      <c r="G241" s="37" t="n">
        <v>3563411495</v>
      </c>
      <c r="H241" s="37" t="n">
        <v>1453462</v>
      </c>
      <c r="I241" s="37" t="n">
        <v>1533007619</v>
      </c>
      <c r="J241" s="37" t="n">
        <v>788464</v>
      </c>
      <c r="K241" s="37" t="n">
        <v>959641591</v>
      </c>
      <c r="L241" s="37" t="n">
        <v>279123</v>
      </c>
      <c r="M241" s="37" t="n">
        <v>343514303</v>
      </c>
      <c r="N241" s="37" t="n">
        <v>215767</v>
      </c>
      <c r="O241" s="37" t="n">
        <v>283078615</v>
      </c>
      <c r="P241" s="37" t="n">
        <v>113440</v>
      </c>
      <c r="Q241" s="37" t="n">
        <v>150254150</v>
      </c>
      <c r="R241" s="37" t="n">
        <v>406166</v>
      </c>
      <c r="S241" s="37" t="n">
        <v>677544837</v>
      </c>
    </row>
    <row r="242">
      <c r="A242" s="37" t="inlineStr">
        <is>
          <t>104年</t>
        </is>
      </c>
      <c r="B242" s="37" t="inlineStr">
        <is>
          <t>07月</t>
        </is>
      </c>
      <c r="C242" s="36" t="inlineStr">
        <is>
          <t>行</t>
        </is>
      </c>
      <c r="D242" s="37" t="n">
        <v>7801358</v>
      </c>
      <c r="E242" s="37" t="n">
        <v>6871852538</v>
      </c>
      <c r="F242" s="37" t="n">
        <v>3811080</v>
      </c>
      <c r="G242" s="37" t="n">
        <v>3679506547</v>
      </c>
      <c r="H242" s="37" t="n">
        <v>1507413</v>
      </c>
      <c r="I242" s="37" t="n">
        <v>1579081833</v>
      </c>
      <c r="J242" s="37" t="n">
        <v>810406</v>
      </c>
      <c r="K242" s="37" t="n">
        <v>984129296</v>
      </c>
      <c r="L242" s="37" t="n">
        <v>287627</v>
      </c>
      <c r="M242" s="37" t="n">
        <v>350543096</v>
      </c>
      <c r="N242" s="37" t="n">
        <v>221246</v>
      </c>
      <c r="O242" s="37" t="n">
        <v>286970321</v>
      </c>
      <c r="P242" s="37" t="n">
        <v>116782</v>
      </c>
      <c r="Q242" s="37" t="n">
        <v>153507229</v>
      </c>
      <c r="R242" s="37" t="n">
        <v>418531</v>
      </c>
      <c r="S242" s="37" t="n">
        <v>708569167</v>
      </c>
    </row>
    <row r="243">
      <c r="A243" s="37" t="inlineStr">
        <is>
          <t>104年</t>
        </is>
      </c>
      <c r="B243" s="37" t="inlineStr">
        <is>
          <t>08月</t>
        </is>
      </c>
      <c r="C243" s="36" t="inlineStr">
        <is>
          <t>行</t>
        </is>
      </c>
      <c r="D243" s="37" t="n">
        <v>7554348</v>
      </c>
      <c r="E243" s="37" t="n">
        <v>6312315775</v>
      </c>
      <c r="F243" s="37" t="n">
        <v>3685616</v>
      </c>
      <c r="G243" s="37" t="n">
        <v>3363479700</v>
      </c>
      <c r="H243" s="37" t="n">
        <v>1459105</v>
      </c>
      <c r="I243" s="37" t="n">
        <v>1442027735</v>
      </c>
      <c r="J243" s="37" t="n">
        <v>784625</v>
      </c>
      <c r="K243" s="37" t="n">
        <v>893159320</v>
      </c>
      <c r="L243" s="37" t="n">
        <v>280256</v>
      </c>
      <c r="M243" s="37" t="n">
        <v>320162162</v>
      </c>
      <c r="N243" s="37" t="n">
        <v>216907</v>
      </c>
      <c r="O243" s="37" t="n">
        <v>262333737</v>
      </c>
      <c r="P243" s="37" t="n">
        <v>114284</v>
      </c>
      <c r="Q243" s="37" t="n">
        <v>141754871</v>
      </c>
      <c r="R243" s="37" t="n">
        <v>409721</v>
      </c>
      <c r="S243" s="37" t="n">
        <v>640878788</v>
      </c>
    </row>
    <row r="244">
      <c r="A244" s="37" t="inlineStr">
        <is>
          <t>104年</t>
        </is>
      </c>
      <c r="B244" s="37" t="inlineStr">
        <is>
          <t>09月</t>
        </is>
      </c>
      <c r="C244" s="36" t="inlineStr">
        <is>
          <t>行</t>
        </is>
      </c>
      <c r="D244" s="37" t="n">
        <v>7500136</v>
      </c>
      <c r="E244" s="37" t="n">
        <v>6122008220</v>
      </c>
      <c r="F244" s="37" t="n">
        <v>3631403</v>
      </c>
      <c r="G244" s="37" t="n">
        <v>3233874687</v>
      </c>
      <c r="H244" s="37" t="n">
        <v>1435225</v>
      </c>
      <c r="I244" s="37" t="n">
        <v>1383830288</v>
      </c>
      <c r="J244" s="37" t="n">
        <v>777228</v>
      </c>
      <c r="K244" s="37" t="n">
        <v>873939715</v>
      </c>
      <c r="L244" s="37" t="n">
        <v>277701</v>
      </c>
      <c r="M244" s="37" t="n">
        <v>314408715</v>
      </c>
      <c r="N244" s="37" t="n">
        <v>215758</v>
      </c>
      <c r="O244" s="37" t="n">
        <v>258088070</v>
      </c>
      <c r="P244" s="37" t="n">
        <v>112977</v>
      </c>
      <c r="Q244" s="37" t="n">
        <v>142815544</v>
      </c>
      <c r="R244" s="37" t="n">
        <v>404310</v>
      </c>
      <c r="S244" s="37" t="n">
        <v>624438933</v>
      </c>
    </row>
    <row r="245">
      <c r="A245" s="37" t="inlineStr">
        <is>
          <t>104年</t>
        </is>
      </c>
      <c r="B245" s="37" t="inlineStr">
        <is>
          <t>10月</t>
        </is>
      </c>
      <c r="C245" s="36" t="inlineStr">
        <is>
          <t>行</t>
        </is>
      </c>
      <c r="D245" s="37" t="n">
        <v>7726801</v>
      </c>
      <c r="E245" s="37" t="n">
        <v>6388031058</v>
      </c>
      <c r="F245" s="37" t="n">
        <v>3743114</v>
      </c>
      <c r="G245" s="37" t="n">
        <v>3393869813</v>
      </c>
      <c r="H245" s="37" t="n">
        <v>1475870</v>
      </c>
      <c r="I245" s="37" t="n">
        <v>1452301390</v>
      </c>
      <c r="J245" s="37" t="n">
        <v>802789</v>
      </c>
      <c r="K245" s="37" t="n">
        <v>925825177</v>
      </c>
      <c r="L245" s="37" t="n">
        <v>289344</v>
      </c>
      <c r="M245" s="37" t="n">
        <v>337749330</v>
      </c>
      <c r="N245" s="37" t="n">
        <v>222344</v>
      </c>
      <c r="O245" s="37" t="n">
        <v>278957089</v>
      </c>
      <c r="P245" s="37" t="n">
        <v>116820</v>
      </c>
      <c r="Q245" s="37" t="n">
        <v>146666416</v>
      </c>
      <c r="R245" s="37" t="n">
        <v>419703</v>
      </c>
      <c r="S245" s="37" t="n">
        <v>667983993</v>
      </c>
    </row>
    <row r="246">
      <c r="A246" s="37" t="inlineStr">
        <is>
          <t>104年</t>
        </is>
      </c>
      <c r="B246" s="37" t="inlineStr">
        <is>
          <t>11月</t>
        </is>
      </c>
      <c r="C246" s="36" t="inlineStr">
        <is>
          <t>行</t>
        </is>
      </c>
      <c r="D246" s="37" t="n">
        <v>7592718</v>
      </c>
      <c r="E246" s="37" t="n">
        <v>6155247407</v>
      </c>
      <c r="F246" s="37" t="n">
        <v>3661285</v>
      </c>
      <c r="G246" s="37" t="n">
        <v>3261501633</v>
      </c>
      <c r="H246" s="37" t="n">
        <v>1444707</v>
      </c>
      <c r="I246" s="37" t="n">
        <v>1404588169</v>
      </c>
      <c r="J246" s="37" t="n">
        <v>776567</v>
      </c>
      <c r="K246" s="37" t="n">
        <v>876408921</v>
      </c>
      <c r="L246" s="37" t="n">
        <v>284128</v>
      </c>
      <c r="M246" s="37" t="n">
        <v>326168956</v>
      </c>
      <c r="N246" s="37" t="n">
        <v>218713</v>
      </c>
      <c r="O246" s="37" t="n">
        <v>265512844</v>
      </c>
      <c r="P246" s="37" t="n">
        <v>115337</v>
      </c>
      <c r="Q246" s="37" t="n">
        <v>148488365</v>
      </c>
      <c r="R246" s="37" t="n">
        <v>411364</v>
      </c>
      <c r="S246" s="37" t="n">
        <v>653795526</v>
      </c>
    </row>
    <row r="247">
      <c r="A247" s="37" t="inlineStr">
        <is>
          <t>104年</t>
        </is>
      </c>
      <c r="B247" s="37" t="inlineStr">
        <is>
          <t>12月</t>
        </is>
      </c>
      <c r="C247" s="36" t="inlineStr">
        <is>
          <t>行</t>
        </is>
      </c>
      <c r="D247" s="37" t="n">
        <v>7781302</v>
      </c>
      <c r="E247" s="37" t="n">
        <v>6259905315</v>
      </c>
      <c r="F247" s="37" t="n">
        <v>3751015</v>
      </c>
      <c r="G247" s="37" t="n">
        <v>3342036803</v>
      </c>
      <c r="H247" s="37" t="n">
        <v>1476456</v>
      </c>
      <c r="I247" s="37" t="n">
        <v>1428553765</v>
      </c>
      <c r="J247" s="37" t="n">
        <v>795794</v>
      </c>
      <c r="K247" s="37" t="n">
        <v>890969459</v>
      </c>
      <c r="L247" s="37" t="n">
        <v>291318</v>
      </c>
      <c r="M247" s="37" t="n">
        <v>332339206</v>
      </c>
      <c r="N247" s="37" t="n">
        <v>225023</v>
      </c>
      <c r="O247" s="37" t="n">
        <v>273130424</v>
      </c>
      <c r="P247" s="37" t="n">
        <v>117994</v>
      </c>
      <c r="Q247" s="37" t="n">
        <v>148562227</v>
      </c>
      <c r="R247" s="37" t="n">
        <v>426382</v>
      </c>
      <c r="S247" s="37" t="n">
        <v>672880643</v>
      </c>
    </row>
    <row r="248">
      <c r="A248" s="37" t="inlineStr">
        <is>
          <t>105年</t>
        </is>
      </c>
      <c r="B248" s="37" t="inlineStr">
        <is>
          <t>01月</t>
        </is>
      </c>
      <c r="C248" s="36" t="inlineStr">
        <is>
          <t>行</t>
        </is>
      </c>
      <c r="D248" s="37" t="n">
        <v>7810049</v>
      </c>
      <c r="E248" s="37" t="n">
        <v>6020504483</v>
      </c>
      <c r="F248" s="37" t="n">
        <v>3788710</v>
      </c>
      <c r="G248" s="37" t="n">
        <v>3217275362</v>
      </c>
      <c r="H248" s="37" t="n">
        <v>1499902</v>
      </c>
      <c r="I248" s="37" t="n">
        <v>1373390735</v>
      </c>
      <c r="J248" s="37" t="n">
        <v>794339</v>
      </c>
      <c r="K248" s="37" t="n">
        <v>839350504</v>
      </c>
      <c r="L248" s="37" t="n">
        <v>291821</v>
      </c>
      <c r="M248" s="37" t="n">
        <v>317338502</v>
      </c>
      <c r="N248" s="37" t="n">
        <v>225127</v>
      </c>
      <c r="O248" s="37" t="n">
        <v>257371919</v>
      </c>
      <c r="P248" s="37" t="n">
        <v>118080</v>
      </c>
      <c r="Q248" s="37" t="n">
        <v>141329851</v>
      </c>
      <c r="R248" s="37" t="n">
        <v>419148</v>
      </c>
      <c r="S248" s="37" t="n">
        <v>617393661</v>
      </c>
    </row>
    <row r="249">
      <c r="A249" s="37" t="inlineStr">
        <is>
          <t>105年</t>
        </is>
      </c>
      <c r="B249" s="37" t="inlineStr">
        <is>
          <t>02月</t>
        </is>
      </c>
      <c r="C249" s="36" t="inlineStr">
        <is>
          <t>行</t>
        </is>
      </c>
      <c r="D249" s="37" t="n">
        <v>6733182</v>
      </c>
      <c r="E249" s="37" t="n">
        <v>5173508706</v>
      </c>
      <c r="F249" s="37" t="n">
        <v>3302329</v>
      </c>
      <c r="G249" s="37" t="n">
        <v>2758795129</v>
      </c>
      <c r="H249" s="37" t="n">
        <v>1318362</v>
      </c>
      <c r="I249" s="37" t="n">
        <v>1185197001</v>
      </c>
      <c r="J249" s="37" t="n">
        <v>697010</v>
      </c>
      <c r="K249" s="37" t="n">
        <v>713358703</v>
      </c>
      <c r="L249" s="37" t="n">
        <v>257337</v>
      </c>
      <c r="M249" s="37" t="n">
        <v>265799885</v>
      </c>
      <c r="N249" s="37" t="n">
        <v>198259</v>
      </c>
      <c r="O249" s="37" t="n">
        <v>215693496</v>
      </c>
      <c r="P249" s="37" t="n">
        <v>104281</v>
      </c>
      <c r="Q249" s="37" t="n">
        <v>120302298</v>
      </c>
      <c r="R249" s="37" t="n">
        <v>362696</v>
      </c>
      <c r="S249" s="37" t="n">
        <v>513313377</v>
      </c>
    </row>
    <row r="250">
      <c r="A250" s="37" t="inlineStr">
        <is>
          <t>105年</t>
        </is>
      </c>
      <c r="B250" s="37" t="inlineStr">
        <is>
          <t>03月</t>
        </is>
      </c>
      <c r="C250" s="36" t="inlineStr">
        <is>
          <t>行</t>
        </is>
      </c>
      <c r="D250" s="37" t="n">
        <v>7440210</v>
      </c>
      <c r="E250" s="37" t="n">
        <v>6107686862</v>
      </c>
      <c r="F250" s="37" t="n">
        <v>3574706</v>
      </c>
      <c r="G250" s="37" t="n">
        <v>3212992093</v>
      </c>
      <c r="H250" s="37" t="n">
        <v>1436589</v>
      </c>
      <c r="I250" s="37" t="n">
        <v>1401101228</v>
      </c>
      <c r="J250" s="37" t="n">
        <v>764404</v>
      </c>
      <c r="K250" s="37" t="n">
        <v>856070498</v>
      </c>
      <c r="L250" s="37" t="n">
        <v>283731</v>
      </c>
      <c r="M250" s="37" t="n">
        <v>323605909</v>
      </c>
      <c r="N250" s="37" t="n">
        <v>220257</v>
      </c>
      <c r="O250" s="37" t="n">
        <v>264769837</v>
      </c>
      <c r="P250" s="37" t="n">
        <v>115348</v>
      </c>
      <c r="Q250" s="37" t="n">
        <v>143787126</v>
      </c>
      <c r="R250" s="37" t="n">
        <v>406168</v>
      </c>
      <c r="S250" s="37" t="n">
        <v>610509755</v>
      </c>
    </row>
    <row r="251">
      <c r="A251" s="37" t="inlineStr">
        <is>
          <t>105年</t>
        </is>
      </c>
      <c r="B251" s="37" t="inlineStr">
        <is>
          <t>04月</t>
        </is>
      </c>
      <c r="C251" s="36" t="inlineStr">
        <is>
          <t>行</t>
        </is>
      </c>
      <c r="D251" s="37" t="n">
        <v>7374564</v>
      </c>
      <c r="E251" s="37" t="n">
        <v>5919575011</v>
      </c>
      <c r="F251" s="37" t="n">
        <v>3526052</v>
      </c>
      <c r="G251" s="37" t="n">
        <v>3099465104</v>
      </c>
      <c r="H251" s="37" t="n">
        <v>1410405</v>
      </c>
      <c r="I251" s="37" t="n">
        <v>1345128487</v>
      </c>
      <c r="J251" s="37" t="n">
        <v>734704</v>
      </c>
      <c r="K251" s="37" t="n">
        <v>799651078</v>
      </c>
      <c r="L251" s="37" t="n">
        <v>276106</v>
      </c>
      <c r="M251" s="37" t="n">
        <v>313007544</v>
      </c>
      <c r="N251" s="37" t="n">
        <v>211697</v>
      </c>
      <c r="O251" s="37" t="n">
        <v>249433808</v>
      </c>
      <c r="P251" s="37" t="n">
        <v>113077</v>
      </c>
      <c r="Q251" s="37" t="n">
        <v>138808971</v>
      </c>
      <c r="R251" s="37" t="n">
        <v>389206</v>
      </c>
      <c r="S251" s="37" t="n">
        <v>579933134</v>
      </c>
    </row>
    <row r="252">
      <c r="A252" s="37" t="inlineStr">
        <is>
          <t>105年</t>
        </is>
      </c>
      <c r="B252" s="37" t="inlineStr">
        <is>
          <t>05月</t>
        </is>
      </c>
      <c r="C252" s="36" t="inlineStr">
        <is>
          <t>行</t>
        </is>
      </c>
      <c r="D252" s="37" t="n">
        <v>7773822</v>
      </c>
      <c r="E252" s="37" t="n">
        <v>6450708335</v>
      </c>
      <c r="F252" s="37" t="n">
        <v>3692219</v>
      </c>
      <c r="G252" s="37" t="n">
        <v>3340072844</v>
      </c>
      <c r="H252" s="37" t="n">
        <v>1469937</v>
      </c>
      <c r="I252" s="37" t="n">
        <v>1448507107</v>
      </c>
      <c r="J252" s="37" t="n">
        <v>767032</v>
      </c>
      <c r="K252" s="37" t="n">
        <v>869772148</v>
      </c>
      <c r="L252" s="37" t="n">
        <v>289204</v>
      </c>
      <c r="M252" s="37" t="n">
        <v>337010507</v>
      </c>
      <c r="N252" s="37" t="n">
        <v>222532</v>
      </c>
      <c r="O252" s="37" t="n">
        <v>274139985</v>
      </c>
      <c r="P252" s="37" t="n">
        <v>118491</v>
      </c>
      <c r="Q252" s="37" t="n">
        <v>151908434</v>
      </c>
      <c r="R252" s="37" t="n">
        <v>409881</v>
      </c>
      <c r="S252" s="37" t="n">
        <v>627915587</v>
      </c>
    </row>
    <row r="253">
      <c r="A253" s="37" t="inlineStr">
        <is>
          <t>105年</t>
        </is>
      </c>
      <c r="B253" s="37" t="inlineStr">
        <is>
          <t>06月</t>
        </is>
      </c>
      <c r="C253" s="36" t="inlineStr">
        <is>
          <t>行</t>
        </is>
      </c>
      <c r="D253" s="37" t="n">
        <v>8067553</v>
      </c>
      <c r="E253" s="37" t="n">
        <v>6937668070</v>
      </c>
      <c r="F253" s="37" t="n">
        <v>3875986</v>
      </c>
      <c r="G253" s="37" t="n">
        <v>3640461900</v>
      </c>
      <c r="H253" s="37" t="n">
        <v>1527041</v>
      </c>
      <c r="I253" s="37" t="n">
        <v>1558166581</v>
      </c>
      <c r="J253" s="37" t="n">
        <v>821797</v>
      </c>
      <c r="K253" s="37" t="n">
        <v>965100045</v>
      </c>
      <c r="L253" s="37" t="n">
        <v>299341</v>
      </c>
      <c r="M253" s="37" t="n">
        <v>357862173</v>
      </c>
      <c r="N253" s="37" t="n">
        <v>231097</v>
      </c>
      <c r="O253" s="37" t="n">
        <v>290935397</v>
      </c>
      <c r="P253" s="37" t="n">
        <v>123278</v>
      </c>
      <c r="Q253" s="37" t="n">
        <v>162998865</v>
      </c>
      <c r="R253" s="37" t="n">
        <v>438981</v>
      </c>
      <c r="S253" s="37" t="n">
        <v>715706497</v>
      </c>
    </row>
    <row r="254">
      <c r="A254" s="37" t="inlineStr">
        <is>
          <t>105年</t>
        </is>
      </c>
      <c r="B254" s="37" t="inlineStr">
        <is>
          <t>07月</t>
        </is>
      </c>
      <c r="C254" s="36" t="inlineStr">
        <is>
          <t>行</t>
        </is>
      </c>
      <c r="D254" s="37" t="n">
        <v>7994774</v>
      </c>
      <c r="E254" s="37" t="n">
        <v>6652818713</v>
      </c>
      <c r="F254" s="37" t="n">
        <v>3867122</v>
      </c>
      <c r="G254" s="37" t="n">
        <v>3523748408</v>
      </c>
      <c r="H254" s="37" t="n">
        <v>1541267</v>
      </c>
      <c r="I254" s="37" t="n">
        <v>1537006748</v>
      </c>
      <c r="J254" s="37" t="n">
        <v>805968</v>
      </c>
      <c r="K254" s="37" t="n">
        <v>917891347</v>
      </c>
      <c r="L254" s="37" t="n">
        <v>298603</v>
      </c>
      <c r="M254" s="37" t="n">
        <v>348812948</v>
      </c>
      <c r="N254" s="37" t="n">
        <v>230635</v>
      </c>
      <c r="O254" s="37" t="n">
        <v>281767257</v>
      </c>
      <c r="P254" s="37" t="n">
        <v>122406</v>
      </c>
      <c r="Q254" s="37" t="n">
        <v>153308866</v>
      </c>
      <c r="R254" s="37" t="n">
        <v>423027</v>
      </c>
      <c r="S254" s="37" t="n">
        <v>642763418</v>
      </c>
    </row>
    <row r="255">
      <c r="A255" s="37" t="inlineStr">
        <is>
          <t>105年</t>
        </is>
      </c>
      <c r="B255" s="37" t="inlineStr">
        <is>
          <t>08月</t>
        </is>
      </c>
      <c r="C255" s="36" t="inlineStr">
        <is>
          <t>行</t>
        </is>
      </c>
      <c r="D255" s="37" t="n">
        <v>7979587</v>
      </c>
      <c r="E255" s="37" t="n">
        <v>6468464895</v>
      </c>
      <c r="F255" s="37" t="n">
        <v>4008133</v>
      </c>
      <c r="G255" s="37" t="n">
        <v>3482581207</v>
      </c>
      <c r="H255" s="37" t="n">
        <v>1578387</v>
      </c>
      <c r="I255" s="37" t="n">
        <v>1496597387</v>
      </c>
      <c r="J255" s="37" t="n">
        <v>846235</v>
      </c>
      <c r="K255" s="37" t="n">
        <v>911982293</v>
      </c>
      <c r="L255" s="37" t="n">
        <v>407031</v>
      </c>
      <c r="M255" s="37" t="n">
        <v>410094793</v>
      </c>
      <c r="N255" s="37" t="n">
        <v>246577</v>
      </c>
      <c r="O255" s="37" t="n">
        <v>283432618</v>
      </c>
      <c r="P255" s="37" t="n">
        <v>127474</v>
      </c>
      <c r="Q255" s="37" t="n">
        <v>153874250</v>
      </c>
      <c r="R255" s="37" t="n">
        <v>456146</v>
      </c>
      <c r="S255" s="37" t="n">
        <v>649595518</v>
      </c>
    </row>
    <row r="256">
      <c r="A256" s="37" t="inlineStr">
        <is>
          <t>105年</t>
        </is>
      </c>
      <c r="B256" s="37" t="inlineStr">
        <is>
          <t>09月</t>
        </is>
      </c>
      <c r="C256" s="36" t="inlineStr">
        <is>
          <t>行</t>
        </is>
      </c>
      <c r="D256" s="37" t="n">
        <v>6943842</v>
      </c>
      <c r="E256" s="37" t="n">
        <v>5737114464</v>
      </c>
      <c r="F256" s="37" t="n">
        <v>3544312</v>
      </c>
      <c r="G256" s="37" t="n">
        <v>3163458867</v>
      </c>
      <c r="H256" s="37" t="n">
        <v>1370317</v>
      </c>
      <c r="I256" s="37" t="n">
        <v>1334471847</v>
      </c>
      <c r="J256" s="37" t="n">
        <v>758580</v>
      </c>
      <c r="K256" s="37" t="n">
        <v>825260977</v>
      </c>
      <c r="L256" s="37" t="n">
        <v>402127</v>
      </c>
      <c r="M256" s="37" t="n">
        <v>401510465</v>
      </c>
      <c r="N256" s="37" t="n">
        <v>229689</v>
      </c>
      <c r="O256" s="37" t="n">
        <v>266336265</v>
      </c>
      <c r="P256" s="37" t="n">
        <v>114791</v>
      </c>
      <c r="Q256" s="37" t="n">
        <v>142262948</v>
      </c>
      <c r="R256" s="37" t="n">
        <v>415868</v>
      </c>
      <c r="S256" s="37" t="n">
        <v>595375612</v>
      </c>
    </row>
    <row r="257">
      <c r="A257" s="37" t="inlineStr">
        <is>
          <t>105年</t>
        </is>
      </c>
      <c r="B257" s="37" t="inlineStr">
        <is>
          <t>10月</t>
        </is>
      </c>
      <c r="C257" s="36" t="inlineStr">
        <is>
          <t>行</t>
        </is>
      </c>
      <c r="D257" s="37" t="n">
        <v>7394248</v>
      </c>
      <c r="E257" s="37" t="n">
        <v>6342998481</v>
      </c>
      <c r="F257" s="37" t="n">
        <v>3797722</v>
      </c>
      <c r="G257" s="37" t="n">
        <v>3493385192</v>
      </c>
      <c r="H257" s="37" t="n">
        <v>1449863</v>
      </c>
      <c r="I257" s="37" t="n">
        <v>1456050902</v>
      </c>
      <c r="J257" s="37" t="n">
        <v>815309</v>
      </c>
      <c r="K257" s="37" t="n">
        <v>923021455</v>
      </c>
      <c r="L257" s="37" t="n">
        <v>449707</v>
      </c>
      <c r="M257" s="37" t="n">
        <v>458848402</v>
      </c>
      <c r="N257" s="37" t="n">
        <v>256678</v>
      </c>
      <c r="O257" s="37" t="n">
        <v>316276768</v>
      </c>
      <c r="P257" s="37" t="n">
        <v>121860</v>
      </c>
      <c r="Q257" s="37" t="n">
        <v>161307077</v>
      </c>
      <c r="R257" s="37" t="n">
        <v>460300</v>
      </c>
      <c r="S257" s="37" t="n">
        <v>695103653</v>
      </c>
    </row>
    <row r="258">
      <c r="A258" s="37" t="inlineStr">
        <is>
          <t>105年</t>
        </is>
      </c>
      <c r="B258" s="37" t="inlineStr">
        <is>
          <t>11月</t>
        </is>
      </c>
      <c r="C258" s="36" t="inlineStr">
        <is>
          <t>行</t>
        </is>
      </c>
      <c r="D258" s="37" t="n">
        <v>7497471</v>
      </c>
      <c r="E258" s="37" t="n">
        <v>6370996030</v>
      </c>
      <c r="F258" s="37" t="n">
        <v>4026305</v>
      </c>
      <c r="G258" s="37" t="n">
        <v>3633751608</v>
      </c>
      <c r="H258" s="37" t="n">
        <v>1560360</v>
      </c>
      <c r="I258" s="37" t="n">
        <v>1535786825</v>
      </c>
      <c r="J258" s="37" t="n">
        <v>836667</v>
      </c>
      <c r="K258" s="37" t="n">
        <v>936629098</v>
      </c>
      <c r="L258" s="37" t="n">
        <v>448147</v>
      </c>
      <c r="M258" s="37" t="n">
        <v>458879365</v>
      </c>
      <c r="N258" s="37" t="n">
        <v>223150</v>
      </c>
      <c r="O258" s="37" t="n">
        <v>289252505</v>
      </c>
      <c r="P258" s="37" t="n">
        <v>120225</v>
      </c>
      <c r="Q258" s="37" t="n">
        <v>164528556</v>
      </c>
      <c r="R258" s="37" t="n">
        <v>438047</v>
      </c>
      <c r="S258" s="37" t="n">
        <v>710158576</v>
      </c>
    </row>
    <row r="259">
      <c r="A259" s="37" t="inlineStr">
        <is>
          <t>105年</t>
        </is>
      </c>
      <c r="B259" s="37" t="inlineStr">
        <is>
          <t>12月</t>
        </is>
      </c>
      <c r="C259" s="36" t="inlineStr">
        <is>
          <t>行</t>
        </is>
      </c>
      <c r="D259" s="37" t="n">
        <v>7895946</v>
      </c>
      <c r="E259" s="37" t="n">
        <v>6983427485</v>
      </c>
      <c r="F259" s="37" t="n">
        <v>4227625</v>
      </c>
      <c r="G259" s="37" t="n">
        <v>3983212681</v>
      </c>
      <c r="H259" s="37" t="n">
        <v>1637661</v>
      </c>
      <c r="I259" s="37" t="n">
        <v>1669273133</v>
      </c>
      <c r="J259" s="37" t="n">
        <v>880419</v>
      </c>
      <c r="K259" s="37" t="n">
        <v>1022240436</v>
      </c>
      <c r="L259" s="37" t="n">
        <v>476759</v>
      </c>
      <c r="M259" s="37" t="n">
        <v>502667448</v>
      </c>
      <c r="N259" s="37" t="n">
        <v>234124</v>
      </c>
      <c r="O259" s="37" t="n">
        <v>305931041</v>
      </c>
      <c r="P259" s="37" t="n">
        <v>126585</v>
      </c>
      <c r="Q259" s="37" t="n">
        <v>168124502</v>
      </c>
      <c r="R259" s="37" t="n">
        <v>462659</v>
      </c>
      <c r="S259" s="37" t="n">
        <v>783136663</v>
      </c>
    </row>
    <row r="260">
      <c r="A260" s="37" t="inlineStr">
        <is>
          <t>106年</t>
        </is>
      </c>
      <c r="B260" s="37" t="inlineStr">
        <is>
          <t>01月</t>
        </is>
      </c>
      <c r="C260" s="36" t="inlineStr">
        <is>
          <t>行</t>
        </is>
      </c>
      <c r="D260" s="37" t="n">
        <v>6837139</v>
      </c>
      <c r="E260" s="37" t="n">
        <v>6240120082</v>
      </c>
      <c r="F260" s="37" t="n">
        <v>3569092</v>
      </c>
      <c r="G260" s="37" t="n">
        <v>3475799751</v>
      </c>
      <c r="H260" s="37" t="n">
        <v>1329797</v>
      </c>
      <c r="I260" s="37" t="n">
        <v>1418742238</v>
      </c>
      <c r="J260" s="37" t="n">
        <v>755233</v>
      </c>
      <c r="K260" s="37" t="n">
        <v>904180875</v>
      </c>
      <c r="L260" s="37" t="n">
        <v>423168</v>
      </c>
      <c r="M260" s="37" t="n">
        <v>461765950</v>
      </c>
      <c r="N260" s="37" t="n">
        <v>207402</v>
      </c>
      <c r="O260" s="37" t="n">
        <v>285603957</v>
      </c>
      <c r="P260" s="37" t="n">
        <v>103847</v>
      </c>
      <c r="Q260" s="37" t="n">
        <v>152208508</v>
      </c>
      <c r="R260" s="37" t="n">
        <v>414783</v>
      </c>
      <c r="S260" s="37" t="n">
        <v>686935630</v>
      </c>
    </row>
    <row r="261">
      <c r="A261" s="37" t="inlineStr">
        <is>
          <t>106年</t>
        </is>
      </c>
      <c r="B261" s="37" t="inlineStr">
        <is>
          <t>02月</t>
        </is>
      </c>
      <c r="C261" s="36" t="inlineStr">
        <is>
          <t>行</t>
        </is>
      </c>
      <c r="D261" s="37" t="n">
        <v>6242918</v>
      </c>
      <c r="E261" s="37" t="n">
        <v>5827325551</v>
      </c>
      <c r="F261" s="37" t="n">
        <v>3258715</v>
      </c>
      <c r="G261" s="37" t="n">
        <v>3243646247</v>
      </c>
      <c r="H261" s="37" t="n">
        <v>1225834</v>
      </c>
      <c r="I261" s="37" t="n">
        <v>1334418324</v>
      </c>
      <c r="J261" s="37" t="n">
        <v>696890</v>
      </c>
      <c r="K261" s="37" t="n">
        <v>855733751</v>
      </c>
      <c r="L261" s="37" t="n">
        <v>382387</v>
      </c>
      <c r="M261" s="37" t="n">
        <v>427396296</v>
      </c>
      <c r="N261" s="37" t="n">
        <v>188537</v>
      </c>
      <c r="O261" s="37" t="n">
        <v>264687752</v>
      </c>
      <c r="P261" s="37" t="n">
        <v>96183</v>
      </c>
      <c r="Q261" s="37" t="n">
        <v>141913186</v>
      </c>
      <c r="R261" s="37" t="n">
        <v>388019</v>
      </c>
      <c r="S261" s="37" t="n">
        <v>687165889</v>
      </c>
    </row>
    <row r="262">
      <c r="A262" s="37" t="inlineStr">
        <is>
          <t>106年</t>
        </is>
      </c>
      <c r="B262" s="37" t="inlineStr">
        <is>
          <t>03月</t>
        </is>
      </c>
      <c r="C262" s="36" t="inlineStr">
        <is>
          <t>行</t>
        </is>
      </c>
      <c r="D262" s="37" t="n">
        <v>7284267</v>
      </c>
      <c r="E262" s="37" t="n">
        <v>6674953904</v>
      </c>
      <c r="F262" s="37" t="n">
        <v>3839883</v>
      </c>
      <c r="G262" s="37" t="n">
        <v>3742879024</v>
      </c>
      <c r="H262" s="37" t="n">
        <v>1473726</v>
      </c>
      <c r="I262" s="37" t="n">
        <v>1569544111</v>
      </c>
      <c r="J262" s="37" t="n">
        <v>830445</v>
      </c>
      <c r="K262" s="37" t="n">
        <v>997448670</v>
      </c>
      <c r="L262" s="37" t="n">
        <v>454971</v>
      </c>
      <c r="M262" s="37" t="n">
        <v>497217251</v>
      </c>
      <c r="N262" s="37" t="n">
        <v>225619</v>
      </c>
      <c r="O262" s="37" t="n">
        <v>315116447</v>
      </c>
      <c r="P262" s="37" t="n">
        <v>119264</v>
      </c>
      <c r="Q262" s="37" t="n">
        <v>171776885</v>
      </c>
      <c r="R262" s="37" t="n">
        <v>461501</v>
      </c>
      <c r="S262" s="37" t="n">
        <v>808944573</v>
      </c>
    </row>
    <row r="263">
      <c r="A263" s="37" t="inlineStr">
        <is>
          <t>106年</t>
        </is>
      </c>
      <c r="B263" s="37" t="inlineStr">
        <is>
          <t>04月</t>
        </is>
      </c>
      <c r="C263" s="36" t="inlineStr">
        <is>
          <t>行</t>
        </is>
      </c>
      <c r="D263" s="37" t="n">
        <v>7526768</v>
      </c>
      <c r="E263" s="37" t="n">
        <v>6492490252</v>
      </c>
      <c r="F263" s="37" t="n">
        <v>4011370</v>
      </c>
      <c r="G263" s="37" t="n">
        <v>3683106423</v>
      </c>
      <c r="H263" s="37" t="n">
        <v>1561628</v>
      </c>
      <c r="I263" s="37" t="n">
        <v>1559325596</v>
      </c>
      <c r="J263" s="37" t="n">
        <v>841588</v>
      </c>
      <c r="K263" s="37" t="n">
        <v>953476883</v>
      </c>
      <c r="L263" s="37" t="n">
        <v>455317</v>
      </c>
      <c r="M263" s="37" t="n">
        <v>475831172</v>
      </c>
      <c r="N263" s="37" t="n">
        <v>225258</v>
      </c>
      <c r="O263" s="37" t="n">
        <v>291592182</v>
      </c>
      <c r="P263" s="37" t="n">
        <v>123157</v>
      </c>
      <c r="Q263" s="37" t="n">
        <v>162858150</v>
      </c>
      <c r="R263" s="37" t="n">
        <v>451784</v>
      </c>
      <c r="S263" s="37" t="n">
        <v>749521925</v>
      </c>
    </row>
    <row r="264">
      <c r="A264" s="37" t="inlineStr">
        <is>
          <t>106年</t>
        </is>
      </c>
      <c r="B264" s="37" t="inlineStr">
        <is>
          <t>05月</t>
        </is>
      </c>
      <c r="C264" s="36" t="inlineStr">
        <is>
          <t>行</t>
        </is>
      </c>
      <c r="D264" s="37" t="n">
        <v>7165647</v>
      </c>
      <c r="E264" s="37" t="n">
        <v>6264341655</v>
      </c>
      <c r="F264" s="37" t="n">
        <v>3745088</v>
      </c>
      <c r="G264" s="37" t="n">
        <v>3469326429</v>
      </c>
      <c r="H264" s="37" t="n">
        <v>1403838</v>
      </c>
      <c r="I264" s="37" t="n">
        <v>1438000371</v>
      </c>
      <c r="J264" s="37" t="n">
        <v>799732</v>
      </c>
      <c r="K264" s="37" t="n">
        <v>921746067</v>
      </c>
      <c r="L264" s="37" t="n">
        <v>445114</v>
      </c>
      <c r="M264" s="37" t="n">
        <v>464336833</v>
      </c>
      <c r="N264" s="37" t="n">
        <v>218257</v>
      </c>
      <c r="O264" s="37" t="n">
        <v>284152407</v>
      </c>
      <c r="P264" s="37" t="n">
        <v>112879</v>
      </c>
      <c r="Q264" s="37" t="n">
        <v>157636891</v>
      </c>
      <c r="R264" s="37" t="n">
        <v>453739</v>
      </c>
      <c r="S264" s="37" t="n">
        <v>767803411</v>
      </c>
    </row>
    <row r="265">
      <c r="A265" s="37" t="inlineStr">
        <is>
          <t>106年</t>
        </is>
      </c>
      <c r="B265" s="37" t="inlineStr">
        <is>
          <t>06月</t>
        </is>
      </c>
      <c r="C265" s="36" t="inlineStr">
        <is>
          <t>行</t>
        </is>
      </c>
      <c r="D265" s="37" t="n">
        <v>6117996</v>
      </c>
      <c r="E265" s="37" t="n">
        <v>5693526549</v>
      </c>
      <c r="F265" s="37" t="n">
        <v>3131071</v>
      </c>
      <c r="G265" s="37" t="n">
        <v>3116184639</v>
      </c>
      <c r="H265" s="37" t="n">
        <v>1127017</v>
      </c>
      <c r="I265" s="37" t="n">
        <v>1258636709</v>
      </c>
      <c r="J265" s="37" t="n">
        <v>690943</v>
      </c>
      <c r="K265" s="37" t="n">
        <v>853810395</v>
      </c>
      <c r="L265" s="37" t="n">
        <v>388508</v>
      </c>
      <c r="M265" s="37" t="n">
        <v>426242029</v>
      </c>
      <c r="N265" s="37" t="n">
        <v>192670</v>
      </c>
      <c r="O265" s="37" t="n">
        <v>275457730</v>
      </c>
      <c r="P265" s="37" t="n">
        <v>93171</v>
      </c>
      <c r="Q265" s="37" t="n">
        <v>144726260</v>
      </c>
      <c r="R265" s="37" t="n">
        <v>415048</v>
      </c>
      <c r="S265" s="37" t="n">
        <v>748052369</v>
      </c>
    </row>
    <row r="266">
      <c r="A266" s="37" t="inlineStr">
        <is>
          <t>106年</t>
        </is>
      </c>
      <c r="B266" s="37" t="inlineStr">
        <is>
          <t>07月</t>
        </is>
      </c>
      <c r="C266" s="36" t="inlineStr">
        <is>
          <t>行</t>
        </is>
      </c>
      <c r="D266" s="37" t="n">
        <v>6555345</v>
      </c>
      <c r="E266" s="37" t="n">
        <v>5900427906</v>
      </c>
      <c r="F266" s="37" t="n">
        <v>3389587</v>
      </c>
      <c r="G266" s="37" t="n">
        <v>3244909401</v>
      </c>
      <c r="H266" s="37" t="n">
        <v>1211960</v>
      </c>
      <c r="I266" s="37" t="n">
        <v>1310143458</v>
      </c>
      <c r="J266" s="37" t="n">
        <v>733383</v>
      </c>
      <c r="K266" s="37" t="n">
        <v>876290433</v>
      </c>
      <c r="L266" s="37" t="n">
        <v>409237</v>
      </c>
      <c r="M266" s="37" t="n">
        <v>437695648</v>
      </c>
      <c r="N266" s="37" t="n">
        <v>204292</v>
      </c>
      <c r="O266" s="37" t="n">
        <v>281227613</v>
      </c>
      <c r="P266" s="37" t="n">
        <v>99515</v>
      </c>
      <c r="Q266" s="37" t="n">
        <v>151875368</v>
      </c>
      <c r="R266" s="37" t="n">
        <v>436977</v>
      </c>
      <c r="S266" s="37" t="n">
        <v>733283736</v>
      </c>
    </row>
    <row r="267">
      <c r="A267" s="37" t="inlineStr">
        <is>
          <t>106年</t>
        </is>
      </c>
      <c r="B267" s="37" t="inlineStr">
        <is>
          <t>08月</t>
        </is>
      </c>
      <c r="C267" s="36" t="inlineStr">
        <is>
          <t>行</t>
        </is>
      </c>
      <c r="D267" s="37" t="n">
        <v>6734103</v>
      </c>
      <c r="E267" s="37" t="n">
        <v>6158476066</v>
      </c>
      <c r="F267" s="37" t="n">
        <v>3484839</v>
      </c>
      <c r="G267" s="37" t="n">
        <v>3407753226</v>
      </c>
      <c r="H267" s="37" t="n">
        <v>1250470</v>
      </c>
      <c r="I267" s="37" t="n">
        <v>1365095112</v>
      </c>
      <c r="J267" s="37" t="n">
        <v>756062</v>
      </c>
      <c r="K267" s="37" t="n">
        <v>914361956</v>
      </c>
      <c r="L267" s="37" t="n">
        <v>416682</v>
      </c>
      <c r="M267" s="37" t="n">
        <v>456585710</v>
      </c>
      <c r="N267" s="37" t="n">
        <v>211335</v>
      </c>
      <c r="O267" s="37" t="n">
        <v>294394895</v>
      </c>
      <c r="P267" s="37" t="n">
        <v>103491</v>
      </c>
      <c r="Q267" s="37" t="n">
        <v>155886014</v>
      </c>
      <c r="R267" s="37" t="n">
        <v>451579</v>
      </c>
      <c r="S267" s="37" t="n">
        <v>771753345</v>
      </c>
    </row>
    <row r="268">
      <c r="A268" s="37" t="inlineStr">
        <is>
          <t>106年</t>
        </is>
      </c>
      <c r="B268" s="37" t="inlineStr">
        <is>
          <t>09月</t>
        </is>
      </c>
      <c r="C268" s="36" t="inlineStr">
        <is>
          <t>行</t>
        </is>
      </c>
      <c r="D268" s="37" t="n">
        <v>6487041</v>
      </c>
      <c r="E268" s="37" t="n">
        <v>5963139892</v>
      </c>
      <c r="F268" s="37" t="n">
        <v>3321215</v>
      </c>
      <c r="G268" s="37" t="n">
        <v>3284017200</v>
      </c>
      <c r="H268" s="37" t="n">
        <v>1188384</v>
      </c>
      <c r="I268" s="37" t="n">
        <v>1305118557</v>
      </c>
      <c r="J268" s="37" t="n">
        <v>723119</v>
      </c>
      <c r="K268" s="37" t="n">
        <v>878902982</v>
      </c>
      <c r="L268" s="37" t="n">
        <v>394563</v>
      </c>
      <c r="M268" s="37" t="n">
        <v>435112227</v>
      </c>
      <c r="N268" s="37" t="n">
        <v>204012</v>
      </c>
      <c r="O268" s="37" t="n">
        <v>287731475</v>
      </c>
      <c r="P268" s="37" t="n">
        <v>100519</v>
      </c>
      <c r="Q268" s="37" t="n">
        <v>153088679</v>
      </c>
      <c r="R268" s="37" t="n">
        <v>438646</v>
      </c>
      <c r="S268" s="37" t="n">
        <v>753722939</v>
      </c>
    </row>
    <row r="269">
      <c r="A269" s="37" t="inlineStr">
        <is>
          <t>106年</t>
        </is>
      </c>
      <c r="B269" s="37" t="inlineStr">
        <is>
          <t>10月</t>
        </is>
      </c>
      <c r="C269" s="36" t="inlineStr">
        <is>
          <t>行</t>
        </is>
      </c>
      <c r="D269" s="37" t="n">
        <v>6715305</v>
      </c>
      <c r="E269" s="37" t="n">
        <v>6437172516</v>
      </c>
      <c r="F269" s="37" t="n">
        <v>3415418</v>
      </c>
      <c r="G269" s="37" t="n">
        <v>3530802837</v>
      </c>
      <c r="H269" s="37" t="n">
        <v>1224302</v>
      </c>
      <c r="I269" s="37" t="n">
        <v>1424619341</v>
      </c>
      <c r="J269" s="37" t="n">
        <v>752195</v>
      </c>
      <c r="K269" s="37" t="n">
        <v>967021579</v>
      </c>
      <c r="L269" s="37" t="n">
        <v>400713</v>
      </c>
      <c r="M269" s="37" t="n">
        <v>469232320</v>
      </c>
      <c r="N269" s="37" t="n">
        <v>209961</v>
      </c>
      <c r="O269" s="37" t="n">
        <v>319174045</v>
      </c>
      <c r="P269" s="37" t="n">
        <v>103565</v>
      </c>
      <c r="Q269" s="37" t="n">
        <v>161149308</v>
      </c>
      <c r="R269" s="37" t="n">
        <v>449268</v>
      </c>
      <c r="S269" s="37" t="n">
        <v>829818599</v>
      </c>
    </row>
    <row r="270">
      <c r="A270" s="37" t="inlineStr">
        <is>
          <t>106年</t>
        </is>
      </c>
      <c r="B270" s="37" t="inlineStr">
        <is>
          <t>11月</t>
        </is>
      </c>
      <c r="C270" s="36" t="inlineStr">
        <is>
          <t>行</t>
        </is>
      </c>
      <c r="D270" s="37" t="n">
        <v>6576984</v>
      </c>
      <c r="E270" s="37" t="n">
        <v>6222213550</v>
      </c>
      <c r="F270" s="37" t="n">
        <v>3323699</v>
      </c>
      <c r="G270" s="37" t="n">
        <v>3396789846</v>
      </c>
      <c r="H270" s="37" t="n">
        <v>1194509</v>
      </c>
      <c r="I270" s="37" t="n">
        <v>1380323210</v>
      </c>
      <c r="J270" s="37" t="n">
        <v>735840</v>
      </c>
      <c r="K270" s="37" t="n">
        <v>947862992</v>
      </c>
      <c r="L270" s="37" t="n">
        <v>388570</v>
      </c>
      <c r="M270" s="37" t="n">
        <v>454049853</v>
      </c>
      <c r="N270" s="37" t="n">
        <v>206755</v>
      </c>
      <c r="O270" s="37" t="n">
        <v>304751535</v>
      </c>
      <c r="P270" s="37" t="n">
        <v>101096</v>
      </c>
      <c r="Q270" s="37" t="n">
        <v>161642915</v>
      </c>
      <c r="R270" s="37" t="n">
        <v>445435</v>
      </c>
      <c r="S270" s="37" t="n">
        <v>804733898</v>
      </c>
    </row>
    <row r="271">
      <c r="A271" s="37" t="inlineStr">
        <is>
          <t>106年</t>
        </is>
      </c>
      <c r="B271" s="37" t="inlineStr">
        <is>
          <t>12月</t>
        </is>
      </c>
      <c r="C271" s="36" t="inlineStr">
        <is>
          <t>行</t>
        </is>
      </c>
      <c r="D271" s="37" t="n">
        <v>7068126</v>
      </c>
      <c r="E271" s="37" t="n">
        <v>6838312886</v>
      </c>
      <c r="F271" s="37" t="n">
        <v>3543135</v>
      </c>
      <c r="G271" s="37" t="n">
        <v>3735503348</v>
      </c>
      <c r="H271" s="37" t="n">
        <v>1269409</v>
      </c>
      <c r="I271" s="37" t="n">
        <v>1509733574</v>
      </c>
      <c r="J271" s="37" t="n">
        <v>779529</v>
      </c>
      <c r="K271" s="37" t="n">
        <v>1033152367</v>
      </c>
      <c r="L271" s="37" t="n">
        <v>408306</v>
      </c>
      <c r="M271" s="37" t="n">
        <v>487435777</v>
      </c>
      <c r="N271" s="37" t="n">
        <v>217877</v>
      </c>
      <c r="O271" s="37" t="n">
        <v>329463133</v>
      </c>
      <c r="P271" s="37" t="n">
        <v>107202</v>
      </c>
      <c r="Q271" s="37" t="n">
        <v>177440854</v>
      </c>
      <c r="R271" s="37" t="n">
        <v>470167</v>
      </c>
      <c r="S271" s="37" t="n">
        <v>854598903</v>
      </c>
    </row>
    <row r="272">
      <c r="A272" s="37" t="inlineStr">
        <is>
          <t>107年</t>
        </is>
      </c>
      <c r="B272" s="37" t="inlineStr">
        <is>
          <t>01月</t>
        </is>
      </c>
      <c r="C272" s="36" t="inlineStr">
        <is>
          <t>行</t>
        </is>
      </c>
      <c r="D272" s="37" t="n">
        <v>6231943</v>
      </c>
      <c r="E272" s="37" t="n">
        <v>6193281095</v>
      </c>
      <c r="F272" s="37" t="n">
        <v>3211690</v>
      </c>
      <c r="G272" s="37" t="n">
        <v>3459958850</v>
      </c>
      <c r="H272" s="37" t="n">
        <v>1141428</v>
      </c>
      <c r="I272" s="37" t="n">
        <v>1376605759</v>
      </c>
      <c r="J272" s="37" t="n">
        <v>696316</v>
      </c>
      <c r="K272" s="37" t="n">
        <v>932062514</v>
      </c>
      <c r="L272" s="37" t="n">
        <v>370604</v>
      </c>
      <c r="M272" s="37" t="n">
        <v>456671280</v>
      </c>
      <c r="N272" s="37" t="n">
        <v>192713</v>
      </c>
      <c r="O272" s="37" t="n">
        <v>302849744</v>
      </c>
      <c r="P272" s="37" t="n">
        <v>94787</v>
      </c>
      <c r="Q272" s="37" t="n">
        <v>160971263</v>
      </c>
      <c r="R272" s="37" t="n">
        <v>414374</v>
      </c>
      <c r="S272" s="37" t="n">
        <v>785010704</v>
      </c>
    </row>
    <row r="273">
      <c r="A273" s="37" t="inlineStr">
        <is>
          <t>107年</t>
        </is>
      </c>
      <c r="B273" s="37" t="inlineStr">
        <is>
          <t>02月</t>
        </is>
      </c>
      <c r="C273" s="36" t="inlineStr">
        <is>
          <t>行</t>
        </is>
      </c>
      <c r="D273" s="37" t="n">
        <v>5892666</v>
      </c>
      <c r="E273" s="37" t="n">
        <v>5605433277</v>
      </c>
      <c r="F273" s="37" t="n">
        <v>2985192</v>
      </c>
      <c r="G273" s="37" t="n">
        <v>3058645503</v>
      </c>
      <c r="H273" s="37" t="n">
        <v>1075246</v>
      </c>
      <c r="I273" s="37" t="n">
        <v>1225033124</v>
      </c>
      <c r="J273" s="37" t="n">
        <v>657541</v>
      </c>
      <c r="K273" s="37" t="n">
        <v>825882248</v>
      </c>
      <c r="L273" s="37" t="n">
        <v>349028</v>
      </c>
      <c r="M273" s="37" t="n">
        <v>410496084</v>
      </c>
      <c r="N273" s="37" t="n">
        <v>181030</v>
      </c>
      <c r="O273" s="37" t="n">
        <v>258757940</v>
      </c>
      <c r="P273" s="37" t="n">
        <v>90065</v>
      </c>
      <c r="Q273" s="37" t="n">
        <v>144321149</v>
      </c>
      <c r="R273" s="37" t="n">
        <v>388141</v>
      </c>
      <c r="S273" s="37" t="n">
        <v>669803014</v>
      </c>
    </row>
    <row r="274">
      <c r="A274" s="37" t="inlineStr">
        <is>
          <t>107年</t>
        </is>
      </c>
      <c r="B274" s="37" t="inlineStr">
        <is>
          <t>03月</t>
        </is>
      </c>
      <c r="C274" s="36" t="inlineStr">
        <is>
          <t>行</t>
        </is>
      </c>
      <c r="D274" s="37" t="n">
        <v>6982991</v>
      </c>
      <c r="E274" s="37" t="n">
        <v>6816174240</v>
      </c>
      <c r="F274" s="37" t="n">
        <v>3485859</v>
      </c>
      <c r="G274" s="37" t="n">
        <v>3679357656</v>
      </c>
      <c r="H274" s="37" t="n">
        <v>1256539</v>
      </c>
      <c r="I274" s="37" t="n">
        <v>1482099265</v>
      </c>
      <c r="J274" s="37" t="n">
        <v>770654</v>
      </c>
      <c r="K274" s="37" t="n">
        <v>1022559057</v>
      </c>
      <c r="L274" s="37" t="n">
        <v>399044</v>
      </c>
      <c r="M274" s="37" t="n">
        <v>490509905</v>
      </c>
      <c r="N274" s="37" t="n">
        <v>219544</v>
      </c>
      <c r="O274" s="37" t="n">
        <v>329788942</v>
      </c>
      <c r="P274" s="37" t="n">
        <v>108944</v>
      </c>
      <c r="Q274" s="37" t="n">
        <v>177527044</v>
      </c>
      <c r="R274" s="37" t="n">
        <v>472429</v>
      </c>
      <c r="S274" s="37" t="n">
        <v>885218807</v>
      </c>
    </row>
    <row r="275">
      <c r="A275" s="37" t="inlineStr">
        <is>
          <t>107年</t>
        </is>
      </c>
      <c r="B275" s="37" t="inlineStr">
        <is>
          <t>04月</t>
        </is>
      </c>
      <c r="C275" s="36" t="inlineStr">
        <is>
          <t>行</t>
        </is>
      </c>
      <c r="D275" s="37" t="n">
        <v>7053997</v>
      </c>
      <c r="E275" s="37" t="n">
        <v>6663523025</v>
      </c>
      <c r="F275" s="37" t="n">
        <v>3492862</v>
      </c>
      <c r="G275" s="37" t="n">
        <v>3558607767</v>
      </c>
      <c r="H275" s="37" t="n">
        <v>1269288</v>
      </c>
      <c r="I275" s="37" t="n">
        <v>1435863818</v>
      </c>
      <c r="J275" s="37" t="n">
        <v>766026</v>
      </c>
      <c r="K275" s="37" t="n">
        <v>966075762</v>
      </c>
      <c r="L275" s="37" t="n">
        <v>403874</v>
      </c>
      <c r="M275" s="37" t="n">
        <v>478004457</v>
      </c>
      <c r="N275" s="37" t="n">
        <v>227822</v>
      </c>
      <c r="O275" s="37" t="n">
        <v>322028470</v>
      </c>
      <c r="P275" s="37" t="n">
        <v>110172</v>
      </c>
      <c r="Q275" s="37" t="n">
        <v>169134233</v>
      </c>
      <c r="R275" s="37" t="n">
        <v>467706</v>
      </c>
      <c r="S275" s="37" t="n">
        <v>825364945</v>
      </c>
    </row>
    <row r="276">
      <c r="A276" s="37" t="inlineStr">
        <is>
          <t>107年</t>
        </is>
      </c>
      <c r="B276" s="37" t="inlineStr">
        <is>
          <t>05月</t>
        </is>
      </c>
      <c r="C276" s="36" t="inlineStr">
        <is>
          <t>行</t>
        </is>
      </c>
      <c r="D276" s="37" t="n">
        <v>7653928</v>
      </c>
      <c r="E276" s="37" t="n">
        <v>7280205566</v>
      </c>
      <c r="F276" s="37" t="n">
        <v>3741971</v>
      </c>
      <c r="G276" s="37" t="n">
        <v>3859304307</v>
      </c>
      <c r="H276" s="37" t="n">
        <v>1379494</v>
      </c>
      <c r="I276" s="37" t="n">
        <v>1580437201</v>
      </c>
      <c r="J276" s="37" t="n">
        <v>829517</v>
      </c>
      <c r="K276" s="37" t="n">
        <v>1059448046</v>
      </c>
      <c r="L276" s="37" t="n">
        <v>445193</v>
      </c>
      <c r="M276" s="37" t="n">
        <v>529404548</v>
      </c>
      <c r="N276" s="37" t="n">
        <v>264202</v>
      </c>
      <c r="O276" s="37" t="n">
        <v>363874794</v>
      </c>
      <c r="P276" s="37" t="n">
        <v>125873</v>
      </c>
      <c r="Q276" s="37" t="n">
        <v>197100589</v>
      </c>
      <c r="R276" s="37" t="n">
        <v>521018</v>
      </c>
      <c r="S276" s="37" t="n">
        <v>920155960</v>
      </c>
    </row>
    <row r="277">
      <c r="A277" s="37" t="inlineStr">
        <is>
          <t>107年</t>
        </is>
      </c>
      <c r="B277" s="37" t="inlineStr">
        <is>
          <t>06月</t>
        </is>
      </c>
      <c r="C277" s="36" t="inlineStr">
        <is>
          <t>行</t>
        </is>
      </c>
      <c r="D277" s="37" t="n">
        <v>7576302</v>
      </c>
      <c r="E277" s="37" t="n">
        <v>7192209716</v>
      </c>
      <c r="F277" s="37" t="n">
        <v>3686153</v>
      </c>
      <c r="G277" s="37" t="n">
        <v>3783891854</v>
      </c>
      <c r="H277" s="37" t="n">
        <v>1359045</v>
      </c>
      <c r="I277" s="37" t="n">
        <v>1550899824</v>
      </c>
      <c r="J277" s="37" t="n">
        <v>812085</v>
      </c>
      <c r="K277" s="37" t="n">
        <v>1031873097</v>
      </c>
      <c r="L277" s="37" t="n">
        <v>432613</v>
      </c>
      <c r="M277" s="37" t="n">
        <v>518013431</v>
      </c>
      <c r="N277" s="37" t="n">
        <v>258370</v>
      </c>
      <c r="O277" s="37" t="n">
        <v>356268482</v>
      </c>
      <c r="P277" s="37" t="n">
        <v>123406</v>
      </c>
      <c r="Q277" s="37" t="n">
        <v>184088386</v>
      </c>
      <c r="R277" s="37" t="n">
        <v>506988</v>
      </c>
      <c r="S277" s="37" t="n">
        <v>875218507</v>
      </c>
    </row>
    <row r="278">
      <c r="A278" s="37" t="inlineStr">
        <is>
          <t>107年</t>
        </is>
      </c>
      <c r="B278" s="37" t="inlineStr">
        <is>
          <t>07月</t>
        </is>
      </c>
      <c r="C278" s="36" t="inlineStr">
        <is>
          <t>行</t>
        </is>
      </c>
      <c r="D278" s="37" t="n">
        <v>7852982</v>
      </c>
      <c r="E278" s="37" t="n">
        <v>7702557001</v>
      </c>
      <c r="F278" s="37" t="n">
        <v>3838650</v>
      </c>
      <c r="G278" s="37" t="n">
        <v>4086626146</v>
      </c>
      <c r="H278" s="37" t="n">
        <v>1419742</v>
      </c>
      <c r="I278" s="37" t="n">
        <v>1657392710</v>
      </c>
      <c r="J278" s="37" t="n">
        <v>837297</v>
      </c>
      <c r="K278" s="37" t="n">
        <v>1097846223</v>
      </c>
      <c r="L278" s="37" t="n">
        <v>448998</v>
      </c>
      <c r="M278" s="37" t="n">
        <v>548079108</v>
      </c>
      <c r="N278" s="37" t="n">
        <v>267738</v>
      </c>
      <c r="O278" s="37" t="n">
        <v>376681151</v>
      </c>
      <c r="P278" s="37" t="n">
        <v>127833</v>
      </c>
      <c r="Q278" s="37" t="n">
        <v>193847588</v>
      </c>
      <c r="R278" s="37" t="n">
        <v>526791</v>
      </c>
      <c r="S278" s="37" t="n">
        <v>919660171</v>
      </c>
    </row>
    <row r="279">
      <c r="A279" s="37" t="inlineStr">
        <is>
          <t>107年</t>
        </is>
      </c>
      <c r="B279" s="37" t="inlineStr">
        <is>
          <t>08月</t>
        </is>
      </c>
      <c r="C279" s="36" t="inlineStr">
        <is>
          <t>行</t>
        </is>
      </c>
      <c r="D279" s="37" t="n">
        <v>7229565</v>
      </c>
      <c r="E279" s="37" t="n">
        <v>6894048444</v>
      </c>
      <c r="F279" s="37" t="n">
        <v>3616435</v>
      </c>
      <c r="G279" s="37" t="n">
        <v>3734246945</v>
      </c>
      <c r="H279" s="37" t="n">
        <v>1341320</v>
      </c>
      <c r="I279" s="37" t="n">
        <v>1534264613</v>
      </c>
      <c r="J279" s="37" t="n">
        <v>781226</v>
      </c>
      <c r="K279" s="37" t="n">
        <v>995107037</v>
      </c>
      <c r="L279" s="37" t="n">
        <v>421478</v>
      </c>
      <c r="M279" s="37" t="n">
        <v>506520087</v>
      </c>
      <c r="N279" s="37" t="n">
        <v>249598</v>
      </c>
      <c r="O279" s="37" t="n">
        <v>343406677</v>
      </c>
      <c r="P279" s="37" t="n">
        <v>122952</v>
      </c>
      <c r="Q279" s="37" t="n">
        <v>187676700</v>
      </c>
      <c r="R279" s="37" t="n">
        <v>493668</v>
      </c>
      <c r="S279" s="37" t="n">
        <v>854568458</v>
      </c>
    </row>
    <row r="280">
      <c r="A280" s="37" t="inlineStr">
        <is>
          <t>107年</t>
        </is>
      </c>
      <c r="B280" s="37" t="inlineStr">
        <is>
          <t>09月</t>
        </is>
      </c>
      <c r="C280" s="36" t="inlineStr">
        <is>
          <t>行</t>
        </is>
      </c>
      <c r="D280" s="37" t="n">
        <v>7496980</v>
      </c>
      <c r="E280" s="37" t="n">
        <v>7158843352</v>
      </c>
      <c r="F280" s="37" t="n">
        <v>3660257</v>
      </c>
      <c r="G280" s="37" t="n">
        <v>3777707908</v>
      </c>
      <c r="H280" s="37" t="n">
        <v>1353819</v>
      </c>
      <c r="I280" s="37" t="n">
        <v>1553265418</v>
      </c>
      <c r="J280" s="37" t="n">
        <v>799414</v>
      </c>
      <c r="K280" s="37" t="n">
        <v>1019905478</v>
      </c>
      <c r="L280" s="37" t="n">
        <v>423623</v>
      </c>
      <c r="M280" s="37" t="n">
        <v>512101823</v>
      </c>
      <c r="N280" s="37" t="n">
        <v>256145</v>
      </c>
      <c r="O280" s="37" t="n">
        <v>349520809</v>
      </c>
      <c r="P280" s="37" t="n">
        <v>123898</v>
      </c>
      <c r="Q280" s="37" t="n">
        <v>182828010</v>
      </c>
      <c r="R280" s="37" t="n">
        <v>498617</v>
      </c>
      <c r="S280" s="37" t="n">
        <v>860524495</v>
      </c>
    </row>
    <row r="281">
      <c r="A281" s="37" t="inlineStr">
        <is>
          <t>107年</t>
        </is>
      </c>
      <c r="B281" s="37" t="inlineStr">
        <is>
          <t>10月</t>
        </is>
      </c>
      <c r="C281" s="36" t="inlineStr">
        <is>
          <t>行</t>
        </is>
      </c>
      <c r="D281" s="37" t="n">
        <v>6666724</v>
      </c>
      <c r="E281" s="37" t="n">
        <v>6304556414</v>
      </c>
      <c r="F281" s="37" t="n">
        <v>3297787</v>
      </c>
      <c r="G281" s="37" t="n">
        <v>3388879040</v>
      </c>
      <c r="H281" s="37" t="n">
        <v>1213139</v>
      </c>
      <c r="I281" s="37" t="n">
        <v>1390299533</v>
      </c>
      <c r="J281" s="37" t="n">
        <v>702053</v>
      </c>
      <c r="K281" s="37" t="n">
        <v>906029873</v>
      </c>
      <c r="L281" s="37" t="n">
        <v>382134</v>
      </c>
      <c r="M281" s="37" t="n">
        <v>464106803</v>
      </c>
      <c r="N281" s="37" t="n">
        <v>225375</v>
      </c>
      <c r="O281" s="37" t="n">
        <v>310860254</v>
      </c>
      <c r="P281" s="37" t="n">
        <v>110897</v>
      </c>
      <c r="Q281" s="37" t="n">
        <v>169668867</v>
      </c>
      <c r="R281" s="37" t="n">
        <v>435061</v>
      </c>
      <c r="S281" s="37" t="n">
        <v>761315104</v>
      </c>
    </row>
    <row r="282">
      <c r="A282" s="37" t="inlineStr">
        <is>
          <t>107年</t>
        </is>
      </c>
      <c r="B282" s="37" t="inlineStr">
        <is>
          <t>11月</t>
        </is>
      </c>
      <c r="C282" s="36" t="inlineStr">
        <is>
          <t>行</t>
        </is>
      </c>
      <c r="D282" s="37" t="n">
        <v>7525906</v>
      </c>
      <c r="E282" s="37" t="n">
        <v>6957162806</v>
      </c>
      <c r="F282" s="37" t="n">
        <v>3606116</v>
      </c>
      <c r="G282" s="37" t="n">
        <v>3631633241</v>
      </c>
      <c r="H282" s="37" t="n">
        <v>1343726</v>
      </c>
      <c r="I282" s="37" t="n">
        <v>1501533430</v>
      </c>
      <c r="J282" s="37" t="n">
        <v>787335</v>
      </c>
      <c r="K282" s="37" t="n">
        <v>988284948</v>
      </c>
      <c r="L282" s="37" t="n">
        <v>402885</v>
      </c>
      <c r="M282" s="37" t="n">
        <v>487999273</v>
      </c>
      <c r="N282" s="37" t="n">
        <v>252143</v>
      </c>
      <c r="O282" s="37" t="n">
        <v>354355805</v>
      </c>
      <c r="P282" s="37" t="n">
        <v>126041</v>
      </c>
      <c r="Q282" s="37" t="n">
        <v>186397233</v>
      </c>
      <c r="R282" s="37" t="n">
        <v>508122</v>
      </c>
      <c r="S282" s="37" t="n">
        <v>885284985</v>
      </c>
    </row>
    <row r="283">
      <c r="A283" s="37" t="inlineStr">
        <is>
          <t>107年</t>
        </is>
      </c>
      <c r="B283" s="37" t="inlineStr">
        <is>
          <t>12月</t>
        </is>
      </c>
      <c r="C283" s="36" t="inlineStr">
        <is>
          <t>行</t>
        </is>
      </c>
      <c r="D283" s="37" t="n">
        <v>7983762</v>
      </c>
      <c r="E283" s="37" t="n">
        <v>7357622529</v>
      </c>
      <c r="F283" s="37" t="n">
        <v>3828484</v>
      </c>
      <c r="G283" s="37" t="n">
        <v>3869377480</v>
      </c>
      <c r="H283" s="37" t="n">
        <v>1432831</v>
      </c>
      <c r="I283" s="37" t="n">
        <v>1599287764</v>
      </c>
      <c r="J283" s="37" t="n">
        <v>838604</v>
      </c>
      <c r="K283" s="37" t="n">
        <v>1045303156</v>
      </c>
      <c r="L283" s="37" t="n">
        <v>433358</v>
      </c>
      <c r="M283" s="37" t="n">
        <v>522847500</v>
      </c>
      <c r="N283" s="37" t="n">
        <v>270981</v>
      </c>
      <c r="O283" s="37" t="n">
        <v>372233180</v>
      </c>
      <c r="P283" s="37" t="n">
        <v>134246</v>
      </c>
      <c r="Q283" s="37" t="n">
        <v>202950555</v>
      </c>
      <c r="R283" s="37" t="n">
        <v>544563</v>
      </c>
      <c r="S283" s="37" t="n">
        <v>921776638</v>
      </c>
    </row>
    <row r="284">
      <c r="A284" s="37" t="inlineStr">
        <is>
          <t>108年</t>
        </is>
      </c>
      <c r="B284" s="37" t="inlineStr">
        <is>
          <t>01月</t>
        </is>
      </c>
      <c r="C284" s="36" t="inlineStr">
        <is>
          <t>行</t>
        </is>
      </c>
      <c r="D284" s="37" t="n">
        <v>7300999</v>
      </c>
      <c r="E284" s="37" t="n">
        <v>6649390956</v>
      </c>
      <c r="F284" s="37" t="n">
        <v>3638316</v>
      </c>
      <c r="G284" s="37" t="n">
        <v>3611467388</v>
      </c>
      <c r="H284" s="37" t="n">
        <v>1358875</v>
      </c>
      <c r="I284" s="37" t="n">
        <v>1496647788</v>
      </c>
      <c r="J284" s="37" t="n">
        <v>791993</v>
      </c>
      <c r="K284" s="37" t="n">
        <v>959701081</v>
      </c>
      <c r="L284" s="37" t="n">
        <v>423812</v>
      </c>
      <c r="M284" s="37" t="n">
        <v>484810459</v>
      </c>
      <c r="N284" s="37" t="n">
        <v>254278</v>
      </c>
      <c r="O284" s="37" t="n">
        <v>334587903</v>
      </c>
      <c r="P284" s="37" t="n">
        <v>126927</v>
      </c>
      <c r="Q284" s="37" t="n">
        <v>184579738</v>
      </c>
      <c r="R284" s="37" t="n">
        <v>512179</v>
      </c>
      <c r="S284" s="37" t="n">
        <v>847962081</v>
      </c>
    </row>
    <row r="285">
      <c r="A285" s="37" t="inlineStr">
        <is>
          <t>108年</t>
        </is>
      </c>
      <c r="B285" s="37" t="inlineStr">
        <is>
          <t>02月</t>
        </is>
      </c>
      <c r="C285" s="36" t="inlineStr">
        <is>
          <t>行</t>
        </is>
      </c>
      <c r="D285" s="37" t="n">
        <v>6020223</v>
      </c>
      <c r="E285" s="37" t="n">
        <v>5443660802</v>
      </c>
      <c r="F285" s="37" t="n">
        <v>3053153</v>
      </c>
      <c r="G285" s="37" t="n">
        <v>2993145617</v>
      </c>
      <c r="H285" s="37" t="n">
        <v>1136288</v>
      </c>
      <c r="I285" s="37" t="n">
        <v>1227572075</v>
      </c>
      <c r="J285" s="37" t="n">
        <v>657326</v>
      </c>
      <c r="K285" s="37" t="n">
        <v>783124979</v>
      </c>
      <c r="L285" s="37" t="n">
        <v>351793</v>
      </c>
      <c r="M285" s="37" t="n">
        <v>400736622</v>
      </c>
      <c r="N285" s="37" t="n">
        <v>210760</v>
      </c>
      <c r="O285" s="37" t="n">
        <v>268170716</v>
      </c>
      <c r="P285" s="37" t="n">
        <v>103666</v>
      </c>
      <c r="Q285" s="37" t="n">
        <v>146637003</v>
      </c>
      <c r="R285" s="37" t="n">
        <v>418578</v>
      </c>
      <c r="S285" s="37" t="n">
        <v>672873296</v>
      </c>
    </row>
    <row r="286">
      <c r="A286" s="37" t="inlineStr">
        <is>
          <t>108年</t>
        </is>
      </c>
      <c r="B286" s="37" t="inlineStr">
        <is>
          <t>03月</t>
        </is>
      </c>
      <c r="C286" s="36" t="inlineStr">
        <is>
          <t>行</t>
        </is>
      </c>
      <c r="D286" s="37" t="n">
        <v>7607143</v>
      </c>
      <c r="E286" s="37" t="n">
        <v>7145755719</v>
      </c>
      <c r="F286" s="37" t="n">
        <v>3679118</v>
      </c>
      <c r="G286" s="37" t="n">
        <v>3809944559</v>
      </c>
      <c r="H286" s="37" t="n">
        <v>1382069</v>
      </c>
      <c r="I286" s="37" t="n">
        <v>1570717283</v>
      </c>
      <c r="J286" s="37" t="n">
        <v>807169</v>
      </c>
      <c r="K286" s="37" t="n">
        <v>1032647610</v>
      </c>
      <c r="L286" s="37" t="n">
        <v>420263</v>
      </c>
      <c r="M286" s="37" t="n">
        <v>509939522</v>
      </c>
      <c r="N286" s="37" t="n">
        <v>263756</v>
      </c>
      <c r="O286" s="37" t="n">
        <v>363263067</v>
      </c>
      <c r="P286" s="37" t="n">
        <v>131187</v>
      </c>
      <c r="Q286" s="37" t="n">
        <v>198583923</v>
      </c>
      <c r="R286" s="37" t="n">
        <v>540348</v>
      </c>
      <c r="S286" s="37" t="n">
        <v>959413483</v>
      </c>
    </row>
    <row r="287">
      <c r="A287" s="37" t="inlineStr">
        <is>
          <t>108年</t>
        </is>
      </c>
      <c r="B287" s="37" t="inlineStr">
        <is>
          <t>04月</t>
        </is>
      </c>
      <c r="C287" s="36" t="inlineStr">
        <is>
          <t>行</t>
        </is>
      </c>
      <c r="D287" s="37" t="n">
        <v>7423546</v>
      </c>
      <c r="E287" s="37" t="n">
        <v>6932299444</v>
      </c>
      <c r="F287" s="37" t="n">
        <v>3538721</v>
      </c>
      <c r="G287" s="37" t="n">
        <v>3654036273</v>
      </c>
      <c r="H287" s="37" t="n">
        <v>1325342</v>
      </c>
      <c r="I287" s="37" t="n">
        <v>1504837013</v>
      </c>
      <c r="J287" s="37" t="n">
        <v>766610</v>
      </c>
      <c r="K287" s="37" t="n">
        <v>983014891</v>
      </c>
      <c r="L287" s="37" t="n">
        <v>405591</v>
      </c>
      <c r="M287" s="37" t="n">
        <v>484262479</v>
      </c>
      <c r="N287" s="37" t="n">
        <v>251172</v>
      </c>
      <c r="O287" s="37" t="n">
        <v>348404043</v>
      </c>
      <c r="P287" s="37" t="n">
        <v>123708</v>
      </c>
      <c r="Q287" s="37" t="n">
        <v>183374293</v>
      </c>
      <c r="R287" s="37" t="n">
        <v>505259</v>
      </c>
      <c r="S287" s="37" t="n">
        <v>905453022</v>
      </c>
    </row>
    <row r="288">
      <c r="A288" s="37" t="inlineStr">
        <is>
          <t>108年</t>
        </is>
      </c>
      <c r="B288" s="37" t="inlineStr">
        <is>
          <t>05月</t>
        </is>
      </c>
      <c r="C288" s="36" t="inlineStr">
        <is>
          <t>行</t>
        </is>
      </c>
      <c r="D288" s="37" t="n">
        <v>7234549</v>
      </c>
      <c r="E288" s="37" t="n">
        <v>6906784854</v>
      </c>
      <c r="F288" s="37" t="n">
        <v>3584284</v>
      </c>
      <c r="G288" s="37" t="n">
        <v>3750951103</v>
      </c>
      <c r="H288" s="37" t="n">
        <v>1345082</v>
      </c>
      <c r="I288" s="37" t="n">
        <v>1558422951</v>
      </c>
      <c r="J288" s="37" t="n">
        <v>774815</v>
      </c>
      <c r="K288" s="37" t="n">
        <v>1010257603</v>
      </c>
      <c r="L288" s="37" t="n">
        <v>408379</v>
      </c>
      <c r="M288" s="37" t="n">
        <v>512454827</v>
      </c>
      <c r="N288" s="37" t="n">
        <v>254941</v>
      </c>
      <c r="O288" s="37" t="n">
        <v>389484602</v>
      </c>
      <c r="P288" s="37" t="n">
        <v>127303</v>
      </c>
      <c r="Q288" s="37" t="n">
        <v>200324636</v>
      </c>
      <c r="R288" s="37" t="n">
        <v>519423</v>
      </c>
      <c r="S288" s="37" t="n">
        <v>1017097535</v>
      </c>
    </row>
    <row r="289">
      <c r="A289" s="37" t="inlineStr">
        <is>
          <t>108年</t>
        </is>
      </c>
      <c r="B289" s="37" t="inlineStr">
        <is>
          <t>06月</t>
        </is>
      </c>
      <c r="C289" s="36" t="inlineStr">
        <is>
          <t>行</t>
        </is>
      </c>
      <c r="D289" s="37" t="n">
        <v>7135592</v>
      </c>
      <c r="E289" s="37" t="n">
        <v>6592781094</v>
      </c>
      <c r="F289" s="37" t="n">
        <v>3485995</v>
      </c>
      <c r="G289" s="37" t="n">
        <v>3555765971</v>
      </c>
      <c r="H289" s="37" t="n">
        <v>1310422</v>
      </c>
      <c r="I289" s="37" t="n">
        <v>1478229420</v>
      </c>
      <c r="J289" s="37" t="n">
        <v>749393</v>
      </c>
      <c r="K289" s="37" t="n">
        <v>942556847</v>
      </c>
      <c r="L289" s="37" t="n">
        <v>402661</v>
      </c>
      <c r="M289" s="37" t="n">
        <v>489682489</v>
      </c>
      <c r="N289" s="37" t="n">
        <v>245657</v>
      </c>
      <c r="O289" s="37" t="n">
        <v>350236589</v>
      </c>
      <c r="P289" s="37" t="n">
        <v>123712</v>
      </c>
      <c r="Q289" s="37" t="n">
        <v>189092401</v>
      </c>
      <c r="R289" s="37" t="n">
        <v>496204</v>
      </c>
      <c r="S289" s="37" t="n">
        <v>911600674</v>
      </c>
    </row>
    <row r="290">
      <c r="A290" s="37" t="inlineStr">
        <is>
          <t>108年</t>
        </is>
      </c>
      <c r="B290" s="37" t="inlineStr">
        <is>
          <t>07月</t>
        </is>
      </c>
      <c r="C290" s="36" t="inlineStr">
        <is>
          <t>行</t>
        </is>
      </c>
      <c r="D290" s="37" t="n">
        <v>8003218</v>
      </c>
      <c r="E290" s="37" t="n">
        <v>7627196714</v>
      </c>
      <c r="F290" s="37" t="n">
        <v>3932038</v>
      </c>
      <c r="G290" s="37" t="n">
        <v>4113560537</v>
      </c>
      <c r="H290" s="37" t="n">
        <v>1486979</v>
      </c>
      <c r="I290" s="37" t="n">
        <v>1731191921</v>
      </c>
      <c r="J290" s="37" t="n">
        <v>855736</v>
      </c>
      <c r="K290" s="37" t="n">
        <v>1116100972</v>
      </c>
      <c r="L290" s="37" t="n">
        <v>455798</v>
      </c>
      <c r="M290" s="37" t="n">
        <v>557309486</v>
      </c>
      <c r="N290" s="37" t="n">
        <v>290815</v>
      </c>
      <c r="O290" s="37" t="n">
        <v>412867432</v>
      </c>
      <c r="P290" s="37" t="n">
        <v>144789</v>
      </c>
      <c r="Q290" s="37" t="n">
        <v>227075621</v>
      </c>
      <c r="R290" s="37" t="n">
        <v>585098</v>
      </c>
      <c r="S290" s="37" t="n">
        <v>1089477581</v>
      </c>
    </row>
    <row r="291">
      <c r="A291" s="37" t="inlineStr">
        <is>
          <t>108年</t>
        </is>
      </c>
      <c r="B291" s="37" t="inlineStr">
        <is>
          <t>08月</t>
        </is>
      </c>
      <c r="C291" s="36" t="inlineStr">
        <is>
          <t>行</t>
        </is>
      </c>
      <c r="D291" s="37" t="n">
        <v>7804991</v>
      </c>
      <c r="E291" s="37" t="n">
        <v>6977138284</v>
      </c>
      <c r="F291" s="37" t="n">
        <v>3848189</v>
      </c>
      <c r="G291" s="37" t="n">
        <v>3785926759</v>
      </c>
      <c r="H291" s="37" t="n">
        <v>1453222</v>
      </c>
      <c r="I291" s="37" t="n">
        <v>1573810024</v>
      </c>
      <c r="J291" s="37" t="n">
        <v>831250</v>
      </c>
      <c r="K291" s="37" t="n">
        <v>1013947146</v>
      </c>
      <c r="L291" s="37" t="n">
        <v>435911</v>
      </c>
      <c r="M291" s="37" t="n">
        <v>498056536</v>
      </c>
      <c r="N291" s="37" t="n">
        <v>274252</v>
      </c>
      <c r="O291" s="37" t="n">
        <v>369837375</v>
      </c>
      <c r="P291" s="37" t="n">
        <v>138708</v>
      </c>
      <c r="Q291" s="37" t="n">
        <v>194544116</v>
      </c>
      <c r="R291" s="37" t="n">
        <v>566863</v>
      </c>
      <c r="S291" s="37" t="n">
        <v>951075720</v>
      </c>
    </row>
    <row r="292">
      <c r="A292" s="37" t="inlineStr">
        <is>
          <t>108年</t>
        </is>
      </c>
      <c r="B292" s="37" t="inlineStr">
        <is>
          <t>09月</t>
        </is>
      </c>
      <c r="C292" s="36" t="inlineStr">
        <is>
          <t>行</t>
        </is>
      </c>
      <c r="D292" s="37" t="n">
        <v>7114253</v>
      </c>
      <c r="E292" s="37" t="n">
        <v>6230987529</v>
      </c>
      <c r="F292" s="37" t="n">
        <v>3520437</v>
      </c>
      <c r="G292" s="37" t="n">
        <v>3384577522</v>
      </c>
      <c r="H292" s="37" t="n">
        <v>1332365</v>
      </c>
      <c r="I292" s="37" t="n">
        <v>1403140946</v>
      </c>
      <c r="J292" s="37" t="n">
        <v>752508</v>
      </c>
      <c r="K292" s="37" t="n">
        <v>899528758</v>
      </c>
      <c r="L292" s="37" t="n">
        <v>404614</v>
      </c>
      <c r="M292" s="37" t="n">
        <v>459973046</v>
      </c>
      <c r="N292" s="37" t="n">
        <v>249022</v>
      </c>
      <c r="O292" s="37" t="n">
        <v>315523310</v>
      </c>
      <c r="P292" s="37" t="n">
        <v>127223</v>
      </c>
      <c r="Q292" s="37" t="n">
        <v>181278682</v>
      </c>
      <c r="R292" s="37" t="n">
        <v>506157</v>
      </c>
      <c r="S292" s="37" t="n">
        <v>868648599</v>
      </c>
    </row>
    <row r="293">
      <c r="A293" s="37" t="inlineStr">
        <is>
          <t>108年</t>
        </is>
      </c>
      <c r="B293" s="37" t="inlineStr">
        <is>
          <t>10月</t>
        </is>
      </c>
      <c r="C293" s="36" t="inlineStr">
        <is>
          <t>行</t>
        </is>
      </c>
      <c r="D293" s="37" t="n">
        <v>7826892</v>
      </c>
      <c r="E293" s="37" t="n">
        <v>6915743329</v>
      </c>
      <c r="F293" s="37" t="n">
        <v>3854796</v>
      </c>
      <c r="G293" s="37" t="n">
        <v>3782567073</v>
      </c>
      <c r="H293" s="37" t="n">
        <v>1459440</v>
      </c>
      <c r="I293" s="37" t="n">
        <v>1581684944</v>
      </c>
      <c r="J293" s="37" t="n">
        <v>830645</v>
      </c>
      <c r="K293" s="37" t="n">
        <v>1018164070</v>
      </c>
      <c r="L293" s="37" t="n">
        <v>443003</v>
      </c>
      <c r="M293" s="37" t="n">
        <v>501056182</v>
      </c>
      <c r="N293" s="37" t="n">
        <v>277177</v>
      </c>
      <c r="O293" s="37" t="n">
        <v>365733047</v>
      </c>
      <c r="P293" s="37" t="n">
        <v>142218</v>
      </c>
      <c r="Q293" s="37" t="n">
        <v>204187860</v>
      </c>
      <c r="R293" s="37" t="n">
        <v>575355</v>
      </c>
      <c r="S293" s="37" t="n">
        <v>996299746</v>
      </c>
    </row>
    <row r="294">
      <c r="A294" s="37" t="inlineStr">
        <is>
          <t>108年</t>
        </is>
      </c>
      <c r="B294" s="37" t="inlineStr">
        <is>
          <t>11月</t>
        </is>
      </c>
      <c r="C294" s="36" t="inlineStr">
        <is>
          <t>行</t>
        </is>
      </c>
      <c r="D294" s="37" t="n">
        <v>8140667</v>
      </c>
      <c r="E294" s="37" t="n">
        <v>7342317845</v>
      </c>
      <c r="F294" s="37" t="n">
        <v>3882611</v>
      </c>
      <c r="G294" s="37" t="n">
        <v>3917890482</v>
      </c>
      <c r="H294" s="37" t="n">
        <v>1478953</v>
      </c>
      <c r="I294" s="37" t="n">
        <v>1648518897</v>
      </c>
      <c r="J294" s="37" t="n">
        <v>846846</v>
      </c>
      <c r="K294" s="37" t="n">
        <v>1058307258</v>
      </c>
      <c r="L294" s="37" t="n">
        <v>439575</v>
      </c>
      <c r="M294" s="37" t="n">
        <v>523881081</v>
      </c>
      <c r="N294" s="37" t="n">
        <v>282408</v>
      </c>
      <c r="O294" s="37" t="n">
        <v>394316480</v>
      </c>
      <c r="P294" s="37" t="n">
        <v>145243</v>
      </c>
      <c r="Q294" s="37" t="n">
        <v>215094475</v>
      </c>
      <c r="R294" s="37" t="n">
        <v>595964</v>
      </c>
      <c r="S294" s="37" t="n">
        <v>1039510589</v>
      </c>
    </row>
    <row r="295">
      <c r="A295" s="37" t="inlineStr">
        <is>
          <t>108年</t>
        </is>
      </c>
      <c r="B295" s="37" t="inlineStr">
        <is>
          <t>12月</t>
        </is>
      </c>
      <c r="C295" s="36" t="inlineStr">
        <is>
          <t>行</t>
        </is>
      </c>
      <c r="D295" s="37" t="n">
        <v>8381550</v>
      </c>
      <c r="E295" s="37" t="n">
        <v>7505446699</v>
      </c>
      <c r="F295" s="37" t="n">
        <v>4021293</v>
      </c>
      <c r="G295" s="37" t="n">
        <v>3991052481</v>
      </c>
      <c r="H295" s="37" t="n">
        <v>1531458</v>
      </c>
      <c r="I295" s="37" t="n">
        <v>1680051890</v>
      </c>
      <c r="J295" s="37" t="n">
        <v>871081</v>
      </c>
      <c r="K295" s="37" t="n">
        <v>1058629251</v>
      </c>
      <c r="L295" s="37" t="n">
        <v>449723</v>
      </c>
      <c r="M295" s="37" t="n">
        <v>530945446</v>
      </c>
      <c r="N295" s="37" t="n">
        <v>292748</v>
      </c>
      <c r="O295" s="37" t="n">
        <v>392446195</v>
      </c>
      <c r="P295" s="37" t="n">
        <v>151378</v>
      </c>
      <c r="Q295" s="37" t="n">
        <v>214439254</v>
      </c>
      <c r="R295" s="37" t="n">
        <v>613722</v>
      </c>
      <c r="S295" s="37" t="n">
        <v>1040057832</v>
      </c>
    </row>
    <row r="296">
      <c r="A296" s="37" t="inlineStr">
        <is>
          <t>109年</t>
        </is>
      </c>
      <c r="B296" s="37" t="inlineStr">
        <is>
          <t>01月</t>
        </is>
      </c>
      <c r="C296" s="36" t="inlineStr">
        <is>
          <t>行</t>
        </is>
      </c>
      <c r="D296" s="37" t="n">
        <v>7991563</v>
      </c>
      <c r="E296" s="37" t="n">
        <v>6783645183</v>
      </c>
      <c r="F296" s="37" t="n">
        <v>3894774</v>
      </c>
      <c r="G296" s="37" t="n">
        <v>3616065502</v>
      </c>
      <c r="H296" s="37" t="n">
        <v>1482001</v>
      </c>
      <c r="I296" s="37" t="n">
        <v>1496238200</v>
      </c>
      <c r="J296" s="37" t="n">
        <v>838167</v>
      </c>
      <c r="K296" s="37" t="n">
        <v>951506085</v>
      </c>
      <c r="L296" s="37" t="n">
        <v>438564</v>
      </c>
      <c r="M296" s="37" t="n">
        <v>478949451</v>
      </c>
      <c r="N296" s="37" t="n">
        <v>280958</v>
      </c>
      <c r="O296" s="37" t="n">
        <v>347200830</v>
      </c>
      <c r="P296" s="37" t="n">
        <v>143602</v>
      </c>
      <c r="Q296" s="37" t="n">
        <v>184027664</v>
      </c>
      <c r="R296" s="37" t="n">
        <v>581366</v>
      </c>
      <c r="S296" s="37" t="n">
        <v>892423843</v>
      </c>
    </row>
    <row r="297">
      <c r="A297" s="37" t="inlineStr">
        <is>
          <t>109年</t>
        </is>
      </c>
      <c r="B297" s="37" t="inlineStr">
        <is>
          <t>02月</t>
        </is>
      </c>
      <c r="C297" s="36" t="inlineStr">
        <is>
          <t>行</t>
        </is>
      </c>
      <c r="D297" s="37" t="n">
        <v>7387965</v>
      </c>
      <c r="E297" s="37" t="n">
        <v>5698028115</v>
      </c>
      <c r="F297" s="37" t="n">
        <v>3500367</v>
      </c>
      <c r="G297" s="37" t="n">
        <v>2954321842</v>
      </c>
      <c r="H297" s="37" t="n">
        <v>1330584</v>
      </c>
      <c r="I297" s="37" t="n">
        <v>1230804928</v>
      </c>
      <c r="J297" s="37" t="n">
        <v>747899</v>
      </c>
      <c r="K297" s="37" t="n">
        <v>771969717</v>
      </c>
      <c r="L297" s="37" t="n">
        <v>395453</v>
      </c>
      <c r="M297" s="37" t="n">
        <v>390093178</v>
      </c>
      <c r="N297" s="37" t="n">
        <v>248571</v>
      </c>
      <c r="O297" s="37" t="n">
        <v>279041376</v>
      </c>
      <c r="P297" s="37" t="n">
        <v>127712</v>
      </c>
      <c r="Q297" s="37" t="n">
        <v>151111554</v>
      </c>
      <c r="R297" s="37" t="n">
        <v>515958</v>
      </c>
      <c r="S297" s="37" t="n">
        <v>702112190</v>
      </c>
    </row>
    <row r="298">
      <c r="A298" s="37" t="inlineStr">
        <is>
          <t>103年</t>
        </is>
      </c>
      <c r="B298" s="37" t="inlineStr">
        <is>
          <t>01月</t>
        </is>
      </c>
      <c r="C298" s="36" t="inlineStr">
        <is>
          <t>文教康樂</t>
        </is>
      </c>
      <c r="D298" s="37" t="n">
        <v>1836314</v>
      </c>
      <c r="E298" s="37" t="n">
        <v>8524756386</v>
      </c>
      <c r="F298" s="37" t="n">
        <v>960206</v>
      </c>
      <c r="G298" s="37" t="n">
        <v>4795622168</v>
      </c>
      <c r="H298" s="37" t="n">
        <v>361567</v>
      </c>
      <c r="I298" s="37" t="n">
        <v>2120425386</v>
      </c>
      <c r="J298" s="37" t="n">
        <v>235166</v>
      </c>
      <c r="K298" s="37" t="n">
        <v>1702671668</v>
      </c>
      <c r="L298" s="37" t="n">
        <v>76719</v>
      </c>
      <c r="M298" s="37" t="n">
        <v>585158153</v>
      </c>
      <c r="N298" s="37" t="n">
        <v>68605</v>
      </c>
      <c r="O298" s="37" t="n">
        <v>565039164</v>
      </c>
      <c r="P298" s="37" t="n">
        <v>37190</v>
      </c>
      <c r="Q298" s="37" t="n">
        <v>320279256</v>
      </c>
      <c r="R298" s="37" t="n">
        <v>167011</v>
      </c>
      <c r="S298" s="37" t="n">
        <v>1950430963</v>
      </c>
    </row>
    <row r="299">
      <c r="A299" s="37" t="inlineStr">
        <is>
          <t>103年</t>
        </is>
      </c>
      <c r="B299" s="37" t="inlineStr">
        <is>
          <t>02月</t>
        </is>
      </c>
      <c r="C299" s="36" t="inlineStr">
        <is>
          <t>文教康樂</t>
        </is>
      </c>
      <c r="D299" s="37" t="n">
        <v>1909468</v>
      </c>
      <c r="E299" s="37" t="n">
        <v>9253238438</v>
      </c>
      <c r="F299" s="37" t="n">
        <v>1007888</v>
      </c>
      <c r="G299" s="37" t="n">
        <v>5278275890</v>
      </c>
      <c r="H299" s="37" t="n">
        <v>380808</v>
      </c>
      <c r="I299" s="37" t="n">
        <v>2350449374</v>
      </c>
      <c r="J299" s="37" t="n">
        <v>249000</v>
      </c>
      <c r="K299" s="37" t="n">
        <v>1821211546</v>
      </c>
      <c r="L299" s="37" t="n">
        <v>80691</v>
      </c>
      <c r="M299" s="37" t="n">
        <v>613153474</v>
      </c>
      <c r="N299" s="37" t="n">
        <v>71272</v>
      </c>
      <c r="O299" s="37" t="n">
        <v>568667286</v>
      </c>
      <c r="P299" s="37" t="n">
        <v>38377</v>
      </c>
      <c r="Q299" s="37" t="n">
        <v>314539752</v>
      </c>
      <c r="R299" s="37" t="n">
        <v>165161</v>
      </c>
      <c r="S299" s="37" t="n">
        <v>1674011963</v>
      </c>
    </row>
    <row r="300">
      <c r="A300" s="37" t="inlineStr">
        <is>
          <t>103年</t>
        </is>
      </c>
      <c r="B300" s="37" t="inlineStr">
        <is>
          <t>03月</t>
        </is>
      </c>
      <c r="C300" s="36" t="inlineStr">
        <is>
          <t>文教康樂</t>
        </is>
      </c>
      <c r="D300" s="37" t="n">
        <v>1934290</v>
      </c>
      <c r="E300" s="37" t="n">
        <v>8496451039</v>
      </c>
      <c r="F300" s="37" t="n">
        <v>987156</v>
      </c>
      <c r="G300" s="37" t="n">
        <v>4547742128</v>
      </c>
      <c r="H300" s="37" t="n">
        <v>361363</v>
      </c>
      <c r="I300" s="37" t="n">
        <v>1937988853</v>
      </c>
      <c r="J300" s="37" t="n">
        <v>238541</v>
      </c>
      <c r="K300" s="37" t="n">
        <v>1547736446</v>
      </c>
      <c r="L300" s="37" t="n">
        <v>78327</v>
      </c>
      <c r="M300" s="37" t="n">
        <v>529515223</v>
      </c>
      <c r="N300" s="37" t="n">
        <v>70182</v>
      </c>
      <c r="O300" s="37" t="n">
        <v>519344385</v>
      </c>
      <c r="P300" s="37" t="n">
        <v>37180</v>
      </c>
      <c r="Q300" s="37" t="n">
        <v>274403384</v>
      </c>
      <c r="R300" s="37" t="n">
        <v>170995</v>
      </c>
      <c r="S300" s="37" t="n">
        <v>1716200633</v>
      </c>
    </row>
    <row r="301">
      <c r="A301" s="37" t="inlineStr">
        <is>
          <t>103年</t>
        </is>
      </c>
      <c r="B301" s="37" t="inlineStr">
        <is>
          <t>04月</t>
        </is>
      </c>
      <c r="C301" s="36" t="inlineStr">
        <is>
          <t>文教康樂</t>
        </is>
      </c>
      <c r="D301" s="37" t="n">
        <v>1833683</v>
      </c>
      <c r="E301" s="37" t="n">
        <v>8623458592</v>
      </c>
      <c r="F301" s="37" t="n">
        <v>932958</v>
      </c>
      <c r="G301" s="37" t="n">
        <v>4608963110</v>
      </c>
      <c r="H301" s="37" t="n">
        <v>341080</v>
      </c>
      <c r="I301" s="37" t="n">
        <v>2013671987</v>
      </c>
      <c r="J301" s="37" t="n">
        <v>221865</v>
      </c>
      <c r="K301" s="37" t="n">
        <v>1572828775</v>
      </c>
      <c r="L301" s="37" t="n">
        <v>74818</v>
      </c>
      <c r="M301" s="37" t="n">
        <v>554465690</v>
      </c>
      <c r="N301" s="37" t="n">
        <v>66102</v>
      </c>
      <c r="O301" s="37" t="n">
        <v>530427277</v>
      </c>
      <c r="P301" s="37" t="n">
        <v>35782</v>
      </c>
      <c r="Q301" s="37" t="n">
        <v>289707744</v>
      </c>
      <c r="R301" s="37" t="n">
        <v>162425</v>
      </c>
      <c r="S301" s="37" t="n">
        <v>1750225929</v>
      </c>
    </row>
    <row r="302">
      <c r="A302" s="37" t="inlineStr">
        <is>
          <t>103年</t>
        </is>
      </c>
      <c r="B302" s="37" t="inlineStr">
        <is>
          <t>05月</t>
        </is>
      </c>
      <c r="C302" s="36" t="inlineStr">
        <is>
          <t>文教康樂</t>
        </is>
      </c>
      <c r="D302" s="37" t="n">
        <v>1943999</v>
      </c>
      <c r="E302" s="37" t="n">
        <v>9526940543</v>
      </c>
      <c r="F302" s="37" t="n">
        <v>982355</v>
      </c>
      <c r="G302" s="37" t="n">
        <v>5161752477</v>
      </c>
      <c r="H302" s="37" t="n">
        <v>358266</v>
      </c>
      <c r="I302" s="37" t="n">
        <v>2285157294</v>
      </c>
      <c r="J302" s="37" t="n">
        <v>230151</v>
      </c>
      <c r="K302" s="37" t="n">
        <v>1789410902</v>
      </c>
      <c r="L302" s="37" t="n">
        <v>79023</v>
      </c>
      <c r="M302" s="37" t="n">
        <v>656981472</v>
      </c>
      <c r="N302" s="37" t="n">
        <v>69022</v>
      </c>
      <c r="O302" s="37" t="n">
        <v>614993268</v>
      </c>
      <c r="P302" s="37" t="n">
        <v>37069</v>
      </c>
      <c r="Q302" s="37" t="n">
        <v>338264531</v>
      </c>
      <c r="R302" s="37" t="n">
        <v>168680</v>
      </c>
      <c r="S302" s="37" t="n">
        <v>2062429726</v>
      </c>
    </row>
    <row r="303">
      <c r="A303" s="37" t="inlineStr">
        <is>
          <t>103年</t>
        </is>
      </c>
      <c r="B303" s="37" t="inlineStr">
        <is>
          <t>06月</t>
        </is>
      </c>
      <c r="C303" s="36" t="inlineStr">
        <is>
          <t>文教康樂</t>
        </is>
      </c>
      <c r="D303" s="37" t="n">
        <v>1967508</v>
      </c>
      <c r="E303" s="37" t="n">
        <v>9263855243</v>
      </c>
      <c r="F303" s="37" t="n">
        <v>1007446</v>
      </c>
      <c r="G303" s="37" t="n">
        <v>5181403175</v>
      </c>
      <c r="H303" s="37" t="n">
        <v>374384</v>
      </c>
      <c r="I303" s="37" t="n">
        <v>2432012866</v>
      </c>
      <c r="J303" s="37" t="n">
        <v>238211</v>
      </c>
      <c r="K303" s="37" t="n">
        <v>1847888124</v>
      </c>
      <c r="L303" s="37" t="n">
        <v>82142</v>
      </c>
      <c r="M303" s="37" t="n">
        <v>665282431</v>
      </c>
      <c r="N303" s="37" t="n">
        <v>70629</v>
      </c>
      <c r="O303" s="37" t="n">
        <v>624099375</v>
      </c>
      <c r="P303" s="37" t="n">
        <v>39194</v>
      </c>
      <c r="Q303" s="37" t="n">
        <v>354759831</v>
      </c>
      <c r="R303" s="37" t="n">
        <v>171141</v>
      </c>
      <c r="S303" s="37" t="n">
        <v>2089845546</v>
      </c>
    </row>
    <row r="304">
      <c r="A304" s="37" t="inlineStr">
        <is>
          <t>103年</t>
        </is>
      </c>
      <c r="B304" s="37" t="inlineStr">
        <is>
          <t>07月</t>
        </is>
      </c>
      <c r="C304" s="36" t="inlineStr">
        <is>
          <t>文教康樂</t>
        </is>
      </c>
      <c r="D304" s="37" t="n">
        <v>1925858</v>
      </c>
      <c r="E304" s="37" t="n">
        <v>9073223439</v>
      </c>
      <c r="F304" s="37" t="n">
        <v>1008456</v>
      </c>
      <c r="G304" s="37" t="n">
        <v>5139945829</v>
      </c>
      <c r="H304" s="37" t="n">
        <v>390075</v>
      </c>
      <c r="I304" s="37" t="n">
        <v>2411877082</v>
      </c>
      <c r="J304" s="37" t="n">
        <v>244274</v>
      </c>
      <c r="K304" s="37" t="n">
        <v>1831834768</v>
      </c>
      <c r="L304" s="37" t="n">
        <v>84629</v>
      </c>
      <c r="M304" s="37" t="n">
        <v>660097027</v>
      </c>
      <c r="N304" s="37" t="n">
        <v>72260</v>
      </c>
      <c r="O304" s="37" t="n">
        <v>626913520</v>
      </c>
      <c r="P304" s="37" t="n">
        <v>40541</v>
      </c>
      <c r="Q304" s="37" t="n">
        <v>365446385</v>
      </c>
      <c r="R304" s="37" t="n">
        <v>175313</v>
      </c>
      <c r="S304" s="37" t="n">
        <v>2090588173</v>
      </c>
    </row>
    <row r="305">
      <c r="A305" s="37" t="inlineStr">
        <is>
          <t>103年</t>
        </is>
      </c>
      <c r="B305" s="37" t="inlineStr">
        <is>
          <t>08月</t>
        </is>
      </c>
      <c r="C305" s="36" t="inlineStr">
        <is>
          <t>文教康樂</t>
        </is>
      </c>
      <c r="D305" s="37" t="n">
        <v>2366105</v>
      </c>
      <c r="E305" s="37" t="n">
        <v>10324772682</v>
      </c>
      <c r="F305" s="37" t="n">
        <v>1197246</v>
      </c>
      <c r="G305" s="37" t="n">
        <v>5870261388</v>
      </c>
      <c r="H305" s="37" t="n">
        <v>441881</v>
      </c>
      <c r="I305" s="37" t="n">
        <v>2702928439</v>
      </c>
      <c r="J305" s="37" t="n">
        <v>275210</v>
      </c>
      <c r="K305" s="37" t="n">
        <v>2072844807</v>
      </c>
      <c r="L305" s="37" t="n">
        <v>95737</v>
      </c>
      <c r="M305" s="37" t="n">
        <v>746203514</v>
      </c>
      <c r="N305" s="37" t="n">
        <v>80820</v>
      </c>
      <c r="O305" s="37" t="n">
        <v>700181477</v>
      </c>
      <c r="P305" s="37" t="n">
        <v>45577</v>
      </c>
      <c r="Q305" s="37" t="n">
        <v>403046605</v>
      </c>
      <c r="R305" s="37" t="n">
        <v>194341</v>
      </c>
      <c r="S305" s="37" t="n">
        <v>2224901748</v>
      </c>
    </row>
    <row r="306">
      <c r="A306" s="37" t="inlineStr">
        <is>
          <t>103年</t>
        </is>
      </c>
      <c r="B306" s="37" t="inlineStr">
        <is>
          <t>09月</t>
        </is>
      </c>
      <c r="C306" s="36" t="inlineStr">
        <is>
          <t>文教康樂</t>
        </is>
      </c>
      <c r="D306" s="37" t="n">
        <v>2057092</v>
      </c>
      <c r="E306" s="37" t="n">
        <v>10205517749</v>
      </c>
      <c r="F306" s="37" t="n">
        <v>1047879</v>
      </c>
      <c r="G306" s="37" t="n">
        <v>5667264022</v>
      </c>
      <c r="H306" s="37" t="n">
        <v>394682</v>
      </c>
      <c r="I306" s="37" t="n">
        <v>2524223456</v>
      </c>
      <c r="J306" s="37" t="n">
        <v>251174</v>
      </c>
      <c r="K306" s="37" t="n">
        <v>1953352562</v>
      </c>
      <c r="L306" s="37" t="n">
        <v>88189</v>
      </c>
      <c r="M306" s="37" t="n">
        <v>692329484</v>
      </c>
      <c r="N306" s="37" t="n">
        <v>74787</v>
      </c>
      <c r="O306" s="37" t="n">
        <v>664736641</v>
      </c>
      <c r="P306" s="37" t="n">
        <v>41987</v>
      </c>
      <c r="Q306" s="37" t="n">
        <v>365990594</v>
      </c>
      <c r="R306" s="37" t="n">
        <v>181583</v>
      </c>
      <c r="S306" s="37" t="n">
        <v>2121163567</v>
      </c>
    </row>
    <row r="307">
      <c r="A307" s="37" t="inlineStr">
        <is>
          <t>103年</t>
        </is>
      </c>
      <c r="B307" s="37" t="inlineStr">
        <is>
          <t>10月</t>
        </is>
      </c>
      <c r="C307" s="36" t="inlineStr">
        <is>
          <t>文教康樂</t>
        </is>
      </c>
      <c r="D307" s="37" t="n">
        <v>2079635</v>
      </c>
      <c r="E307" s="37" t="n">
        <v>9230307364</v>
      </c>
      <c r="F307" s="37" t="n">
        <v>1038146</v>
      </c>
      <c r="G307" s="37" t="n">
        <v>4898244314</v>
      </c>
      <c r="H307" s="37" t="n">
        <v>380170</v>
      </c>
      <c r="I307" s="37" t="n">
        <v>2141939152</v>
      </c>
      <c r="J307" s="37" t="n">
        <v>243282</v>
      </c>
      <c r="K307" s="37" t="n">
        <v>1671236300</v>
      </c>
      <c r="L307" s="37" t="n">
        <v>85392</v>
      </c>
      <c r="M307" s="37" t="n">
        <v>607281130</v>
      </c>
      <c r="N307" s="37" t="n">
        <v>73472</v>
      </c>
      <c r="O307" s="37" t="n">
        <v>575607062</v>
      </c>
      <c r="P307" s="37" t="n">
        <v>40051</v>
      </c>
      <c r="Q307" s="37" t="n">
        <v>319755476</v>
      </c>
      <c r="R307" s="37" t="n">
        <v>183663</v>
      </c>
      <c r="S307" s="37" t="n">
        <v>1985238489</v>
      </c>
    </row>
    <row r="308">
      <c r="A308" s="37" t="inlineStr">
        <is>
          <t>103年</t>
        </is>
      </c>
      <c r="B308" s="37" t="inlineStr">
        <is>
          <t>11月</t>
        </is>
      </c>
      <c r="C308" s="36" t="inlineStr">
        <is>
          <t>文教康樂</t>
        </is>
      </c>
      <c r="D308" s="37" t="n">
        <v>2008708</v>
      </c>
      <c r="E308" s="37" t="n">
        <v>8395478512</v>
      </c>
      <c r="F308" s="37" t="n">
        <v>1014743</v>
      </c>
      <c r="G308" s="37" t="n">
        <v>4446334457</v>
      </c>
      <c r="H308" s="37" t="n">
        <v>373021</v>
      </c>
      <c r="I308" s="37" t="n">
        <v>1924078554</v>
      </c>
      <c r="J308" s="37" t="n">
        <v>238259</v>
      </c>
      <c r="K308" s="37" t="n">
        <v>1478611037</v>
      </c>
      <c r="L308" s="37" t="n">
        <v>83650</v>
      </c>
      <c r="M308" s="37" t="n">
        <v>545129311</v>
      </c>
      <c r="N308" s="37" t="n">
        <v>72732</v>
      </c>
      <c r="O308" s="37" t="n">
        <v>518003528</v>
      </c>
      <c r="P308" s="37" t="n">
        <v>40204</v>
      </c>
      <c r="Q308" s="37" t="n">
        <v>293228186</v>
      </c>
      <c r="R308" s="37" t="n">
        <v>178913</v>
      </c>
      <c r="S308" s="37" t="n">
        <v>1752657367</v>
      </c>
    </row>
    <row r="309">
      <c r="A309" s="37" t="inlineStr">
        <is>
          <t>103年</t>
        </is>
      </c>
      <c r="B309" s="37" t="inlineStr">
        <is>
          <t>12月</t>
        </is>
      </c>
      <c r="C309" s="36" t="inlineStr">
        <is>
          <t>文教康樂</t>
        </is>
      </c>
      <c r="D309" s="37" t="n">
        <v>2137531</v>
      </c>
      <c r="E309" s="37" t="n">
        <v>8730334714</v>
      </c>
      <c r="F309" s="37" t="n">
        <v>1074336</v>
      </c>
      <c r="G309" s="37" t="n">
        <v>4665724068</v>
      </c>
      <c r="H309" s="37" t="n">
        <v>400280</v>
      </c>
      <c r="I309" s="37" t="n">
        <v>2040221770</v>
      </c>
      <c r="J309" s="37" t="n">
        <v>255399</v>
      </c>
      <c r="K309" s="37" t="n">
        <v>1578979795</v>
      </c>
      <c r="L309" s="37" t="n">
        <v>90055</v>
      </c>
      <c r="M309" s="37" t="n">
        <v>583617952</v>
      </c>
      <c r="N309" s="37" t="n">
        <v>77010</v>
      </c>
      <c r="O309" s="37" t="n">
        <v>541627934</v>
      </c>
      <c r="P309" s="37" t="n">
        <v>42870</v>
      </c>
      <c r="Q309" s="37" t="n">
        <v>312051998</v>
      </c>
      <c r="R309" s="37" t="n">
        <v>190059</v>
      </c>
      <c r="S309" s="37" t="n">
        <v>1902894036</v>
      </c>
    </row>
    <row r="310">
      <c r="A310" s="37" t="inlineStr">
        <is>
          <t>104年</t>
        </is>
      </c>
      <c r="B310" s="37" t="inlineStr">
        <is>
          <t>01月</t>
        </is>
      </c>
      <c r="C310" s="36" t="inlineStr">
        <is>
          <t>文教康樂</t>
        </is>
      </c>
      <c r="D310" s="37" t="n">
        <v>2164102</v>
      </c>
      <c r="E310" s="37" t="n">
        <v>9299007264</v>
      </c>
      <c r="F310" s="37" t="n">
        <v>1105319</v>
      </c>
      <c r="G310" s="37" t="n">
        <v>5178775610</v>
      </c>
      <c r="H310" s="37" t="n">
        <v>415004</v>
      </c>
      <c r="I310" s="37" t="n">
        <v>2295505920</v>
      </c>
      <c r="J310" s="37" t="n">
        <v>259736</v>
      </c>
      <c r="K310" s="37" t="n">
        <v>1723634925</v>
      </c>
      <c r="L310" s="37" t="n">
        <v>91963</v>
      </c>
      <c r="M310" s="37" t="n">
        <v>638692630</v>
      </c>
      <c r="N310" s="37" t="n">
        <v>78738</v>
      </c>
      <c r="O310" s="37" t="n">
        <v>584756650</v>
      </c>
      <c r="P310" s="37" t="n">
        <v>44269</v>
      </c>
      <c r="Q310" s="37" t="n">
        <v>345627751</v>
      </c>
      <c r="R310" s="37" t="n">
        <v>192469</v>
      </c>
      <c r="S310" s="37" t="n">
        <v>2032421431</v>
      </c>
    </row>
    <row r="311">
      <c r="A311" s="37" t="inlineStr">
        <is>
          <t>104年</t>
        </is>
      </c>
      <c r="B311" s="37" t="inlineStr">
        <is>
          <t>02月</t>
        </is>
      </c>
      <c r="C311" s="36" t="inlineStr">
        <is>
          <t>文教康樂</t>
        </is>
      </c>
      <c r="D311" s="37" t="n">
        <v>2233362</v>
      </c>
      <c r="E311" s="37" t="n">
        <v>10433245239</v>
      </c>
      <c r="F311" s="37" t="n">
        <v>1145262</v>
      </c>
      <c r="G311" s="37" t="n">
        <v>5962906437</v>
      </c>
      <c r="H311" s="37" t="n">
        <v>431232</v>
      </c>
      <c r="I311" s="37" t="n">
        <v>2684850243</v>
      </c>
      <c r="J311" s="37" t="n">
        <v>264770</v>
      </c>
      <c r="K311" s="37" t="n">
        <v>1960352106</v>
      </c>
      <c r="L311" s="37" t="n">
        <v>93873</v>
      </c>
      <c r="M311" s="37" t="n">
        <v>722652145</v>
      </c>
      <c r="N311" s="37" t="n">
        <v>79130</v>
      </c>
      <c r="O311" s="37" t="n">
        <v>660123680</v>
      </c>
      <c r="P311" s="37" t="n">
        <v>44663</v>
      </c>
      <c r="Q311" s="37" t="n">
        <v>379392899</v>
      </c>
      <c r="R311" s="37" t="n">
        <v>183935</v>
      </c>
      <c r="S311" s="37" t="n">
        <v>2014861052</v>
      </c>
    </row>
    <row r="312">
      <c r="A312" s="37" t="inlineStr">
        <is>
          <t>104年</t>
        </is>
      </c>
      <c r="B312" s="37" t="inlineStr">
        <is>
          <t>03月</t>
        </is>
      </c>
      <c r="C312" s="36" t="inlineStr">
        <is>
          <t>文教康樂</t>
        </is>
      </c>
      <c r="D312" s="37" t="n">
        <v>2200517</v>
      </c>
      <c r="E312" s="37" t="n">
        <v>9982484065</v>
      </c>
      <c r="F312" s="37" t="n">
        <v>1088036</v>
      </c>
      <c r="G312" s="37" t="n">
        <v>5357992426</v>
      </c>
      <c r="H312" s="37" t="n">
        <v>406692</v>
      </c>
      <c r="I312" s="37" t="n">
        <v>2312877839</v>
      </c>
      <c r="J312" s="37" t="n">
        <v>256057</v>
      </c>
      <c r="K312" s="37" t="n">
        <v>1730304252</v>
      </c>
      <c r="L312" s="37" t="n">
        <v>91572</v>
      </c>
      <c r="M312" s="37" t="n">
        <v>648084647</v>
      </c>
      <c r="N312" s="37" t="n">
        <v>78172</v>
      </c>
      <c r="O312" s="37" t="n">
        <v>595907557</v>
      </c>
      <c r="P312" s="37" t="n">
        <v>44169</v>
      </c>
      <c r="Q312" s="37" t="n">
        <v>347256823</v>
      </c>
      <c r="R312" s="37" t="n">
        <v>190005</v>
      </c>
      <c r="S312" s="37" t="n">
        <v>1994342744</v>
      </c>
    </row>
    <row r="313">
      <c r="A313" s="37" t="inlineStr">
        <is>
          <t>104年</t>
        </is>
      </c>
      <c r="B313" s="37" t="inlineStr">
        <is>
          <t>04月</t>
        </is>
      </c>
      <c r="C313" s="36" t="inlineStr">
        <is>
          <t>文教康樂</t>
        </is>
      </c>
      <c r="D313" s="37" t="n">
        <v>2296662</v>
      </c>
      <c r="E313" s="37" t="n">
        <v>9942351358</v>
      </c>
      <c r="F313" s="37" t="n">
        <v>1116971</v>
      </c>
      <c r="G313" s="37" t="n">
        <v>5247913456</v>
      </c>
      <c r="H313" s="37" t="n">
        <v>406163</v>
      </c>
      <c r="I313" s="37" t="n">
        <v>2328305854</v>
      </c>
      <c r="J313" s="37" t="n">
        <v>252984</v>
      </c>
      <c r="K313" s="37" t="n">
        <v>1751999756</v>
      </c>
      <c r="L313" s="37" t="n">
        <v>90752</v>
      </c>
      <c r="M313" s="37" t="n">
        <v>656303023</v>
      </c>
      <c r="N313" s="37" t="n">
        <v>77591</v>
      </c>
      <c r="O313" s="37" t="n">
        <v>615728687</v>
      </c>
      <c r="P313" s="37" t="n">
        <v>42911</v>
      </c>
      <c r="Q313" s="37" t="n">
        <v>345476850</v>
      </c>
      <c r="R313" s="37" t="n">
        <v>190603</v>
      </c>
      <c r="S313" s="37" t="n">
        <v>2090039585</v>
      </c>
    </row>
    <row r="314">
      <c r="A314" s="37" t="inlineStr">
        <is>
          <t>104年</t>
        </is>
      </c>
      <c r="B314" s="37" t="inlineStr">
        <is>
          <t>05月</t>
        </is>
      </c>
      <c r="C314" s="36" t="inlineStr">
        <is>
          <t>文教康樂</t>
        </is>
      </c>
      <c r="D314" s="37" t="n">
        <v>2172653</v>
      </c>
      <c r="E314" s="37" t="n">
        <v>10239346041</v>
      </c>
      <c r="F314" s="37" t="n">
        <v>1066894</v>
      </c>
      <c r="G314" s="37" t="n">
        <v>5496886063</v>
      </c>
      <c r="H314" s="37" t="n">
        <v>397613</v>
      </c>
      <c r="I314" s="37" t="n">
        <v>2461583837</v>
      </c>
      <c r="J314" s="37" t="n">
        <v>250648</v>
      </c>
      <c r="K314" s="37" t="n">
        <v>1859982883</v>
      </c>
      <c r="L314" s="37" t="n">
        <v>91115</v>
      </c>
      <c r="M314" s="37" t="n">
        <v>707816044</v>
      </c>
      <c r="N314" s="37" t="n">
        <v>78014</v>
      </c>
      <c r="O314" s="37" t="n">
        <v>669242919</v>
      </c>
      <c r="P314" s="37" t="n">
        <v>43282</v>
      </c>
      <c r="Q314" s="37" t="n">
        <v>373666499</v>
      </c>
      <c r="R314" s="37" t="n">
        <v>190680</v>
      </c>
      <c r="S314" s="37" t="n">
        <v>2248419723</v>
      </c>
    </row>
    <row r="315">
      <c r="A315" s="37" t="inlineStr">
        <is>
          <t>104年</t>
        </is>
      </c>
      <c r="B315" s="37" t="inlineStr">
        <is>
          <t>06月</t>
        </is>
      </c>
      <c r="C315" s="36" t="inlineStr">
        <is>
          <t>文教康樂</t>
        </is>
      </c>
      <c r="D315" s="37" t="n">
        <v>2360283</v>
      </c>
      <c r="E315" s="37" t="n">
        <v>10196373574</v>
      </c>
      <c r="F315" s="37" t="n">
        <v>1158336</v>
      </c>
      <c r="G315" s="37" t="n">
        <v>5637445952</v>
      </c>
      <c r="H315" s="37" t="n">
        <v>424766</v>
      </c>
      <c r="I315" s="37" t="n">
        <v>2572893039</v>
      </c>
      <c r="J315" s="37" t="n">
        <v>264893</v>
      </c>
      <c r="K315" s="37" t="n">
        <v>1971407751</v>
      </c>
      <c r="L315" s="37" t="n">
        <v>95351</v>
      </c>
      <c r="M315" s="37" t="n">
        <v>748587916</v>
      </c>
      <c r="N315" s="37" t="n">
        <v>80678</v>
      </c>
      <c r="O315" s="37" t="n">
        <v>699087663</v>
      </c>
      <c r="P315" s="37" t="n">
        <v>45130</v>
      </c>
      <c r="Q315" s="37" t="n">
        <v>407506497</v>
      </c>
      <c r="R315" s="37" t="n">
        <v>196548</v>
      </c>
      <c r="S315" s="37" t="n">
        <v>2388011064</v>
      </c>
    </row>
    <row r="316">
      <c r="A316" s="37" t="inlineStr">
        <is>
          <t>104年</t>
        </is>
      </c>
      <c r="B316" s="37" t="inlineStr">
        <is>
          <t>07月</t>
        </is>
      </c>
      <c r="C316" s="36" t="inlineStr">
        <is>
          <t>文教康樂</t>
        </is>
      </c>
      <c r="D316" s="37" t="n">
        <v>2479042</v>
      </c>
      <c r="E316" s="37" t="n">
        <v>10193642518</v>
      </c>
      <c r="F316" s="37" t="n">
        <v>1240625</v>
      </c>
      <c r="G316" s="37" t="n">
        <v>5703792320</v>
      </c>
      <c r="H316" s="37" t="n">
        <v>461619</v>
      </c>
      <c r="I316" s="37" t="n">
        <v>2670181488</v>
      </c>
      <c r="J316" s="37" t="n">
        <v>282201</v>
      </c>
      <c r="K316" s="37" t="n">
        <v>1999810512</v>
      </c>
      <c r="L316" s="37" t="n">
        <v>100833</v>
      </c>
      <c r="M316" s="37" t="n">
        <v>736418750</v>
      </c>
      <c r="N316" s="37" t="n">
        <v>85043</v>
      </c>
      <c r="O316" s="37" t="n">
        <v>677712959</v>
      </c>
      <c r="P316" s="37" t="n">
        <v>47981</v>
      </c>
      <c r="Q316" s="37" t="n">
        <v>401133239</v>
      </c>
      <c r="R316" s="37" t="n">
        <v>204730</v>
      </c>
      <c r="S316" s="37" t="n">
        <v>2347582263</v>
      </c>
    </row>
    <row r="317">
      <c r="A317" s="37" t="inlineStr">
        <is>
          <t>104年</t>
        </is>
      </c>
      <c r="B317" s="37" t="inlineStr">
        <is>
          <t>08月</t>
        </is>
      </c>
      <c r="C317" s="36" t="inlineStr">
        <is>
          <t>文教康樂</t>
        </is>
      </c>
      <c r="D317" s="37" t="n">
        <v>2585027</v>
      </c>
      <c r="E317" s="37" t="n">
        <v>11179563378</v>
      </c>
      <c r="F317" s="37" t="n">
        <v>1293760</v>
      </c>
      <c r="G317" s="37" t="n">
        <v>6368346154</v>
      </c>
      <c r="H317" s="37" t="n">
        <v>483363</v>
      </c>
      <c r="I317" s="37" t="n">
        <v>2925695222</v>
      </c>
      <c r="J317" s="37" t="n">
        <v>294192</v>
      </c>
      <c r="K317" s="37" t="n">
        <v>2187992922</v>
      </c>
      <c r="L317" s="37" t="n">
        <v>106722</v>
      </c>
      <c r="M317" s="37" t="n">
        <v>825431390</v>
      </c>
      <c r="N317" s="37" t="n">
        <v>89865</v>
      </c>
      <c r="O317" s="37" t="n">
        <v>776175313</v>
      </c>
      <c r="P317" s="37" t="n">
        <v>50204</v>
      </c>
      <c r="Q317" s="37" t="n">
        <v>439065325</v>
      </c>
      <c r="R317" s="37" t="n">
        <v>212522</v>
      </c>
      <c r="S317" s="37" t="n">
        <v>2416491447</v>
      </c>
    </row>
    <row r="318">
      <c r="A318" s="37" t="inlineStr">
        <is>
          <t>104年</t>
        </is>
      </c>
      <c r="B318" s="37" t="inlineStr">
        <is>
          <t>09月</t>
        </is>
      </c>
      <c r="C318" s="36" t="inlineStr">
        <is>
          <t>文教康樂</t>
        </is>
      </c>
      <c r="D318" s="37" t="n">
        <v>2451239</v>
      </c>
      <c r="E318" s="37" t="n">
        <v>10709610347</v>
      </c>
      <c r="F318" s="37" t="n">
        <v>1206521</v>
      </c>
      <c r="G318" s="37" t="n">
        <v>5870726817</v>
      </c>
      <c r="H318" s="37" t="n">
        <v>450805</v>
      </c>
      <c r="I318" s="37" t="n">
        <v>2614579746</v>
      </c>
      <c r="J318" s="37" t="n">
        <v>279594</v>
      </c>
      <c r="K318" s="37" t="n">
        <v>1959325817</v>
      </c>
      <c r="L318" s="37" t="n">
        <v>102494</v>
      </c>
      <c r="M318" s="37" t="n">
        <v>749021789</v>
      </c>
      <c r="N318" s="37" t="n">
        <v>85658</v>
      </c>
      <c r="O318" s="37" t="n">
        <v>698223033</v>
      </c>
      <c r="P318" s="37" t="n">
        <v>48367</v>
      </c>
      <c r="Q318" s="37" t="n">
        <v>381736043</v>
      </c>
      <c r="R318" s="37" t="n">
        <v>204519</v>
      </c>
      <c r="S318" s="37" t="n">
        <v>2231521216</v>
      </c>
    </row>
    <row r="319">
      <c r="A319" s="37" t="inlineStr">
        <is>
          <t>104年</t>
        </is>
      </c>
      <c r="B319" s="37" t="inlineStr">
        <is>
          <t>10月</t>
        </is>
      </c>
      <c r="C319" s="36" t="inlineStr">
        <is>
          <t>文教康樂</t>
        </is>
      </c>
      <c r="D319" s="37" t="n">
        <v>2467899</v>
      </c>
      <c r="E319" s="37" t="n">
        <v>10208689330</v>
      </c>
      <c r="F319" s="37" t="n">
        <v>1199407</v>
      </c>
      <c r="G319" s="37" t="n">
        <v>5414656682</v>
      </c>
      <c r="H319" s="37" t="n">
        <v>444056</v>
      </c>
      <c r="I319" s="37" t="n">
        <v>2386685809</v>
      </c>
      <c r="J319" s="37" t="n">
        <v>277736</v>
      </c>
      <c r="K319" s="37" t="n">
        <v>1798398843</v>
      </c>
      <c r="L319" s="37" t="n">
        <v>102769</v>
      </c>
      <c r="M319" s="37" t="n">
        <v>694114867</v>
      </c>
      <c r="N319" s="37" t="n">
        <v>86470</v>
      </c>
      <c r="O319" s="37" t="n">
        <v>639131957</v>
      </c>
      <c r="P319" s="37" t="n">
        <v>47752</v>
      </c>
      <c r="Q319" s="37" t="n">
        <v>364271801</v>
      </c>
      <c r="R319" s="37" t="n">
        <v>209787</v>
      </c>
      <c r="S319" s="37" t="n">
        <v>2175173308</v>
      </c>
    </row>
    <row r="320">
      <c r="A320" s="37" t="inlineStr">
        <is>
          <t>104年</t>
        </is>
      </c>
      <c r="B320" s="37" t="inlineStr">
        <is>
          <t>11月</t>
        </is>
      </c>
      <c r="C320" s="36" t="inlineStr">
        <is>
          <t>文教康樂</t>
        </is>
      </c>
      <c r="D320" s="37" t="n">
        <v>2303723</v>
      </c>
      <c r="E320" s="37" t="n">
        <v>9345206249</v>
      </c>
      <c r="F320" s="37" t="n">
        <v>1112934</v>
      </c>
      <c r="G320" s="37" t="n">
        <v>4888789917</v>
      </c>
      <c r="H320" s="37" t="n">
        <v>413319</v>
      </c>
      <c r="I320" s="37" t="n">
        <v>2133731074</v>
      </c>
      <c r="J320" s="37" t="n">
        <v>258212</v>
      </c>
      <c r="K320" s="37" t="n">
        <v>1603055230</v>
      </c>
      <c r="L320" s="37" t="n">
        <v>94818</v>
      </c>
      <c r="M320" s="37" t="n">
        <v>626147358</v>
      </c>
      <c r="N320" s="37" t="n">
        <v>80610</v>
      </c>
      <c r="O320" s="37" t="n">
        <v>574243448</v>
      </c>
      <c r="P320" s="37" t="n">
        <v>44869</v>
      </c>
      <c r="Q320" s="37" t="n">
        <v>330717599</v>
      </c>
      <c r="R320" s="37" t="n">
        <v>198676</v>
      </c>
      <c r="S320" s="37" t="n">
        <v>2035902276</v>
      </c>
    </row>
    <row r="321">
      <c r="A321" s="37" t="inlineStr">
        <is>
          <t>104年</t>
        </is>
      </c>
      <c r="B321" s="37" t="inlineStr">
        <is>
          <t>12月</t>
        </is>
      </c>
      <c r="C321" s="36" t="inlineStr">
        <is>
          <t>文教康樂</t>
        </is>
      </c>
      <c r="D321" s="37" t="n">
        <v>2413380</v>
      </c>
      <c r="E321" s="37" t="n">
        <v>9214956349</v>
      </c>
      <c r="F321" s="37" t="n">
        <v>1157170</v>
      </c>
      <c r="G321" s="37" t="n">
        <v>4806331078</v>
      </c>
      <c r="H321" s="37" t="n">
        <v>430770</v>
      </c>
      <c r="I321" s="37" t="n">
        <v>2097231108</v>
      </c>
      <c r="J321" s="37" t="n">
        <v>269817</v>
      </c>
      <c r="K321" s="37" t="n">
        <v>1566945009</v>
      </c>
      <c r="L321" s="37" t="n">
        <v>99813</v>
      </c>
      <c r="M321" s="37" t="n">
        <v>596640830</v>
      </c>
      <c r="N321" s="37" t="n">
        <v>85130</v>
      </c>
      <c r="O321" s="37" t="n">
        <v>562674158</v>
      </c>
      <c r="P321" s="37" t="n">
        <v>47013</v>
      </c>
      <c r="Q321" s="37" t="n">
        <v>321317209</v>
      </c>
      <c r="R321" s="37" t="n">
        <v>207187</v>
      </c>
      <c r="S321" s="37" t="n">
        <v>2023918714</v>
      </c>
    </row>
    <row r="322">
      <c r="A322" s="37" t="inlineStr">
        <is>
          <t>105年</t>
        </is>
      </c>
      <c r="B322" s="37" t="inlineStr">
        <is>
          <t>01月</t>
        </is>
      </c>
      <c r="C322" s="36" t="inlineStr">
        <is>
          <t>文教康樂</t>
        </is>
      </c>
      <c r="D322" s="37" t="n">
        <v>2373996</v>
      </c>
      <c r="E322" s="37" t="n">
        <v>10310854087</v>
      </c>
      <c r="F322" s="37" t="n">
        <v>1172425</v>
      </c>
      <c r="G322" s="37" t="n">
        <v>5716941504</v>
      </c>
      <c r="H322" s="37" t="n">
        <v>439539</v>
      </c>
      <c r="I322" s="37" t="n">
        <v>2550031245</v>
      </c>
      <c r="J322" s="37" t="n">
        <v>265740</v>
      </c>
      <c r="K322" s="37" t="n">
        <v>1901193387</v>
      </c>
      <c r="L322" s="37" t="n">
        <v>98444</v>
      </c>
      <c r="M322" s="37" t="n">
        <v>738931987</v>
      </c>
      <c r="N322" s="37" t="n">
        <v>82826</v>
      </c>
      <c r="O322" s="37" t="n">
        <v>693799097</v>
      </c>
      <c r="P322" s="37" t="n">
        <v>46944</v>
      </c>
      <c r="Q322" s="37" t="n">
        <v>418471389</v>
      </c>
      <c r="R322" s="37" t="n">
        <v>198905</v>
      </c>
      <c r="S322" s="37" t="n">
        <v>2392838959</v>
      </c>
    </row>
    <row r="323">
      <c r="A323" s="37" t="inlineStr">
        <is>
          <t>105年</t>
        </is>
      </c>
      <c r="B323" s="37" t="inlineStr">
        <is>
          <t>02月</t>
        </is>
      </c>
      <c r="C323" s="36" t="inlineStr">
        <is>
          <t>文教康樂</t>
        </is>
      </c>
      <c r="D323" s="37" t="n">
        <v>2528574</v>
      </c>
      <c r="E323" s="37" t="n">
        <v>10540503318</v>
      </c>
      <c r="F323" s="37" t="n">
        <v>1231226</v>
      </c>
      <c r="G323" s="37" t="n">
        <v>5828525789</v>
      </c>
      <c r="H323" s="37" t="n">
        <v>463315</v>
      </c>
      <c r="I323" s="37" t="n">
        <v>2606881377</v>
      </c>
      <c r="J323" s="37" t="n">
        <v>275580</v>
      </c>
      <c r="K323" s="37" t="n">
        <v>1830475479</v>
      </c>
      <c r="L323" s="37" t="n">
        <v>102439</v>
      </c>
      <c r="M323" s="37" t="n">
        <v>690939091</v>
      </c>
      <c r="N323" s="37" t="n">
        <v>84110</v>
      </c>
      <c r="O323" s="37" t="n">
        <v>614998384</v>
      </c>
      <c r="P323" s="37" t="n">
        <v>48270</v>
      </c>
      <c r="Q323" s="37" t="n">
        <v>351759459</v>
      </c>
      <c r="R323" s="37" t="n">
        <v>193029</v>
      </c>
      <c r="S323" s="37" t="n">
        <v>1859434935</v>
      </c>
    </row>
    <row r="324">
      <c r="A324" s="37" t="inlineStr">
        <is>
          <t>105年</t>
        </is>
      </c>
      <c r="B324" s="37" t="inlineStr">
        <is>
          <t>03月</t>
        </is>
      </c>
      <c r="C324" s="36" t="inlineStr">
        <is>
          <t>文教康樂</t>
        </is>
      </c>
      <c r="D324" s="37" t="n">
        <v>2343181</v>
      </c>
      <c r="E324" s="37" t="n">
        <v>9546489862</v>
      </c>
      <c r="F324" s="37" t="n">
        <v>1110507</v>
      </c>
      <c r="G324" s="37" t="n">
        <v>5163965481</v>
      </c>
      <c r="H324" s="37" t="n">
        <v>419458</v>
      </c>
      <c r="I324" s="37" t="n">
        <v>2291211025</v>
      </c>
      <c r="J324" s="37" t="n">
        <v>253083</v>
      </c>
      <c r="K324" s="37" t="n">
        <v>1651893351</v>
      </c>
      <c r="L324" s="37" t="n">
        <v>95016</v>
      </c>
      <c r="M324" s="37" t="n">
        <v>643620179</v>
      </c>
      <c r="N324" s="37" t="n">
        <v>80603</v>
      </c>
      <c r="O324" s="37" t="n">
        <v>610494398</v>
      </c>
      <c r="P324" s="37" t="n">
        <v>45216</v>
      </c>
      <c r="Q324" s="37" t="n">
        <v>346879755</v>
      </c>
      <c r="R324" s="37" t="n">
        <v>187454</v>
      </c>
      <c r="S324" s="37" t="n">
        <v>1885104122</v>
      </c>
    </row>
    <row r="325">
      <c r="A325" s="37" t="inlineStr">
        <is>
          <t>105年</t>
        </is>
      </c>
      <c r="B325" s="37" t="inlineStr">
        <is>
          <t>04月</t>
        </is>
      </c>
      <c r="C325" s="36" t="inlineStr">
        <is>
          <t>文教康樂</t>
        </is>
      </c>
      <c r="D325" s="37" t="n">
        <v>2266662</v>
      </c>
      <c r="E325" s="37" t="n">
        <v>8812178742</v>
      </c>
      <c r="F325" s="37" t="n">
        <v>1071463</v>
      </c>
      <c r="G325" s="37" t="n">
        <v>4776311581</v>
      </c>
      <c r="H325" s="37" t="n">
        <v>403601</v>
      </c>
      <c r="I325" s="37" t="n">
        <v>2133430139</v>
      </c>
      <c r="J325" s="37" t="n">
        <v>243566</v>
      </c>
      <c r="K325" s="37" t="n">
        <v>1514070986</v>
      </c>
      <c r="L325" s="37" t="n">
        <v>92149</v>
      </c>
      <c r="M325" s="37" t="n">
        <v>607036776</v>
      </c>
      <c r="N325" s="37" t="n">
        <v>78708</v>
      </c>
      <c r="O325" s="37" t="n">
        <v>566307385</v>
      </c>
      <c r="P325" s="37" t="n">
        <v>44207</v>
      </c>
      <c r="Q325" s="37" t="n">
        <v>319982596</v>
      </c>
      <c r="R325" s="37" t="n">
        <v>184465</v>
      </c>
      <c r="S325" s="37" t="n">
        <v>1801378355</v>
      </c>
    </row>
    <row r="326">
      <c r="A326" s="37" t="inlineStr">
        <is>
          <t>105年</t>
        </is>
      </c>
      <c r="B326" s="37" t="inlineStr">
        <is>
          <t>05月</t>
        </is>
      </c>
      <c r="C326" s="36" t="inlineStr">
        <is>
          <t>文教康樂</t>
        </is>
      </c>
      <c r="D326" s="37" t="n">
        <v>2219268</v>
      </c>
      <c r="E326" s="37" t="n">
        <v>9625150689</v>
      </c>
      <c r="F326" s="37" t="n">
        <v>1040054</v>
      </c>
      <c r="G326" s="37" t="n">
        <v>5200189306</v>
      </c>
      <c r="H326" s="37" t="n">
        <v>400143</v>
      </c>
      <c r="I326" s="37" t="n">
        <v>2382336894</v>
      </c>
      <c r="J326" s="37" t="n">
        <v>243370</v>
      </c>
      <c r="K326" s="37" t="n">
        <v>1718965955</v>
      </c>
      <c r="L326" s="37" t="n">
        <v>92511</v>
      </c>
      <c r="M326" s="37" t="n">
        <v>706137381</v>
      </c>
      <c r="N326" s="37" t="n">
        <v>79410</v>
      </c>
      <c r="O326" s="37" t="n">
        <v>650742441</v>
      </c>
      <c r="P326" s="37" t="n">
        <v>44758</v>
      </c>
      <c r="Q326" s="37" t="n">
        <v>372235662</v>
      </c>
      <c r="R326" s="37" t="n">
        <v>187266</v>
      </c>
      <c r="S326" s="37" t="n">
        <v>2070824328</v>
      </c>
    </row>
    <row r="327">
      <c r="A327" s="37" t="inlineStr">
        <is>
          <t>105年</t>
        </is>
      </c>
      <c r="B327" s="37" t="inlineStr">
        <is>
          <t>06月</t>
        </is>
      </c>
      <c r="C327" s="36" t="inlineStr">
        <is>
          <t>文教康樂</t>
        </is>
      </c>
      <c r="D327" s="37" t="n">
        <v>2429149</v>
      </c>
      <c r="E327" s="37" t="n">
        <v>10329598648</v>
      </c>
      <c r="F327" s="37" t="n">
        <v>1139141</v>
      </c>
      <c r="G327" s="37" t="n">
        <v>5596466786</v>
      </c>
      <c r="H327" s="37" t="n">
        <v>433894</v>
      </c>
      <c r="I327" s="37" t="n">
        <v>2558408932</v>
      </c>
      <c r="J327" s="37" t="n">
        <v>265147</v>
      </c>
      <c r="K327" s="37" t="n">
        <v>1921923156</v>
      </c>
      <c r="L327" s="37" t="n">
        <v>98815</v>
      </c>
      <c r="M327" s="37" t="n">
        <v>748975594</v>
      </c>
      <c r="N327" s="37" t="n">
        <v>84326</v>
      </c>
      <c r="O327" s="37" t="n">
        <v>706837391</v>
      </c>
      <c r="P327" s="37" t="n">
        <v>47566</v>
      </c>
      <c r="Q327" s="37" t="n">
        <v>403179788</v>
      </c>
      <c r="R327" s="37" t="n">
        <v>205047</v>
      </c>
      <c r="S327" s="37" t="n">
        <v>2494715065</v>
      </c>
    </row>
    <row r="328">
      <c r="A328" s="37" t="inlineStr">
        <is>
          <t>105年</t>
        </is>
      </c>
      <c r="B328" s="37" t="inlineStr">
        <is>
          <t>07月</t>
        </is>
      </c>
      <c r="C328" s="36" t="inlineStr">
        <is>
          <t>文教康樂</t>
        </is>
      </c>
      <c r="D328" s="37" t="n">
        <v>2599200</v>
      </c>
      <c r="E328" s="37" t="n">
        <v>9209780556</v>
      </c>
      <c r="F328" s="37" t="n">
        <v>1237230</v>
      </c>
      <c r="G328" s="37" t="n">
        <v>5218597186</v>
      </c>
      <c r="H328" s="37" t="n">
        <v>469458</v>
      </c>
      <c r="I328" s="37" t="n">
        <v>2427157450</v>
      </c>
      <c r="J328" s="37" t="n">
        <v>278670</v>
      </c>
      <c r="K328" s="37" t="n">
        <v>1751674234</v>
      </c>
      <c r="L328" s="37" t="n">
        <v>105412</v>
      </c>
      <c r="M328" s="37" t="n">
        <v>678640541</v>
      </c>
      <c r="N328" s="37" t="n">
        <v>88647</v>
      </c>
      <c r="O328" s="37" t="n">
        <v>654053361</v>
      </c>
      <c r="P328" s="37" t="n">
        <v>50185</v>
      </c>
      <c r="Q328" s="37" t="n">
        <v>368105913</v>
      </c>
      <c r="R328" s="37" t="n">
        <v>204389</v>
      </c>
      <c r="S328" s="37" t="n">
        <v>2052703260</v>
      </c>
    </row>
    <row r="329">
      <c r="A329" s="37" t="inlineStr">
        <is>
          <t>105年</t>
        </is>
      </c>
      <c r="B329" s="37" t="inlineStr">
        <is>
          <t>08月</t>
        </is>
      </c>
      <c r="C329" s="36" t="inlineStr">
        <is>
          <t>文教康樂</t>
        </is>
      </c>
      <c r="D329" s="37" t="n">
        <v>2610041</v>
      </c>
      <c r="E329" s="37" t="n">
        <v>10845382856</v>
      </c>
      <c r="F329" s="37" t="n">
        <v>1218113</v>
      </c>
      <c r="G329" s="37" t="n">
        <v>6018162261</v>
      </c>
      <c r="H329" s="37" t="n">
        <v>470158</v>
      </c>
      <c r="I329" s="37" t="n">
        <v>2856957360</v>
      </c>
      <c r="J329" s="37" t="n">
        <v>282293</v>
      </c>
      <c r="K329" s="37" t="n">
        <v>2078741041</v>
      </c>
      <c r="L329" s="37" t="n">
        <v>109652</v>
      </c>
      <c r="M329" s="37" t="n">
        <v>840574937</v>
      </c>
      <c r="N329" s="37" t="n">
        <v>90828</v>
      </c>
      <c r="O329" s="37" t="n">
        <v>784411328</v>
      </c>
      <c r="P329" s="37" t="n">
        <v>50647</v>
      </c>
      <c r="Q329" s="37" t="n">
        <v>430680680</v>
      </c>
      <c r="R329" s="37" t="n">
        <v>208335</v>
      </c>
      <c r="S329" s="37" t="n">
        <v>2275814248</v>
      </c>
    </row>
    <row r="330">
      <c r="A330" s="37" t="inlineStr">
        <is>
          <t>105年</t>
        </is>
      </c>
      <c r="B330" s="37" t="inlineStr">
        <is>
          <t>09月</t>
        </is>
      </c>
      <c r="C330" s="36" t="inlineStr">
        <is>
          <t>文教康樂</t>
        </is>
      </c>
      <c r="D330" s="37" t="n">
        <v>2406240</v>
      </c>
      <c r="E330" s="37" t="n">
        <v>9564149667</v>
      </c>
      <c r="F330" s="37" t="n">
        <v>1107887</v>
      </c>
      <c r="G330" s="37" t="n">
        <v>5205842506</v>
      </c>
      <c r="H330" s="37" t="n">
        <v>414963</v>
      </c>
      <c r="I330" s="37" t="n">
        <v>2341931306</v>
      </c>
      <c r="J330" s="37" t="n">
        <v>254700</v>
      </c>
      <c r="K330" s="37" t="n">
        <v>1747444538</v>
      </c>
      <c r="L330" s="37" t="n">
        <v>98564</v>
      </c>
      <c r="M330" s="37" t="n">
        <v>690898752</v>
      </c>
      <c r="N330" s="37" t="n">
        <v>82120</v>
      </c>
      <c r="O330" s="37" t="n">
        <v>651886716</v>
      </c>
      <c r="P330" s="37" t="n">
        <v>45502</v>
      </c>
      <c r="Q330" s="37" t="n">
        <v>359645463</v>
      </c>
      <c r="R330" s="37" t="n">
        <v>189980</v>
      </c>
      <c r="S330" s="37" t="n">
        <v>1980512529</v>
      </c>
    </row>
    <row r="331">
      <c r="A331" s="37" t="inlineStr">
        <is>
          <t>105年</t>
        </is>
      </c>
      <c r="B331" s="37" t="inlineStr">
        <is>
          <t>10月</t>
        </is>
      </c>
      <c r="C331" s="36" t="inlineStr">
        <is>
          <t>文教康樂</t>
        </is>
      </c>
      <c r="D331" s="37" t="n">
        <v>2527060</v>
      </c>
      <c r="E331" s="37" t="n">
        <v>9054664040</v>
      </c>
      <c r="F331" s="37" t="n">
        <v>1165688</v>
      </c>
      <c r="G331" s="37" t="n">
        <v>4845080603</v>
      </c>
      <c r="H331" s="37" t="n">
        <v>430054</v>
      </c>
      <c r="I331" s="37" t="n">
        <v>2120954281</v>
      </c>
      <c r="J331" s="37" t="n">
        <v>265974</v>
      </c>
      <c r="K331" s="37" t="n">
        <v>1588191975</v>
      </c>
      <c r="L331" s="37" t="n">
        <v>102683</v>
      </c>
      <c r="M331" s="37" t="n">
        <v>632558310</v>
      </c>
      <c r="N331" s="37" t="n">
        <v>86852</v>
      </c>
      <c r="O331" s="37" t="n">
        <v>607526891</v>
      </c>
      <c r="P331" s="37" t="n">
        <v>46960</v>
      </c>
      <c r="Q331" s="37" t="n">
        <v>332329300</v>
      </c>
      <c r="R331" s="37" t="n">
        <v>202908</v>
      </c>
      <c r="S331" s="37" t="n">
        <v>1891913671</v>
      </c>
    </row>
    <row r="332">
      <c r="A332" s="37" t="inlineStr">
        <is>
          <t>105年</t>
        </is>
      </c>
      <c r="B332" s="37" t="inlineStr">
        <is>
          <t>11月</t>
        </is>
      </c>
      <c r="C332" s="36" t="inlineStr">
        <is>
          <t>文教康樂</t>
        </is>
      </c>
      <c r="D332" s="37" t="n">
        <v>2479674</v>
      </c>
      <c r="E332" s="37" t="n">
        <v>9666614162</v>
      </c>
      <c r="F332" s="37" t="n">
        <v>1151937</v>
      </c>
      <c r="G332" s="37" t="n">
        <v>4991102239</v>
      </c>
      <c r="H332" s="37" t="n">
        <v>424143</v>
      </c>
      <c r="I332" s="37" t="n">
        <v>2165334713</v>
      </c>
      <c r="J332" s="37" t="n">
        <v>260164</v>
      </c>
      <c r="K332" s="37" t="n">
        <v>1619048583</v>
      </c>
      <c r="L332" s="37" t="n">
        <v>100155</v>
      </c>
      <c r="M332" s="37" t="n">
        <v>657896876</v>
      </c>
      <c r="N332" s="37" t="n">
        <v>82993</v>
      </c>
      <c r="O332" s="37" t="n">
        <v>620327715</v>
      </c>
      <c r="P332" s="37" t="n">
        <v>46528</v>
      </c>
      <c r="Q332" s="37" t="n">
        <v>339259250</v>
      </c>
      <c r="R332" s="37" t="n">
        <v>204343</v>
      </c>
      <c r="S332" s="37" t="n">
        <v>2144452116</v>
      </c>
    </row>
    <row r="333">
      <c r="A333" s="37" t="inlineStr">
        <is>
          <t>105年</t>
        </is>
      </c>
      <c r="B333" s="37" t="inlineStr">
        <is>
          <t>12月</t>
        </is>
      </c>
      <c r="C333" s="36" t="inlineStr">
        <is>
          <t>文教康樂</t>
        </is>
      </c>
      <c r="D333" s="37" t="n">
        <v>2605217</v>
      </c>
      <c r="E333" s="37" t="n">
        <v>9230502953</v>
      </c>
      <c r="F333" s="37" t="n">
        <v>1211628</v>
      </c>
      <c r="G333" s="37" t="n">
        <v>4778180954</v>
      </c>
      <c r="H333" s="37" t="n">
        <v>448706</v>
      </c>
      <c r="I333" s="37" t="n">
        <v>2058537729</v>
      </c>
      <c r="J333" s="37" t="n">
        <v>274796</v>
      </c>
      <c r="K333" s="37" t="n">
        <v>1516602591</v>
      </c>
      <c r="L333" s="37" t="n">
        <v>106799</v>
      </c>
      <c r="M333" s="37" t="n">
        <v>626941273</v>
      </c>
      <c r="N333" s="37" t="n">
        <v>87885</v>
      </c>
      <c r="O333" s="37" t="n">
        <v>562081439</v>
      </c>
      <c r="P333" s="37" t="n">
        <v>48672</v>
      </c>
      <c r="Q333" s="37" t="n">
        <v>313613596</v>
      </c>
      <c r="R333" s="37" t="n">
        <v>216860</v>
      </c>
      <c r="S333" s="37" t="n">
        <v>2065729770</v>
      </c>
    </row>
    <row r="334">
      <c r="A334" s="37" t="inlineStr">
        <is>
          <t>106年</t>
        </is>
      </c>
      <c r="B334" s="37" t="inlineStr">
        <is>
          <t>01月</t>
        </is>
      </c>
      <c r="C334" s="36" t="inlineStr">
        <is>
          <t>文教康樂</t>
        </is>
      </c>
      <c r="D334" s="37" t="n">
        <v>2567940</v>
      </c>
      <c r="E334" s="37" t="n">
        <v>9725347539</v>
      </c>
      <c r="F334" s="37" t="n">
        <v>1178487</v>
      </c>
      <c r="G334" s="37" t="n">
        <v>5167541304</v>
      </c>
      <c r="H334" s="37" t="n">
        <v>426875</v>
      </c>
      <c r="I334" s="37" t="n">
        <v>2225181465</v>
      </c>
      <c r="J334" s="37" t="n">
        <v>262826</v>
      </c>
      <c r="K334" s="37" t="n">
        <v>1692855865</v>
      </c>
      <c r="L334" s="37" t="n">
        <v>102475</v>
      </c>
      <c r="M334" s="37" t="n">
        <v>689905314</v>
      </c>
      <c r="N334" s="37" t="n">
        <v>84500</v>
      </c>
      <c r="O334" s="37" t="n">
        <v>645353879</v>
      </c>
      <c r="P334" s="37" t="n">
        <v>46671</v>
      </c>
      <c r="Q334" s="37" t="n">
        <v>366631773</v>
      </c>
      <c r="R334" s="37" t="n">
        <v>206106</v>
      </c>
      <c r="S334" s="37" t="n">
        <v>2271259179</v>
      </c>
    </row>
    <row r="335">
      <c r="A335" s="37" t="inlineStr">
        <is>
          <t>106年</t>
        </is>
      </c>
      <c r="B335" s="37" t="inlineStr">
        <is>
          <t>02月</t>
        </is>
      </c>
      <c r="C335" s="36" t="inlineStr">
        <is>
          <t>文教康樂</t>
        </is>
      </c>
      <c r="D335" s="37" t="n">
        <v>2651246</v>
      </c>
      <c r="E335" s="37" t="n">
        <v>11657664726</v>
      </c>
      <c r="F335" s="37" t="n">
        <v>1219687</v>
      </c>
      <c r="G335" s="37" t="n">
        <v>6375018551</v>
      </c>
      <c r="H335" s="37" t="n">
        <v>450155</v>
      </c>
      <c r="I335" s="37" t="n">
        <v>2795704941</v>
      </c>
      <c r="J335" s="37" t="n">
        <v>278697</v>
      </c>
      <c r="K335" s="37" t="n">
        <v>2037039405</v>
      </c>
      <c r="L335" s="37" t="n">
        <v>107381</v>
      </c>
      <c r="M335" s="37" t="n">
        <v>790485756</v>
      </c>
      <c r="N335" s="37" t="n">
        <v>88265</v>
      </c>
      <c r="O335" s="37" t="n">
        <v>725840263</v>
      </c>
      <c r="P335" s="37" t="n">
        <v>48589</v>
      </c>
      <c r="Q335" s="37" t="n">
        <v>399514347</v>
      </c>
      <c r="R335" s="37" t="n">
        <v>214076</v>
      </c>
      <c r="S335" s="37" t="n">
        <v>2209749013</v>
      </c>
    </row>
    <row r="336">
      <c r="A336" s="37" t="inlineStr">
        <is>
          <t>106年</t>
        </is>
      </c>
      <c r="B336" s="37" t="inlineStr">
        <is>
          <t>03月</t>
        </is>
      </c>
      <c r="C336" s="36" t="inlineStr">
        <is>
          <t>文教康樂</t>
        </is>
      </c>
      <c r="D336" s="37" t="n">
        <v>2682807</v>
      </c>
      <c r="E336" s="37" t="n">
        <v>10919720392</v>
      </c>
      <c r="F336" s="37" t="n">
        <v>1207833</v>
      </c>
      <c r="G336" s="37" t="n">
        <v>5584755972</v>
      </c>
      <c r="H336" s="37" t="n">
        <v>443054</v>
      </c>
      <c r="I336" s="37" t="n">
        <v>2449235883</v>
      </c>
      <c r="J336" s="37" t="n">
        <v>274537</v>
      </c>
      <c r="K336" s="37" t="n">
        <v>1837185340</v>
      </c>
      <c r="L336" s="37" t="n">
        <v>106360</v>
      </c>
      <c r="M336" s="37" t="n">
        <v>740677793</v>
      </c>
      <c r="N336" s="37" t="n">
        <v>87624</v>
      </c>
      <c r="O336" s="37" t="n">
        <v>684090700</v>
      </c>
      <c r="P336" s="37" t="n">
        <v>49478</v>
      </c>
      <c r="Q336" s="37" t="n">
        <v>390372900</v>
      </c>
      <c r="R336" s="37" t="n">
        <v>222141</v>
      </c>
      <c r="S336" s="37" t="n">
        <v>2408843577</v>
      </c>
    </row>
    <row r="337">
      <c r="A337" s="37" t="inlineStr">
        <is>
          <t>106年</t>
        </is>
      </c>
      <c r="B337" s="37" t="inlineStr">
        <is>
          <t>04月</t>
        </is>
      </c>
      <c r="C337" s="36" t="inlineStr">
        <is>
          <t>文教康樂</t>
        </is>
      </c>
      <c r="D337" s="37" t="n">
        <v>2749828</v>
      </c>
      <c r="E337" s="37" t="n">
        <v>9954436060</v>
      </c>
      <c r="F337" s="37" t="n">
        <v>1231590</v>
      </c>
      <c r="G337" s="37" t="n">
        <v>5119335227</v>
      </c>
      <c r="H337" s="37" t="n">
        <v>450625</v>
      </c>
      <c r="I337" s="37" t="n">
        <v>2265476965</v>
      </c>
      <c r="J337" s="37" t="n">
        <v>273988</v>
      </c>
      <c r="K337" s="37" t="n">
        <v>1653925868</v>
      </c>
      <c r="L337" s="37" t="n">
        <v>107849</v>
      </c>
      <c r="M337" s="37" t="n">
        <v>693889887</v>
      </c>
      <c r="N337" s="37" t="n">
        <v>88271</v>
      </c>
      <c r="O337" s="37" t="n">
        <v>624088487</v>
      </c>
      <c r="P337" s="37" t="n">
        <v>49741</v>
      </c>
      <c r="Q337" s="37" t="n">
        <v>356335227</v>
      </c>
      <c r="R337" s="37" t="n">
        <v>217137</v>
      </c>
      <c r="S337" s="37" t="n">
        <v>2137111712</v>
      </c>
    </row>
    <row r="338">
      <c r="A338" s="37" t="inlineStr">
        <is>
          <t>106年</t>
        </is>
      </c>
      <c r="B338" s="37" t="inlineStr">
        <is>
          <t>05月</t>
        </is>
      </c>
      <c r="C338" s="36" t="inlineStr">
        <is>
          <t>文教康樂</t>
        </is>
      </c>
      <c r="D338" s="37" t="n">
        <v>2558702</v>
      </c>
      <c r="E338" s="37" t="n">
        <v>10698198867</v>
      </c>
      <c r="F338" s="37" t="n">
        <v>1159629</v>
      </c>
      <c r="G338" s="37" t="n">
        <v>5561255435</v>
      </c>
      <c r="H338" s="37" t="n">
        <v>427814</v>
      </c>
      <c r="I338" s="37" t="n">
        <v>2467550602</v>
      </c>
      <c r="J338" s="37" t="n">
        <v>267254</v>
      </c>
      <c r="K338" s="37" t="n">
        <v>1880242057</v>
      </c>
      <c r="L338" s="37" t="n">
        <v>104066</v>
      </c>
      <c r="M338" s="37" t="n">
        <v>768110092</v>
      </c>
      <c r="N338" s="37" t="n">
        <v>86527</v>
      </c>
      <c r="O338" s="37" t="n">
        <v>720911569</v>
      </c>
      <c r="P338" s="37" t="n">
        <v>48532</v>
      </c>
      <c r="Q338" s="37" t="n">
        <v>396495318</v>
      </c>
      <c r="R338" s="37" t="n">
        <v>219238</v>
      </c>
      <c r="S338" s="37" t="n">
        <v>2572270686</v>
      </c>
    </row>
    <row r="339">
      <c r="A339" s="37" t="inlineStr">
        <is>
          <t>106年</t>
        </is>
      </c>
      <c r="B339" s="37" t="inlineStr">
        <is>
          <t>06月</t>
        </is>
      </c>
      <c r="C339" s="36" t="inlineStr">
        <is>
          <t>文教康樂</t>
        </is>
      </c>
      <c r="D339" s="37" t="n">
        <v>2514021</v>
      </c>
      <c r="E339" s="37" t="n">
        <v>10481732619</v>
      </c>
      <c r="F339" s="37" t="n">
        <v>1133376</v>
      </c>
      <c r="G339" s="37" t="n">
        <v>5497456000</v>
      </c>
      <c r="H339" s="37" t="n">
        <v>409672</v>
      </c>
      <c r="I339" s="37" t="n">
        <v>2485376854</v>
      </c>
      <c r="J339" s="37" t="n">
        <v>256969</v>
      </c>
      <c r="K339" s="37" t="n">
        <v>1919858541</v>
      </c>
      <c r="L339" s="37" t="n">
        <v>98873</v>
      </c>
      <c r="M339" s="37" t="n">
        <v>774898485</v>
      </c>
      <c r="N339" s="37" t="n">
        <v>82973</v>
      </c>
      <c r="O339" s="37" t="n">
        <v>738522812</v>
      </c>
      <c r="P339" s="37" t="n">
        <v>45598</v>
      </c>
      <c r="Q339" s="37" t="n">
        <v>404637772</v>
      </c>
      <c r="R339" s="37" t="n">
        <v>208303</v>
      </c>
      <c r="S339" s="37" t="n">
        <v>2586925875</v>
      </c>
    </row>
    <row r="340">
      <c r="A340" s="37" t="inlineStr">
        <is>
          <t>106年</t>
        </is>
      </c>
      <c r="B340" s="37" t="inlineStr">
        <is>
          <t>07月</t>
        </is>
      </c>
      <c r="C340" s="36" t="inlineStr">
        <is>
          <t>文教康樂</t>
        </is>
      </c>
      <c r="D340" s="37" t="n">
        <v>2661570</v>
      </c>
      <c r="E340" s="37" t="n">
        <v>10065455569</v>
      </c>
      <c r="F340" s="37" t="n">
        <v>1232577</v>
      </c>
      <c r="G340" s="37" t="n">
        <v>5395554170</v>
      </c>
      <c r="H340" s="37" t="n">
        <v>448551</v>
      </c>
      <c r="I340" s="37" t="n">
        <v>2419542449</v>
      </c>
      <c r="J340" s="37" t="n">
        <v>276897</v>
      </c>
      <c r="K340" s="37" t="n">
        <v>1799305202</v>
      </c>
      <c r="L340" s="37" t="n">
        <v>106711</v>
      </c>
      <c r="M340" s="37" t="n">
        <v>729377680</v>
      </c>
      <c r="N340" s="37" t="n">
        <v>88287</v>
      </c>
      <c r="O340" s="37" t="n">
        <v>694083165</v>
      </c>
      <c r="P340" s="37" t="n">
        <v>48628</v>
      </c>
      <c r="Q340" s="37" t="n">
        <v>383306227</v>
      </c>
      <c r="R340" s="37" t="n">
        <v>220518</v>
      </c>
      <c r="S340" s="37" t="n">
        <v>2381181476</v>
      </c>
    </row>
    <row r="341">
      <c r="A341" s="37" t="inlineStr">
        <is>
          <t>106年</t>
        </is>
      </c>
      <c r="B341" s="37" t="inlineStr">
        <is>
          <t>08月</t>
        </is>
      </c>
      <c r="C341" s="36" t="inlineStr">
        <is>
          <t>文教康樂</t>
        </is>
      </c>
      <c r="D341" s="37" t="n">
        <v>2698689</v>
      </c>
      <c r="E341" s="37" t="n">
        <v>11628691590</v>
      </c>
      <c r="F341" s="37" t="n">
        <v>1243604</v>
      </c>
      <c r="G341" s="37" t="n">
        <v>6252378107</v>
      </c>
      <c r="H341" s="37" t="n">
        <v>457013</v>
      </c>
      <c r="I341" s="37" t="n">
        <v>2770521093</v>
      </c>
      <c r="J341" s="37" t="n">
        <v>284838</v>
      </c>
      <c r="K341" s="37" t="n">
        <v>2125118466</v>
      </c>
      <c r="L341" s="37" t="n">
        <v>109625</v>
      </c>
      <c r="M341" s="37" t="n">
        <v>860676116</v>
      </c>
      <c r="N341" s="37" t="n">
        <v>92271</v>
      </c>
      <c r="O341" s="37" t="n">
        <v>804155207</v>
      </c>
      <c r="P341" s="37" t="n">
        <v>50138</v>
      </c>
      <c r="Q341" s="37" t="n">
        <v>438900675</v>
      </c>
      <c r="R341" s="37" t="n">
        <v>231513</v>
      </c>
      <c r="S341" s="37" t="n">
        <v>2670426531</v>
      </c>
    </row>
    <row r="342">
      <c r="A342" s="37" t="inlineStr">
        <is>
          <t>106年</t>
        </is>
      </c>
      <c r="B342" s="37" t="inlineStr">
        <is>
          <t>09月</t>
        </is>
      </c>
      <c r="C342" s="36" t="inlineStr">
        <is>
          <t>文教康樂</t>
        </is>
      </c>
      <c r="D342" s="37" t="n">
        <v>2608241</v>
      </c>
      <c r="E342" s="37" t="n">
        <v>11521925082</v>
      </c>
      <c r="F342" s="37" t="n">
        <v>1183705</v>
      </c>
      <c r="G342" s="37" t="n">
        <v>6001367427</v>
      </c>
      <c r="H342" s="37" t="n">
        <v>431626</v>
      </c>
      <c r="I342" s="37" t="n">
        <v>2624968588</v>
      </c>
      <c r="J342" s="37" t="n">
        <v>271100</v>
      </c>
      <c r="K342" s="37" t="n">
        <v>2004107862</v>
      </c>
      <c r="L342" s="37" t="n">
        <v>105252</v>
      </c>
      <c r="M342" s="37" t="n">
        <v>813238245</v>
      </c>
      <c r="N342" s="37" t="n">
        <v>88272</v>
      </c>
      <c r="O342" s="37" t="n">
        <v>779115053</v>
      </c>
      <c r="P342" s="37" t="n">
        <v>48835</v>
      </c>
      <c r="Q342" s="37" t="n">
        <v>425980314</v>
      </c>
      <c r="R342" s="37" t="n">
        <v>220092</v>
      </c>
      <c r="S342" s="37" t="n">
        <v>2516151782</v>
      </c>
    </row>
    <row r="343">
      <c r="A343" s="37" t="inlineStr">
        <is>
          <t>106年</t>
        </is>
      </c>
      <c r="B343" s="37" t="inlineStr">
        <is>
          <t>10月</t>
        </is>
      </c>
      <c r="C343" s="36" t="inlineStr">
        <is>
          <t>文教康樂</t>
        </is>
      </c>
      <c r="D343" s="37" t="n">
        <v>2719034</v>
      </c>
      <c r="E343" s="37" t="n">
        <v>10385127632</v>
      </c>
      <c r="F343" s="37" t="n">
        <v>1222428</v>
      </c>
      <c r="G343" s="37" t="n">
        <v>5273028486</v>
      </c>
      <c r="H343" s="37" t="n">
        <v>443837</v>
      </c>
      <c r="I343" s="37" t="n">
        <v>2282318453</v>
      </c>
      <c r="J343" s="37" t="n">
        <v>279863</v>
      </c>
      <c r="K343" s="37" t="n">
        <v>1747530062</v>
      </c>
      <c r="L343" s="37" t="n">
        <v>105683</v>
      </c>
      <c r="M343" s="37" t="n">
        <v>685414573</v>
      </c>
      <c r="N343" s="37" t="n">
        <v>89509</v>
      </c>
      <c r="O343" s="37" t="n">
        <v>657190718</v>
      </c>
      <c r="P343" s="37" t="n">
        <v>49498</v>
      </c>
      <c r="Q343" s="37" t="n">
        <v>363012531</v>
      </c>
      <c r="R343" s="37" t="n">
        <v>224357</v>
      </c>
      <c r="S343" s="37" t="n">
        <v>2240197397</v>
      </c>
    </row>
    <row r="344">
      <c r="A344" s="37" t="inlineStr">
        <is>
          <t>106年</t>
        </is>
      </c>
      <c r="B344" s="37" t="inlineStr">
        <is>
          <t>11月</t>
        </is>
      </c>
      <c r="C344" s="36" t="inlineStr">
        <is>
          <t>文教康樂</t>
        </is>
      </c>
      <c r="D344" s="37" t="n">
        <v>2520671</v>
      </c>
      <c r="E344" s="37" t="n">
        <v>9605655473</v>
      </c>
      <c r="F344" s="37" t="n">
        <v>1131425</v>
      </c>
      <c r="G344" s="37" t="n">
        <v>4894792310</v>
      </c>
      <c r="H344" s="37" t="n">
        <v>414905</v>
      </c>
      <c r="I344" s="37" t="n">
        <v>2129991487</v>
      </c>
      <c r="J344" s="37" t="n">
        <v>264515</v>
      </c>
      <c r="K344" s="37" t="n">
        <v>1683825175</v>
      </c>
      <c r="L344" s="37" t="n">
        <v>99870</v>
      </c>
      <c r="M344" s="37" t="n">
        <v>662492288</v>
      </c>
      <c r="N344" s="37" t="n">
        <v>85142</v>
      </c>
      <c r="O344" s="37" t="n">
        <v>626542360</v>
      </c>
      <c r="P344" s="37" t="n">
        <v>46977</v>
      </c>
      <c r="Q344" s="37" t="n">
        <v>358279967</v>
      </c>
      <c r="R344" s="37" t="n">
        <v>215272</v>
      </c>
      <c r="S344" s="37" t="n">
        <v>2273206042</v>
      </c>
    </row>
    <row r="345">
      <c r="A345" s="37" t="inlineStr">
        <is>
          <t>106年</t>
        </is>
      </c>
      <c r="B345" s="37" t="inlineStr">
        <is>
          <t>12月</t>
        </is>
      </c>
      <c r="C345" s="36" t="inlineStr">
        <is>
          <t>文教康樂</t>
        </is>
      </c>
      <c r="D345" s="37" t="n">
        <v>2758320</v>
      </c>
      <c r="E345" s="37" t="n">
        <v>9295065758</v>
      </c>
      <c r="F345" s="37" t="n">
        <v>1239182</v>
      </c>
      <c r="G345" s="37" t="n">
        <v>4723778479</v>
      </c>
      <c r="H345" s="37" t="n">
        <v>454029</v>
      </c>
      <c r="I345" s="37" t="n">
        <v>2069898745</v>
      </c>
      <c r="J345" s="37" t="n">
        <v>287422</v>
      </c>
      <c r="K345" s="37" t="n">
        <v>1565618997</v>
      </c>
      <c r="L345" s="37" t="n">
        <v>109599</v>
      </c>
      <c r="M345" s="37" t="n">
        <v>632373398</v>
      </c>
      <c r="N345" s="37" t="n">
        <v>92400</v>
      </c>
      <c r="O345" s="37" t="n">
        <v>600719151</v>
      </c>
      <c r="P345" s="37" t="n">
        <v>51340</v>
      </c>
      <c r="Q345" s="37" t="n">
        <v>348380588</v>
      </c>
      <c r="R345" s="37" t="n">
        <v>232908</v>
      </c>
      <c r="S345" s="37" t="n">
        <v>2159161526</v>
      </c>
    </row>
    <row r="346">
      <c r="A346" s="37" t="inlineStr">
        <is>
          <t>107年</t>
        </is>
      </c>
      <c r="B346" s="37" t="inlineStr">
        <is>
          <t>01月</t>
        </is>
      </c>
      <c r="C346" s="36" t="inlineStr">
        <is>
          <t>文教康樂</t>
        </is>
      </c>
      <c r="D346" s="37" t="n">
        <v>2519022</v>
      </c>
      <c r="E346" s="37" t="n">
        <v>9872344777</v>
      </c>
      <c r="F346" s="37" t="n">
        <v>1154068</v>
      </c>
      <c r="G346" s="37" t="n">
        <v>5313804439</v>
      </c>
      <c r="H346" s="37" t="n">
        <v>421068</v>
      </c>
      <c r="I346" s="37" t="n">
        <v>2337378691</v>
      </c>
      <c r="J346" s="37" t="n">
        <v>264726</v>
      </c>
      <c r="K346" s="37" t="n">
        <v>1791094528</v>
      </c>
      <c r="L346" s="37" t="n">
        <v>100968</v>
      </c>
      <c r="M346" s="37" t="n">
        <v>720215955</v>
      </c>
      <c r="N346" s="37" t="n">
        <v>83917</v>
      </c>
      <c r="O346" s="37" t="n">
        <v>660698209</v>
      </c>
      <c r="P346" s="37" t="n">
        <v>46622</v>
      </c>
      <c r="Q346" s="37" t="n">
        <v>381106720</v>
      </c>
      <c r="R346" s="37" t="n">
        <v>212299</v>
      </c>
      <c r="S346" s="37" t="n">
        <v>2312898222</v>
      </c>
    </row>
    <row r="347">
      <c r="A347" s="37" t="inlineStr">
        <is>
          <t>107年</t>
        </is>
      </c>
      <c r="B347" s="37" t="inlineStr">
        <is>
          <t>02月</t>
        </is>
      </c>
      <c r="C347" s="36" t="inlineStr">
        <is>
          <t>文教康樂</t>
        </is>
      </c>
      <c r="D347" s="37" t="n">
        <v>2636017</v>
      </c>
      <c r="E347" s="37" t="n">
        <v>10808588294</v>
      </c>
      <c r="F347" s="37" t="n">
        <v>1175015</v>
      </c>
      <c r="G347" s="37" t="n">
        <v>5804506223</v>
      </c>
      <c r="H347" s="37" t="n">
        <v>428092</v>
      </c>
      <c r="I347" s="37" t="n">
        <v>2467453174</v>
      </c>
      <c r="J347" s="37" t="n">
        <v>269619</v>
      </c>
      <c r="K347" s="37" t="n">
        <v>1913243647</v>
      </c>
      <c r="L347" s="37" t="n">
        <v>101933</v>
      </c>
      <c r="M347" s="37" t="n">
        <v>728298261</v>
      </c>
      <c r="N347" s="37" t="n">
        <v>84951</v>
      </c>
      <c r="O347" s="37" t="n">
        <v>705114018</v>
      </c>
      <c r="P347" s="37" t="n">
        <v>46693</v>
      </c>
      <c r="Q347" s="37" t="n">
        <v>380110514</v>
      </c>
      <c r="R347" s="37" t="n">
        <v>207669</v>
      </c>
      <c r="S347" s="37" t="n">
        <v>2216565810</v>
      </c>
    </row>
    <row r="348">
      <c r="A348" s="37" t="inlineStr">
        <is>
          <t>107年</t>
        </is>
      </c>
      <c r="B348" s="37" t="inlineStr">
        <is>
          <t>03月</t>
        </is>
      </c>
      <c r="C348" s="36" t="inlineStr">
        <is>
          <t>文教康樂</t>
        </is>
      </c>
      <c r="D348" s="37" t="n">
        <v>2711180</v>
      </c>
      <c r="E348" s="37" t="n">
        <v>11794354204</v>
      </c>
      <c r="F348" s="37" t="n">
        <v>1204272</v>
      </c>
      <c r="G348" s="37" t="n">
        <v>6066500427</v>
      </c>
      <c r="H348" s="37" t="n">
        <v>445091</v>
      </c>
      <c r="I348" s="37" t="n">
        <v>2647417325</v>
      </c>
      <c r="J348" s="37" t="n">
        <v>283493</v>
      </c>
      <c r="K348" s="37" t="n">
        <v>2060276886</v>
      </c>
      <c r="L348" s="37" t="n">
        <v>109329</v>
      </c>
      <c r="M348" s="37" t="n">
        <v>812955112</v>
      </c>
      <c r="N348" s="37" t="n">
        <v>91673</v>
      </c>
      <c r="O348" s="37" t="n">
        <v>770712125</v>
      </c>
      <c r="P348" s="37" t="n">
        <v>51633</v>
      </c>
      <c r="Q348" s="37" t="n">
        <v>434952337</v>
      </c>
      <c r="R348" s="37" t="n">
        <v>234799</v>
      </c>
      <c r="S348" s="37" t="n">
        <v>2610604443</v>
      </c>
    </row>
    <row r="349">
      <c r="A349" s="37" t="inlineStr">
        <is>
          <t>107年</t>
        </is>
      </c>
      <c r="B349" s="37" t="inlineStr">
        <is>
          <t>04月</t>
        </is>
      </c>
      <c r="C349" s="36" t="inlineStr">
        <is>
          <t>文教康樂</t>
        </is>
      </c>
      <c r="D349" s="37" t="n">
        <v>2759824</v>
      </c>
      <c r="E349" s="37" t="n">
        <v>10343630310</v>
      </c>
      <c r="F349" s="37" t="n">
        <v>1221241</v>
      </c>
      <c r="G349" s="37" t="n">
        <v>5222673880</v>
      </c>
      <c r="H349" s="37" t="n">
        <v>447144</v>
      </c>
      <c r="I349" s="37" t="n">
        <v>2295996883</v>
      </c>
      <c r="J349" s="37" t="n">
        <v>277736</v>
      </c>
      <c r="K349" s="37" t="n">
        <v>1749707538</v>
      </c>
      <c r="L349" s="37" t="n">
        <v>108687</v>
      </c>
      <c r="M349" s="37" t="n">
        <v>710193735</v>
      </c>
      <c r="N349" s="37" t="n">
        <v>89838</v>
      </c>
      <c r="O349" s="37" t="n">
        <v>659681361</v>
      </c>
      <c r="P349" s="37" t="n">
        <v>50620</v>
      </c>
      <c r="Q349" s="37" t="n">
        <v>381683827</v>
      </c>
      <c r="R349" s="37" t="n">
        <v>227279</v>
      </c>
      <c r="S349" s="37" t="n">
        <v>2270072498</v>
      </c>
    </row>
    <row r="350">
      <c r="A350" s="37" t="inlineStr">
        <is>
          <t>107年</t>
        </is>
      </c>
      <c r="B350" s="37" t="inlineStr">
        <is>
          <t>05月</t>
        </is>
      </c>
      <c r="C350" s="36" t="inlineStr">
        <is>
          <t>文教康樂</t>
        </is>
      </c>
      <c r="D350" s="37" t="n">
        <v>2733832</v>
      </c>
      <c r="E350" s="37" t="n">
        <v>11632080106</v>
      </c>
      <c r="F350" s="37" t="n">
        <v>1203445</v>
      </c>
      <c r="G350" s="37" t="n">
        <v>5904574054</v>
      </c>
      <c r="H350" s="37" t="n">
        <v>447567</v>
      </c>
      <c r="I350" s="37" t="n">
        <v>2637494372</v>
      </c>
      <c r="J350" s="37" t="n">
        <v>280960</v>
      </c>
      <c r="K350" s="37" t="n">
        <v>2038557223</v>
      </c>
      <c r="L350" s="37" t="n">
        <v>109647</v>
      </c>
      <c r="M350" s="37" t="n">
        <v>841281249</v>
      </c>
      <c r="N350" s="37" t="n">
        <v>92745</v>
      </c>
      <c r="O350" s="37" t="n">
        <v>810940379</v>
      </c>
      <c r="P350" s="37" t="n">
        <v>52675</v>
      </c>
      <c r="Q350" s="37" t="n">
        <v>469445302</v>
      </c>
      <c r="R350" s="37" t="n">
        <v>235594</v>
      </c>
      <c r="S350" s="37" t="n">
        <v>2835413344</v>
      </c>
    </row>
    <row r="351">
      <c r="A351" s="37" t="inlineStr">
        <is>
          <t>107年</t>
        </is>
      </c>
      <c r="B351" s="37" t="inlineStr">
        <is>
          <t>06月</t>
        </is>
      </c>
      <c r="C351" s="36" t="inlineStr">
        <is>
          <t>文教康樂</t>
        </is>
      </c>
      <c r="D351" s="37" t="n">
        <v>2791812</v>
      </c>
      <c r="E351" s="37" t="n">
        <v>10726841550</v>
      </c>
      <c r="F351" s="37" t="n">
        <v>1239970</v>
      </c>
      <c r="G351" s="37" t="n">
        <v>5646884283</v>
      </c>
      <c r="H351" s="37" t="n">
        <v>460820</v>
      </c>
      <c r="I351" s="37" t="n">
        <v>2578726745</v>
      </c>
      <c r="J351" s="37" t="n">
        <v>286132</v>
      </c>
      <c r="K351" s="37" t="n">
        <v>1964751872</v>
      </c>
      <c r="L351" s="37" t="n">
        <v>112822</v>
      </c>
      <c r="M351" s="37" t="n">
        <v>803988723</v>
      </c>
      <c r="N351" s="37" t="n">
        <v>93770</v>
      </c>
      <c r="O351" s="37" t="n">
        <v>772317707</v>
      </c>
      <c r="P351" s="37" t="n">
        <v>53068</v>
      </c>
      <c r="Q351" s="37" t="n">
        <v>442111829</v>
      </c>
      <c r="R351" s="37" t="n">
        <v>234699</v>
      </c>
      <c r="S351" s="37" t="n">
        <v>2690231911</v>
      </c>
    </row>
    <row r="352">
      <c r="A352" s="37" t="inlineStr">
        <is>
          <t>107年</t>
        </is>
      </c>
      <c r="B352" s="37" t="inlineStr">
        <is>
          <t>07月</t>
        </is>
      </c>
      <c r="C352" s="36" t="inlineStr">
        <is>
          <t>文教康樂</t>
        </is>
      </c>
      <c r="D352" s="37" t="n">
        <v>2887017</v>
      </c>
      <c r="E352" s="37" t="n">
        <v>10498661918</v>
      </c>
      <c r="F352" s="37" t="n">
        <v>1306486</v>
      </c>
      <c r="G352" s="37" t="n">
        <v>5603550237</v>
      </c>
      <c r="H352" s="37" t="n">
        <v>487140</v>
      </c>
      <c r="I352" s="37" t="n">
        <v>2551006935</v>
      </c>
      <c r="J352" s="37" t="n">
        <v>295742</v>
      </c>
      <c r="K352" s="37" t="n">
        <v>1877606797</v>
      </c>
      <c r="L352" s="37" t="n">
        <v>117436</v>
      </c>
      <c r="M352" s="37" t="n">
        <v>779960652</v>
      </c>
      <c r="N352" s="37" t="n">
        <v>96361</v>
      </c>
      <c r="O352" s="37" t="n">
        <v>727762641</v>
      </c>
      <c r="P352" s="37" t="n">
        <v>54745</v>
      </c>
      <c r="Q352" s="37" t="n">
        <v>419949915</v>
      </c>
      <c r="R352" s="37" t="n">
        <v>241642</v>
      </c>
      <c r="S352" s="37" t="n">
        <v>2505379631</v>
      </c>
    </row>
    <row r="353">
      <c r="A353" s="37" t="inlineStr">
        <is>
          <t>107年</t>
        </is>
      </c>
      <c r="B353" s="37" t="inlineStr">
        <is>
          <t>08月</t>
        </is>
      </c>
      <c r="C353" s="36" t="inlineStr">
        <is>
          <t>文教康樂</t>
        </is>
      </c>
      <c r="D353" s="37" t="n">
        <v>2885385</v>
      </c>
      <c r="E353" s="37" t="n">
        <v>11471292467</v>
      </c>
      <c r="F353" s="37" t="n">
        <v>1300528</v>
      </c>
      <c r="G353" s="37" t="n">
        <v>6229895334</v>
      </c>
      <c r="H353" s="37" t="n">
        <v>480708</v>
      </c>
      <c r="I353" s="37" t="n">
        <v>2780488413</v>
      </c>
      <c r="J353" s="37" t="n">
        <v>289738</v>
      </c>
      <c r="K353" s="37" t="n">
        <v>2086191223</v>
      </c>
      <c r="L353" s="37" t="n">
        <v>115992</v>
      </c>
      <c r="M353" s="37" t="n">
        <v>859193644</v>
      </c>
      <c r="N353" s="37" t="n">
        <v>94560</v>
      </c>
      <c r="O353" s="37" t="n">
        <v>792411691</v>
      </c>
      <c r="P353" s="37" t="n">
        <v>54653</v>
      </c>
      <c r="Q353" s="37" t="n">
        <v>452471916</v>
      </c>
      <c r="R353" s="37" t="n">
        <v>236319</v>
      </c>
      <c r="S353" s="37" t="n">
        <v>2688934564</v>
      </c>
    </row>
    <row r="354">
      <c r="A354" s="37" t="inlineStr">
        <is>
          <t>107年</t>
        </is>
      </c>
      <c r="B354" s="37" t="inlineStr">
        <is>
          <t>09月</t>
        </is>
      </c>
      <c r="C354" s="36" t="inlineStr">
        <is>
          <t>文教康樂</t>
        </is>
      </c>
      <c r="D354" s="37" t="n">
        <v>2749865</v>
      </c>
      <c r="E354" s="37" t="n">
        <v>10813840691</v>
      </c>
      <c r="F354" s="37" t="n">
        <v>1208791</v>
      </c>
      <c r="G354" s="37" t="n">
        <v>5546914182</v>
      </c>
      <c r="H354" s="37" t="n">
        <v>446421</v>
      </c>
      <c r="I354" s="37" t="n">
        <v>2428336569</v>
      </c>
      <c r="J354" s="37" t="n">
        <v>273786</v>
      </c>
      <c r="K354" s="37" t="n">
        <v>1838511893</v>
      </c>
      <c r="L354" s="37" t="n">
        <v>107991</v>
      </c>
      <c r="M354" s="37" t="n">
        <v>726849802</v>
      </c>
      <c r="N354" s="37" t="n">
        <v>89391</v>
      </c>
      <c r="O354" s="37" t="n">
        <v>700541385</v>
      </c>
      <c r="P354" s="37" t="n">
        <v>50919</v>
      </c>
      <c r="Q354" s="37" t="n">
        <v>397764963</v>
      </c>
      <c r="R354" s="37" t="n">
        <v>221158</v>
      </c>
      <c r="S354" s="37" t="n">
        <v>2306759879</v>
      </c>
    </row>
    <row r="355">
      <c r="A355" s="37" t="inlineStr">
        <is>
          <t>107年</t>
        </is>
      </c>
      <c r="B355" s="37" t="inlineStr">
        <is>
          <t>10月</t>
        </is>
      </c>
      <c r="C355" s="36" t="inlineStr">
        <is>
          <t>文教康樂</t>
        </is>
      </c>
      <c r="D355" s="37" t="n">
        <v>2559075</v>
      </c>
      <c r="E355" s="37" t="n">
        <v>9729814442</v>
      </c>
      <c r="F355" s="37" t="n">
        <v>1127612</v>
      </c>
      <c r="G355" s="37" t="n">
        <v>4941320927</v>
      </c>
      <c r="H355" s="37" t="n">
        <v>415949</v>
      </c>
      <c r="I355" s="37" t="n">
        <v>2171001439</v>
      </c>
      <c r="J355" s="37" t="n">
        <v>246899</v>
      </c>
      <c r="K355" s="37" t="n">
        <v>1574294885</v>
      </c>
      <c r="L355" s="37" t="n">
        <v>99207</v>
      </c>
      <c r="M355" s="37" t="n">
        <v>660002689</v>
      </c>
      <c r="N355" s="37" t="n">
        <v>79192</v>
      </c>
      <c r="O355" s="37" t="n">
        <v>591820307</v>
      </c>
      <c r="P355" s="37" t="n">
        <v>46913</v>
      </c>
      <c r="Q355" s="37" t="n">
        <v>355442875</v>
      </c>
      <c r="R355" s="37" t="n">
        <v>198822</v>
      </c>
      <c r="S355" s="37" t="n">
        <v>2101124557</v>
      </c>
    </row>
    <row r="356">
      <c r="A356" s="37" t="inlineStr">
        <is>
          <t>107年</t>
        </is>
      </c>
      <c r="B356" s="37" t="inlineStr">
        <is>
          <t>11月</t>
        </is>
      </c>
      <c r="C356" s="36" t="inlineStr">
        <is>
          <t>文教康樂</t>
        </is>
      </c>
      <c r="D356" s="37" t="n">
        <v>2799825</v>
      </c>
      <c r="E356" s="37" t="n">
        <v>10045473795</v>
      </c>
      <c r="F356" s="37" t="n">
        <v>1209975</v>
      </c>
      <c r="G356" s="37" t="n">
        <v>4972471243</v>
      </c>
      <c r="H356" s="37" t="n">
        <v>449860</v>
      </c>
      <c r="I356" s="37" t="n">
        <v>2209685962</v>
      </c>
      <c r="J356" s="37" t="n">
        <v>271213</v>
      </c>
      <c r="K356" s="37" t="n">
        <v>1631939225</v>
      </c>
      <c r="L356" s="37" t="n">
        <v>109585</v>
      </c>
      <c r="M356" s="37" t="n">
        <v>696332083</v>
      </c>
      <c r="N356" s="37" t="n">
        <v>89937</v>
      </c>
      <c r="O356" s="37" t="n">
        <v>645186292</v>
      </c>
      <c r="P356" s="37" t="n">
        <v>52739</v>
      </c>
      <c r="Q356" s="37" t="n">
        <v>387306476</v>
      </c>
      <c r="R356" s="37" t="n">
        <v>228124</v>
      </c>
      <c r="S356" s="37" t="n">
        <v>2288779355</v>
      </c>
    </row>
    <row r="357">
      <c r="A357" s="37" t="inlineStr">
        <is>
          <t>107年</t>
        </is>
      </c>
      <c r="B357" s="37" t="inlineStr">
        <is>
          <t>12月</t>
        </is>
      </c>
      <c r="C357" s="36" t="inlineStr">
        <is>
          <t>文教康樂</t>
        </is>
      </c>
      <c r="D357" s="37" t="n">
        <v>3246153</v>
      </c>
      <c r="E357" s="37" t="n">
        <v>10276956850</v>
      </c>
      <c r="F357" s="37" t="n">
        <v>1396903</v>
      </c>
      <c r="G357" s="37" t="n">
        <v>5194771906</v>
      </c>
      <c r="H357" s="37" t="n">
        <v>517380</v>
      </c>
      <c r="I357" s="37" t="n">
        <v>2290962209</v>
      </c>
      <c r="J357" s="37" t="n">
        <v>309169</v>
      </c>
      <c r="K357" s="37" t="n">
        <v>1646474722</v>
      </c>
      <c r="L357" s="37" t="n">
        <v>125578</v>
      </c>
      <c r="M357" s="37" t="n">
        <v>704282907</v>
      </c>
      <c r="N357" s="37" t="n">
        <v>102363</v>
      </c>
      <c r="O357" s="37" t="n">
        <v>641305255</v>
      </c>
      <c r="P357" s="37" t="n">
        <v>59754</v>
      </c>
      <c r="Q357" s="37" t="n">
        <v>392595421</v>
      </c>
      <c r="R357" s="37" t="n">
        <v>256982</v>
      </c>
      <c r="S357" s="37" t="n">
        <v>2305636208</v>
      </c>
    </row>
    <row r="358">
      <c r="A358" s="37" t="inlineStr">
        <is>
          <t>108年</t>
        </is>
      </c>
      <c r="B358" s="37" t="inlineStr">
        <is>
          <t>01月</t>
        </is>
      </c>
      <c r="C358" s="36" t="inlineStr">
        <is>
          <t>文教康樂</t>
        </is>
      </c>
      <c r="D358" s="37" t="n">
        <v>2792647</v>
      </c>
      <c r="E358" s="37" t="n">
        <v>11353182371</v>
      </c>
      <c r="F358" s="37" t="n">
        <v>1252935</v>
      </c>
      <c r="G358" s="37" t="n">
        <v>6124274667</v>
      </c>
      <c r="H358" s="37" t="n">
        <v>471614</v>
      </c>
      <c r="I358" s="37" t="n">
        <v>2716104982</v>
      </c>
      <c r="J358" s="37" t="n">
        <v>282440</v>
      </c>
      <c r="K358" s="37" t="n">
        <v>2033043404</v>
      </c>
      <c r="L358" s="37" t="n">
        <v>113961</v>
      </c>
      <c r="M358" s="37" t="n">
        <v>847081604</v>
      </c>
      <c r="N358" s="37" t="n">
        <v>92705</v>
      </c>
      <c r="O358" s="37" t="n">
        <v>801469852</v>
      </c>
      <c r="P358" s="37" t="n">
        <v>54176</v>
      </c>
      <c r="Q358" s="37" t="n">
        <v>477841488</v>
      </c>
      <c r="R358" s="37" t="n">
        <v>237414</v>
      </c>
      <c r="S358" s="37" t="n">
        <v>2903406306</v>
      </c>
    </row>
    <row r="359">
      <c r="A359" s="37" t="inlineStr">
        <is>
          <t>108年</t>
        </is>
      </c>
      <c r="B359" s="37" t="inlineStr">
        <is>
          <t>02月</t>
        </is>
      </c>
      <c r="C359" s="36" t="inlineStr">
        <is>
          <t>文教康樂</t>
        </is>
      </c>
      <c r="D359" s="37" t="n">
        <v>2504777</v>
      </c>
      <c r="E359" s="37" t="n">
        <v>9910168885</v>
      </c>
      <c r="F359" s="37" t="n">
        <v>1152057</v>
      </c>
      <c r="G359" s="37" t="n">
        <v>5428967636</v>
      </c>
      <c r="H359" s="37" t="n">
        <v>428926</v>
      </c>
      <c r="I359" s="37" t="n">
        <v>2323202662</v>
      </c>
      <c r="J359" s="37" t="n">
        <v>258062</v>
      </c>
      <c r="K359" s="37" t="n">
        <v>1682689363</v>
      </c>
      <c r="L359" s="37" t="n">
        <v>103338</v>
      </c>
      <c r="M359" s="37" t="n">
        <v>672832872</v>
      </c>
      <c r="N359" s="37" t="n">
        <v>84414</v>
      </c>
      <c r="O359" s="37" t="n">
        <v>610627311</v>
      </c>
      <c r="P359" s="37" t="n">
        <v>48291</v>
      </c>
      <c r="Q359" s="37" t="n">
        <v>345540922</v>
      </c>
      <c r="R359" s="37" t="n">
        <v>209672</v>
      </c>
      <c r="S359" s="37" t="n">
        <v>1962315615</v>
      </c>
    </row>
    <row r="360">
      <c r="A360" s="37" t="inlineStr">
        <is>
          <t>108年</t>
        </is>
      </c>
      <c r="B360" s="37" t="inlineStr">
        <is>
          <t>03月</t>
        </is>
      </c>
      <c r="C360" s="36" t="inlineStr">
        <is>
          <t>文教康樂</t>
        </is>
      </c>
      <c r="D360" s="37" t="n">
        <v>2963791</v>
      </c>
      <c r="E360" s="37" t="n">
        <v>10989050100</v>
      </c>
      <c r="F360" s="37" t="n">
        <v>1300365</v>
      </c>
      <c r="G360" s="37" t="n">
        <v>5689580800</v>
      </c>
      <c r="H360" s="37" t="n">
        <v>484548</v>
      </c>
      <c r="I360" s="37" t="n">
        <v>2500778136</v>
      </c>
      <c r="J360" s="37" t="n">
        <v>292038</v>
      </c>
      <c r="K360" s="37" t="n">
        <v>1822403456</v>
      </c>
      <c r="L360" s="37" t="n">
        <v>118804</v>
      </c>
      <c r="M360" s="37" t="n">
        <v>768603259</v>
      </c>
      <c r="N360" s="37" t="n">
        <v>97897</v>
      </c>
      <c r="O360" s="37" t="n">
        <v>724481985</v>
      </c>
      <c r="P360" s="37" t="n">
        <v>56727</v>
      </c>
      <c r="Q360" s="37" t="n">
        <v>405962195</v>
      </c>
      <c r="R360" s="37" t="n">
        <v>250350</v>
      </c>
      <c r="S360" s="37" t="n">
        <v>2456515045</v>
      </c>
    </row>
    <row r="361">
      <c r="A361" s="37" t="inlineStr">
        <is>
          <t>108年</t>
        </is>
      </c>
      <c r="B361" s="37" t="inlineStr">
        <is>
          <t>04月</t>
        </is>
      </c>
      <c r="C361" s="36" t="inlineStr">
        <is>
          <t>文教康樂</t>
        </is>
      </c>
      <c r="D361" s="37" t="n">
        <v>2926373</v>
      </c>
      <c r="E361" s="37" t="n">
        <v>10150312290</v>
      </c>
      <c r="F361" s="37" t="n">
        <v>1251434</v>
      </c>
      <c r="G361" s="37" t="n">
        <v>5075205800</v>
      </c>
      <c r="H361" s="37" t="n">
        <v>466381</v>
      </c>
      <c r="I361" s="37" t="n">
        <v>2275793141</v>
      </c>
      <c r="J361" s="37" t="n">
        <v>275121</v>
      </c>
      <c r="K361" s="37" t="n">
        <v>1661465066</v>
      </c>
      <c r="L361" s="37" t="n">
        <v>113648</v>
      </c>
      <c r="M361" s="37" t="n">
        <v>703973027</v>
      </c>
      <c r="N361" s="37" t="n">
        <v>93038</v>
      </c>
      <c r="O361" s="37" t="n">
        <v>656475583</v>
      </c>
      <c r="P361" s="37" t="n">
        <v>53474</v>
      </c>
      <c r="Q361" s="37" t="n">
        <v>381677153</v>
      </c>
      <c r="R361" s="37" t="n">
        <v>236561</v>
      </c>
      <c r="S361" s="37" t="n">
        <v>2300415537</v>
      </c>
    </row>
    <row r="362">
      <c r="A362" s="37" t="inlineStr">
        <is>
          <t>108年</t>
        </is>
      </c>
      <c r="B362" s="37" t="inlineStr">
        <is>
          <t>05月</t>
        </is>
      </c>
      <c r="C362" s="36" t="inlineStr">
        <is>
          <t>文教康樂</t>
        </is>
      </c>
      <c r="D362" s="37" t="n">
        <v>2848806</v>
      </c>
      <c r="E362" s="37" t="n">
        <v>10452080775</v>
      </c>
      <c r="F362" s="37" t="n">
        <v>1276744</v>
      </c>
      <c r="G362" s="37" t="n">
        <v>5385194723</v>
      </c>
      <c r="H362" s="37" t="n">
        <v>481261</v>
      </c>
      <c r="I362" s="37" t="n">
        <v>2485002996</v>
      </c>
      <c r="J362" s="37" t="n">
        <v>281998</v>
      </c>
      <c r="K362" s="37" t="n">
        <v>1797405441</v>
      </c>
      <c r="L362" s="37" t="n">
        <v>117285</v>
      </c>
      <c r="M362" s="37" t="n">
        <v>777524141</v>
      </c>
      <c r="N362" s="37" t="n">
        <v>95616</v>
      </c>
      <c r="O362" s="37" t="n">
        <v>738339248</v>
      </c>
      <c r="P362" s="37" t="n">
        <v>55816</v>
      </c>
      <c r="Q362" s="37" t="n">
        <v>431470249</v>
      </c>
      <c r="R362" s="37" t="n">
        <v>245030</v>
      </c>
      <c r="S362" s="37" t="n">
        <v>2594074001</v>
      </c>
    </row>
    <row r="363">
      <c r="A363" s="37" t="inlineStr">
        <is>
          <t>108年</t>
        </is>
      </c>
      <c r="B363" s="37" t="inlineStr">
        <is>
          <t>06月</t>
        </is>
      </c>
      <c r="C363" s="36" t="inlineStr">
        <is>
          <t>文教康樂</t>
        </is>
      </c>
      <c r="D363" s="37" t="n">
        <v>2843530</v>
      </c>
      <c r="E363" s="37" t="n">
        <v>9386559898</v>
      </c>
      <c r="F363" s="37" t="n">
        <v>1266397</v>
      </c>
      <c r="G363" s="37" t="n">
        <v>4893052554</v>
      </c>
      <c r="H363" s="37" t="n">
        <v>476728</v>
      </c>
      <c r="I363" s="37" t="n">
        <v>2274156913</v>
      </c>
      <c r="J363" s="37" t="n">
        <v>276313</v>
      </c>
      <c r="K363" s="37" t="n">
        <v>1603064274</v>
      </c>
      <c r="L363" s="37" t="n">
        <v>116192</v>
      </c>
      <c r="M363" s="37" t="n">
        <v>717601573</v>
      </c>
      <c r="N363" s="37" t="n">
        <v>92630</v>
      </c>
      <c r="O363" s="37" t="n">
        <v>662023731</v>
      </c>
      <c r="P363" s="37" t="n">
        <v>54603</v>
      </c>
      <c r="Q363" s="37" t="n">
        <v>398602492</v>
      </c>
      <c r="R363" s="37" t="n">
        <v>232819</v>
      </c>
      <c r="S363" s="37" t="n">
        <v>2320605313</v>
      </c>
    </row>
    <row r="364">
      <c r="A364" s="37" t="inlineStr">
        <is>
          <t>108年</t>
        </is>
      </c>
      <c r="B364" s="37" t="inlineStr">
        <is>
          <t>07月</t>
        </is>
      </c>
      <c r="C364" s="36" t="inlineStr">
        <is>
          <t>文教康樂</t>
        </is>
      </c>
      <c r="D364" s="37" t="n">
        <v>3255454</v>
      </c>
      <c r="E364" s="37" t="n">
        <v>10694676544</v>
      </c>
      <c r="F364" s="37" t="n">
        <v>1470184</v>
      </c>
      <c r="G364" s="37" t="n">
        <v>5703967227</v>
      </c>
      <c r="H364" s="37" t="n">
        <v>553294</v>
      </c>
      <c r="I364" s="37" t="n">
        <v>2625815174</v>
      </c>
      <c r="J364" s="37" t="n">
        <v>322272</v>
      </c>
      <c r="K364" s="37" t="n">
        <v>1865324811</v>
      </c>
      <c r="L364" s="37" t="n">
        <v>134009</v>
      </c>
      <c r="M364" s="37" t="n">
        <v>815079841</v>
      </c>
      <c r="N364" s="37" t="n">
        <v>109815</v>
      </c>
      <c r="O364" s="37" t="n">
        <v>753709532</v>
      </c>
      <c r="P364" s="37" t="n">
        <v>64301</v>
      </c>
      <c r="Q364" s="37" t="n">
        <v>447900522</v>
      </c>
      <c r="R364" s="37" t="n">
        <v>280644</v>
      </c>
      <c r="S364" s="37" t="n">
        <v>2725103040</v>
      </c>
    </row>
    <row r="365">
      <c r="A365" s="37" t="inlineStr">
        <is>
          <t>108年</t>
        </is>
      </c>
      <c r="B365" s="37" t="inlineStr">
        <is>
          <t>08月</t>
        </is>
      </c>
      <c r="C365" s="36" t="inlineStr">
        <is>
          <t>文教康樂</t>
        </is>
      </c>
      <c r="D365" s="37" t="n">
        <v>3255751</v>
      </c>
      <c r="E365" s="37" t="n">
        <v>12006636831</v>
      </c>
      <c r="F365" s="37" t="n">
        <v>1470918</v>
      </c>
      <c r="G365" s="37" t="n">
        <v>6703424340</v>
      </c>
      <c r="H365" s="37" t="n">
        <v>554751</v>
      </c>
      <c r="I365" s="37" t="n">
        <v>2982451524</v>
      </c>
      <c r="J365" s="37" t="n">
        <v>324363</v>
      </c>
      <c r="K365" s="37" t="n">
        <v>2176146726</v>
      </c>
      <c r="L365" s="37" t="n">
        <v>135123</v>
      </c>
      <c r="M365" s="37" t="n">
        <v>924747070</v>
      </c>
      <c r="N365" s="37" t="n">
        <v>110522</v>
      </c>
      <c r="O365" s="37" t="n">
        <v>855627041</v>
      </c>
      <c r="P365" s="37" t="n">
        <v>63965</v>
      </c>
      <c r="Q365" s="37" t="n">
        <v>489349740</v>
      </c>
      <c r="R365" s="37" t="n">
        <v>280891</v>
      </c>
      <c r="S365" s="37" t="n">
        <v>2935078028</v>
      </c>
    </row>
    <row r="366">
      <c r="A366" s="37" t="inlineStr">
        <is>
          <t>108年</t>
        </is>
      </c>
      <c r="B366" s="37" t="inlineStr">
        <is>
          <t>09月</t>
        </is>
      </c>
      <c r="C366" s="36" t="inlineStr">
        <is>
          <t>文教康樂</t>
        </is>
      </c>
      <c r="D366" s="37" t="n">
        <v>2903865</v>
      </c>
      <c r="E366" s="37" t="n">
        <v>10020043607</v>
      </c>
      <c r="F366" s="37" t="n">
        <v>1316890</v>
      </c>
      <c r="G366" s="37" t="n">
        <v>5352558585</v>
      </c>
      <c r="H366" s="37" t="n">
        <v>496918</v>
      </c>
      <c r="I366" s="37" t="n">
        <v>2381988452</v>
      </c>
      <c r="J366" s="37" t="n">
        <v>286995</v>
      </c>
      <c r="K366" s="37" t="n">
        <v>1678085194</v>
      </c>
      <c r="L366" s="37" t="n">
        <v>121076</v>
      </c>
      <c r="M366" s="37" t="n">
        <v>718635651</v>
      </c>
      <c r="N366" s="37" t="n">
        <v>95042</v>
      </c>
      <c r="O366" s="37" t="n">
        <v>640123648</v>
      </c>
      <c r="P366" s="37" t="n">
        <v>57172</v>
      </c>
      <c r="Q366" s="37" t="n">
        <v>395579186</v>
      </c>
      <c r="R366" s="37" t="n">
        <v>237982</v>
      </c>
      <c r="S366" s="37" t="n">
        <v>2202821035</v>
      </c>
    </row>
    <row r="367">
      <c r="A367" s="37" t="inlineStr">
        <is>
          <t>108年</t>
        </is>
      </c>
      <c r="B367" s="37" t="inlineStr">
        <is>
          <t>10月</t>
        </is>
      </c>
      <c r="C367" s="36" t="inlineStr">
        <is>
          <t>文教康樂</t>
        </is>
      </c>
      <c r="D367" s="37" t="n">
        <v>3195685</v>
      </c>
      <c r="E367" s="37" t="n">
        <v>10409303620</v>
      </c>
      <c r="F367" s="37" t="n">
        <v>1430581</v>
      </c>
      <c r="G367" s="37" t="n">
        <v>5324658714</v>
      </c>
      <c r="H367" s="37" t="n">
        <v>543993</v>
      </c>
      <c r="I367" s="37" t="n">
        <v>2447102362</v>
      </c>
      <c r="J367" s="37" t="n">
        <v>317072</v>
      </c>
      <c r="K367" s="37" t="n">
        <v>1726283989</v>
      </c>
      <c r="L367" s="37" t="n">
        <v>136636</v>
      </c>
      <c r="M367" s="37" t="n">
        <v>774641903</v>
      </c>
      <c r="N367" s="37" t="n">
        <v>109583</v>
      </c>
      <c r="O367" s="37" t="n">
        <v>703431289</v>
      </c>
      <c r="P367" s="37" t="n">
        <v>65386</v>
      </c>
      <c r="Q367" s="37" t="n">
        <v>430674700</v>
      </c>
      <c r="R367" s="37" t="n">
        <v>281983</v>
      </c>
      <c r="S367" s="37" t="n">
        <v>2522311387</v>
      </c>
    </row>
    <row r="368">
      <c r="A368" s="37" t="inlineStr">
        <is>
          <t>108年</t>
        </is>
      </c>
      <c r="B368" s="37" t="inlineStr">
        <is>
          <t>11月</t>
        </is>
      </c>
      <c r="C368" s="36" t="inlineStr">
        <is>
          <t>文教康樂</t>
        </is>
      </c>
      <c r="D368" s="37" t="n">
        <v>3298793</v>
      </c>
      <c r="E368" s="37" t="n">
        <v>10143790150</v>
      </c>
      <c r="F368" s="37" t="n">
        <v>1446017</v>
      </c>
      <c r="G368" s="37" t="n">
        <v>5069661521</v>
      </c>
      <c r="H368" s="37" t="n">
        <v>557755</v>
      </c>
      <c r="I368" s="37" t="n">
        <v>2288992157</v>
      </c>
      <c r="J368" s="37" t="n">
        <v>323078</v>
      </c>
      <c r="K368" s="37" t="n">
        <v>1601946271</v>
      </c>
      <c r="L368" s="37" t="n">
        <v>139546</v>
      </c>
      <c r="M368" s="37" t="n">
        <v>732887480</v>
      </c>
      <c r="N368" s="37" t="n">
        <v>113385</v>
      </c>
      <c r="O368" s="37" t="n">
        <v>692664246</v>
      </c>
      <c r="P368" s="37" t="n">
        <v>67185</v>
      </c>
      <c r="Q368" s="37" t="n">
        <v>425349249</v>
      </c>
      <c r="R368" s="37" t="n">
        <v>290718</v>
      </c>
      <c r="S368" s="37" t="n">
        <v>2474885477</v>
      </c>
    </row>
    <row r="369">
      <c r="A369" s="37" t="inlineStr">
        <is>
          <t>108年</t>
        </is>
      </c>
      <c r="B369" s="37" t="inlineStr">
        <is>
          <t>12月</t>
        </is>
      </c>
      <c r="C369" s="36" t="inlineStr">
        <is>
          <t>文教康樂</t>
        </is>
      </c>
      <c r="D369" s="37" t="n">
        <v>3335492</v>
      </c>
      <c r="E369" s="37" t="n">
        <v>9708415224</v>
      </c>
      <c r="F369" s="37" t="n">
        <v>1479365</v>
      </c>
      <c r="G369" s="37" t="n">
        <v>4906465512</v>
      </c>
      <c r="H369" s="37" t="n">
        <v>564366</v>
      </c>
      <c r="I369" s="37" t="n">
        <v>2203458797</v>
      </c>
      <c r="J369" s="37" t="n">
        <v>326053</v>
      </c>
      <c r="K369" s="37" t="n">
        <v>1524295942</v>
      </c>
      <c r="L369" s="37" t="n">
        <v>141204</v>
      </c>
      <c r="M369" s="37" t="n">
        <v>728177934</v>
      </c>
      <c r="N369" s="37" t="n">
        <v>112798</v>
      </c>
      <c r="O369" s="37" t="n">
        <v>648280658</v>
      </c>
      <c r="P369" s="37" t="n">
        <v>68156</v>
      </c>
      <c r="Q369" s="37" t="n">
        <v>393313950</v>
      </c>
      <c r="R369" s="37" t="n">
        <v>287903</v>
      </c>
      <c r="S369" s="37" t="n">
        <v>2336197662</v>
      </c>
    </row>
    <row r="370">
      <c r="A370" s="37" t="inlineStr">
        <is>
          <t>109年</t>
        </is>
      </c>
      <c r="B370" s="37" t="inlineStr">
        <is>
          <t>01月</t>
        </is>
      </c>
      <c r="C370" s="36" t="inlineStr">
        <is>
          <t>文教康樂</t>
        </is>
      </c>
      <c r="D370" s="37" t="n">
        <v>3280339</v>
      </c>
      <c r="E370" s="37" t="n">
        <v>9912986022</v>
      </c>
      <c r="F370" s="37" t="n">
        <v>1450391</v>
      </c>
      <c r="G370" s="37" t="n">
        <v>5253820663</v>
      </c>
      <c r="H370" s="37" t="n">
        <v>558909</v>
      </c>
      <c r="I370" s="37" t="n">
        <v>2382191101</v>
      </c>
      <c r="J370" s="37" t="n">
        <v>321026</v>
      </c>
      <c r="K370" s="37" t="n">
        <v>1683297535</v>
      </c>
      <c r="L370" s="37" t="n">
        <v>138964</v>
      </c>
      <c r="M370" s="37" t="n">
        <v>758012818</v>
      </c>
      <c r="N370" s="37" t="n">
        <v>112373</v>
      </c>
      <c r="O370" s="37" t="n">
        <v>712377184</v>
      </c>
      <c r="P370" s="37" t="n">
        <v>67027</v>
      </c>
      <c r="Q370" s="37" t="n">
        <v>428830272</v>
      </c>
      <c r="R370" s="37" t="n">
        <v>285367</v>
      </c>
      <c r="S370" s="37" t="n">
        <v>2524770294</v>
      </c>
    </row>
    <row r="371">
      <c r="A371" s="37" t="inlineStr">
        <is>
          <t>109年</t>
        </is>
      </c>
      <c r="B371" s="37" t="inlineStr">
        <is>
          <t>02月</t>
        </is>
      </c>
      <c r="C371" s="36" t="inlineStr">
        <is>
          <t>文教康樂</t>
        </is>
      </c>
      <c r="D371" s="37" t="n">
        <v>3035413</v>
      </c>
      <c r="E371" s="37" t="n">
        <v>8605055682</v>
      </c>
      <c r="F371" s="37" t="n">
        <v>1284579</v>
      </c>
      <c r="G371" s="37" t="n">
        <v>4522086667</v>
      </c>
      <c r="H371" s="37" t="n">
        <v>494955</v>
      </c>
      <c r="I371" s="37" t="n">
        <v>1996535313</v>
      </c>
      <c r="J371" s="37" t="n">
        <v>282926</v>
      </c>
      <c r="K371" s="37" t="n">
        <v>1347251390</v>
      </c>
      <c r="L371" s="37" t="n">
        <v>121720</v>
      </c>
      <c r="M371" s="37" t="n">
        <v>597044766</v>
      </c>
      <c r="N371" s="37" t="n">
        <v>98305</v>
      </c>
      <c r="O371" s="37" t="n">
        <v>533095576</v>
      </c>
      <c r="P371" s="37" t="n">
        <v>58045</v>
      </c>
      <c r="Q371" s="37" t="n">
        <v>310342189</v>
      </c>
      <c r="R371" s="37" t="n">
        <v>246749</v>
      </c>
      <c r="S371" s="37" t="n">
        <v>1589968804</v>
      </c>
    </row>
    <row r="372">
      <c r="A372" s="37" t="inlineStr">
        <is>
          <t>103年</t>
        </is>
      </c>
      <c r="B372" s="37" t="inlineStr">
        <is>
          <t>01月</t>
        </is>
      </c>
      <c r="C372" s="36" t="inlineStr">
        <is>
          <t>百貨</t>
        </is>
      </c>
      <c r="D372" s="37" t="n">
        <v>3522519</v>
      </c>
      <c r="E372" s="37" t="n">
        <v>9222976972</v>
      </c>
      <c r="F372" s="37" t="n">
        <v>1733078</v>
      </c>
      <c r="G372" s="37" t="n">
        <v>4933259045</v>
      </c>
      <c r="H372" s="37" t="n">
        <v>608484</v>
      </c>
      <c r="I372" s="37" t="n">
        <v>1910254947</v>
      </c>
      <c r="J372" s="37" t="n">
        <v>377422</v>
      </c>
      <c r="K372" s="37" t="n">
        <v>1342824171</v>
      </c>
      <c r="L372" s="37" t="n">
        <v>127783</v>
      </c>
      <c r="M372" s="37" t="n">
        <v>472546922</v>
      </c>
      <c r="N372" s="37" t="n">
        <v>108658</v>
      </c>
      <c r="O372" s="37" t="n">
        <v>418035628</v>
      </c>
      <c r="P372" s="37" t="n">
        <v>59433</v>
      </c>
      <c r="Q372" s="37" t="n">
        <v>237154297</v>
      </c>
      <c r="R372" s="37" t="n">
        <v>244853</v>
      </c>
      <c r="S372" s="37" t="n">
        <v>1271725158</v>
      </c>
    </row>
    <row r="373">
      <c r="A373" s="37" t="inlineStr">
        <is>
          <t>103年</t>
        </is>
      </c>
      <c r="B373" s="37" t="inlineStr">
        <is>
          <t>02月</t>
        </is>
      </c>
      <c r="C373" s="36" t="inlineStr">
        <is>
          <t>百貨</t>
        </is>
      </c>
      <c r="D373" s="37" t="n">
        <v>2933817</v>
      </c>
      <c r="E373" s="37" t="n">
        <v>7301984751</v>
      </c>
      <c r="F373" s="37" t="n">
        <v>1428851</v>
      </c>
      <c r="G373" s="37" t="n">
        <v>3788284540</v>
      </c>
      <c r="H373" s="37" t="n">
        <v>490761</v>
      </c>
      <c r="I373" s="37" t="n">
        <v>1433865661</v>
      </c>
      <c r="J373" s="37" t="n">
        <v>306593</v>
      </c>
      <c r="K373" s="37" t="n">
        <v>1015135418</v>
      </c>
      <c r="L373" s="37" t="n">
        <v>104156</v>
      </c>
      <c r="M373" s="37" t="n">
        <v>356775226</v>
      </c>
      <c r="N373" s="37" t="n">
        <v>89302</v>
      </c>
      <c r="O373" s="37" t="n">
        <v>331444889</v>
      </c>
      <c r="P373" s="37" t="n">
        <v>47974</v>
      </c>
      <c r="Q373" s="37" t="n">
        <v>177290728</v>
      </c>
      <c r="R373" s="37" t="n">
        <v>198912</v>
      </c>
      <c r="S373" s="37" t="n">
        <v>1030349899</v>
      </c>
    </row>
    <row r="374">
      <c r="A374" s="37" t="inlineStr">
        <is>
          <t>103年</t>
        </is>
      </c>
      <c r="B374" s="37" t="inlineStr">
        <is>
          <t>03月</t>
        </is>
      </c>
      <c r="C374" s="36" t="inlineStr">
        <is>
          <t>百貨</t>
        </is>
      </c>
      <c r="D374" s="37" t="n">
        <v>2973882</v>
      </c>
      <c r="E374" s="37" t="n">
        <v>7267734056</v>
      </c>
      <c r="F374" s="37" t="n">
        <v>1404825</v>
      </c>
      <c r="G374" s="37" t="n">
        <v>3669185181</v>
      </c>
      <c r="H374" s="37" t="n">
        <v>487429</v>
      </c>
      <c r="I374" s="37" t="n">
        <v>1420687202</v>
      </c>
      <c r="J374" s="37" t="n">
        <v>301310</v>
      </c>
      <c r="K374" s="37" t="n">
        <v>995604263</v>
      </c>
      <c r="L374" s="37" t="n">
        <v>104189</v>
      </c>
      <c r="M374" s="37" t="n">
        <v>359879671</v>
      </c>
      <c r="N374" s="37" t="n">
        <v>89537</v>
      </c>
      <c r="O374" s="37" t="n">
        <v>322886056</v>
      </c>
      <c r="P374" s="37" t="n">
        <v>48315</v>
      </c>
      <c r="Q374" s="37" t="n">
        <v>177675311</v>
      </c>
      <c r="R374" s="37" t="n">
        <v>202403</v>
      </c>
      <c r="S374" s="37" t="n">
        <v>1013412384</v>
      </c>
    </row>
    <row r="375">
      <c r="A375" s="37" t="inlineStr">
        <is>
          <t>103年</t>
        </is>
      </c>
      <c r="B375" s="37" t="inlineStr">
        <is>
          <t>04月</t>
        </is>
      </c>
      <c r="C375" s="36" t="inlineStr">
        <is>
          <t>百貨</t>
        </is>
      </c>
      <c r="D375" s="37" t="n">
        <v>3176216</v>
      </c>
      <c r="E375" s="37" t="n">
        <v>8817716227</v>
      </c>
      <c r="F375" s="37" t="n">
        <v>1524874</v>
      </c>
      <c r="G375" s="37" t="n">
        <v>4509125145</v>
      </c>
      <c r="H375" s="37" t="n">
        <v>520326</v>
      </c>
      <c r="I375" s="37" t="n">
        <v>1707464061</v>
      </c>
      <c r="J375" s="37" t="n">
        <v>314428</v>
      </c>
      <c r="K375" s="37" t="n">
        <v>1167116783</v>
      </c>
      <c r="L375" s="37" t="n">
        <v>112037</v>
      </c>
      <c r="M375" s="37" t="n">
        <v>445991619</v>
      </c>
      <c r="N375" s="37" t="n">
        <v>94258</v>
      </c>
      <c r="O375" s="37" t="n">
        <v>408633997</v>
      </c>
      <c r="P375" s="37" t="n">
        <v>51789</v>
      </c>
      <c r="Q375" s="37" t="n">
        <v>238791567</v>
      </c>
      <c r="R375" s="37" t="n">
        <v>211362</v>
      </c>
      <c r="S375" s="37" t="n">
        <v>1245693124</v>
      </c>
    </row>
    <row r="376">
      <c r="A376" s="37" t="inlineStr">
        <is>
          <t>103年</t>
        </is>
      </c>
      <c r="B376" s="37" t="inlineStr">
        <is>
          <t>05月</t>
        </is>
      </c>
      <c r="C376" s="36" t="inlineStr">
        <is>
          <t>百貨</t>
        </is>
      </c>
      <c r="D376" s="37" t="n">
        <v>3331395</v>
      </c>
      <c r="E376" s="37" t="n">
        <v>8315369213</v>
      </c>
      <c r="F376" s="37" t="n">
        <v>1589932</v>
      </c>
      <c r="G376" s="37" t="n">
        <v>4214956851</v>
      </c>
      <c r="H376" s="37" t="n">
        <v>552317</v>
      </c>
      <c r="I376" s="37" t="n">
        <v>1624367869</v>
      </c>
      <c r="J376" s="37" t="n">
        <v>338893</v>
      </c>
      <c r="K376" s="37" t="n">
        <v>1138265775</v>
      </c>
      <c r="L376" s="37" t="n">
        <v>119423</v>
      </c>
      <c r="M376" s="37" t="n">
        <v>443977180</v>
      </c>
      <c r="N376" s="37" t="n">
        <v>101012</v>
      </c>
      <c r="O376" s="37" t="n">
        <v>364781947</v>
      </c>
      <c r="P376" s="37" t="n">
        <v>55627</v>
      </c>
      <c r="Q376" s="37" t="n">
        <v>206175756</v>
      </c>
      <c r="R376" s="37" t="n">
        <v>226991</v>
      </c>
      <c r="S376" s="37" t="n">
        <v>1198269704</v>
      </c>
    </row>
    <row r="377">
      <c r="A377" s="37" t="inlineStr">
        <is>
          <t>103年</t>
        </is>
      </c>
      <c r="B377" s="37" t="inlineStr">
        <is>
          <t>06月</t>
        </is>
      </c>
      <c r="C377" s="36" t="inlineStr">
        <is>
          <t>百貨</t>
        </is>
      </c>
      <c r="D377" s="37" t="n">
        <v>3239423</v>
      </c>
      <c r="E377" s="37" t="n">
        <v>7609888085</v>
      </c>
      <c r="F377" s="37" t="n">
        <v>1571204</v>
      </c>
      <c r="G377" s="37" t="n">
        <v>3897193834</v>
      </c>
      <c r="H377" s="37" t="n">
        <v>545517</v>
      </c>
      <c r="I377" s="37" t="n">
        <v>1503392933</v>
      </c>
      <c r="J377" s="37" t="n">
        <v>334778</v>
      </c>
      <c r="K377" s="37" t="n">
        <v>1045429277</v>
      </c>
      <c r="L377" s="37" t="n">
        <v>118502</v>
      </c>
      <c r="M377" s="37" t="n">
        <v>388377360</v>
      </c>
      <c r="N377" s="37" t="n">
        <v>99519</v>
      </c>
      <c r="O377" s="37" t="n">
        <v>350333398</v>
      </c>
      <c r="P377" s="37" t="n">
        <v>55725</v>
      </c>
      <c r="Q377" s="37" t="n">
        <v>207846567</v>
      </c>
      <c r="R377" s="37" t="n">
        <v>225531</v>
      </c>
      <c r="S377" s="37" t="n">
        <v>1141030744</v>
      </c>
    </row>
    <row r="378">
      <c r="A378" s="37" t="inlineStr">
        <is>
          <t>103年</t>
        </is>
      </c>
      <c r="B378" s="37" t="inlineStr">
        <is>
          <t>07月</t>
        </is>
      </c>
      <c r="C378" s="36" t="inlineStr">
        <is>
          <t>百貨</t>
        </is>
      </c>
      <c r="D378" s="37" t="n">
        <v>3384726</v>
      </c>
      <c r="E378" s="37" t="n">
        <v>7639609950</v>
      </c>
      <c r="F378" s="37" t="n">
        <v>1622930</v>
      </c>
      <c r="G378" s="37" t="n">
        <v>3909331905</v>
      </c>
      <c r="H378" s="37" t="n">
        <v>566701</v>
      </c>
      <c r="I378" s="37" t="n">
        <v>1516855276</v>
      </c>
      <c r="J378" s="37" t="n">
        <v>341243</v>
      </c>
      <c r="K378" s="37" t="n">
        <v>1031405757</v>
      </c>
      <c r="L378" s="37" t="n">
        <v>121458</v>
      </c>
      <c r="M378" s="37" t="n">
        <v>380850600</v>
      </c>
      <c r="N378" s="37" t="n">
        <v>101804</v>
      </c>
      <c r="O378" s="37" t="n">
        <v>340576409</v>
      </c>
      <c r="P378" s="37" t="n">
        <v>56151</v>
      </c>
      <c r="Q378" s="37" t="n">
        <v>190546025</v>
      </c>
      <c r="R378" s="37" t="n">
        <v>229385</v>
      </c>
      <c r="S378" s="37" t="n">
        <v>1066125706</v>
      </c>
    </row>
    <row r="379">
      <c r="A379" s="37" t="inlineStr">
        <is>
          <t>103年</t>
        </is>
      </c>
      <c r="B379" s="37" t="inlineStr">
        <is>
          <t>08月</t>
        </is>
      </c>
      <c r="C379" s="36" t="inlineStr">
        <is>
          <t>百貨</t>
        </is>
      </c>
      <c r="D379" s="37" t="n">
        <v>3365267</v>
      </c>
      <c r="E379" s="37" t="n">
        <v>7731069981</v>
      </c>
      <c r="F379" s="37" t="n">
        <v>1620306</v>
      </c>
      <c r="G379" s="37" t="n">
        <v>3980433157</v>
      </c>
      <c r="H379" s="37" t="n">
        <v>559862</v>
      </c>
      <c r="I379" s="37" t="n">
        <v>1511788235</v>
      </c>
      <c r="J379" s="37" t="n">
        <v>337611</v>
      </c>
      <c r="K379" s="37" t="n">
        <v>1045460093</v>
      </c>
      <c r="L379" s="37" t="n">
        <v>120284</v>
      </c>
      <c r="M379" s="37" t="n">
        <v>393569419</v>
      </c>
      <c r="N379" s="37" t="n">
        <v>102510</v>
      </c>
      <c r="O379" s="37" t="n">
        <v>342981968</v>
      </c>
      <c r="P379" s="37" t="n">
        <v>54976</v>
      </c>
      <c r="Q379" s="37" t="n">
        <v>198129813</v>
      </c>
      <c r="R379" s="37" t="n">
        <v>231125</v>
      </c>
      <c r="S379" s="37" t="n">
        <v>1076061255</v>
      </c>
    </row>
    <row r="380">
      <c r="A380" s="37" t="inlineStr">
        <is>
          <t>103年</t>
        </is>
      </c>
      <c r="B380" s="37" t="inlineStr">
        <is>
          <t>09月</t>
        </is>
      </c>
      <c r="C380" s="36" t="inlineStr">
        <is>
          <t>百貨</t>
        </is>
      </c>
      <c r="D380" s="37" t="n">
        <v>3070723</v>
      </c>
      <c r="E380" s="37" t="n">
        <v>8617148153</v>
      </c>
      <c r="F380" s="37" t="n">
        <v>1442005</v>
      </c>
      <c r="G380" s="37" t="n">
        <v>4420699077</v>
      </c>
      <c r="H380" s="37" t="n">
        <v>491621</v>
      </c>
      <c r="I380" s="37" t="n">
        <v>1687103416</v>
      </c>
      <c r="J380" s="37" t="n">
        <v>300941</v>
      </c>
      <c r="K380" s="37" t="n">
        <v>1152777166</v>
      </c>
      <c r="L380" s="37" t="n">
        <v>108023</v>
      </c>
      <c r="M380" s="37" t="n">
        <v>471002847</v>
      </c>
      <c r="N380" s="37" t="n">
        <v>92442</v>
      </c>
      <c r="O380" s="37" t="n">
        <v>396594084</v>
      </c>
      <c r="P380" s="37" t="n">
        <v>49826</v>
      </c>
      <c r="Q380" s="37" t="n">
        <v>238493639</v>
      </c>
      <c r="R380" s="37" t="n">
        <v>208808</v>
      </c>
      <c r="S380" s="37" t="n">
        <v>1303877003</v>
      </c>
    </row>
    <row r="381">
      <c r="A381" s="37" t="inlineStr">
        <is>
          <t>103年</t>
        </is>
      </c>
      <c r="B381" s="37" t="inlineStr">
        <is>
          <t>10月</t>
        </is>
      </c>
      <c r="C381" s="36" t="inlineStr">
        <is>
          <t>百貨</t>
        </is>
      </c>
      <c r="D381" s="37" t="n">
        <v>4176274</v>
      </c>
      <c r="E381" s="37" t="n">
        <v>12871265804</v>
      </c>
      <c r="F381" s="37" t="n">
        <v>1981601</v>
      </c>
      <c r="G381" s="37" t="n">
        <v>6587248920</v>
      </c>
      <c r="H381" s="37" t="n">
        <v>664801</v>
      </c>
      <c r="I381" s="37" t="n">
        <v>2373713238</v>
      </c>
      <c r="J381" s="37" t="n">
        <v>396612</v>
      </c>
      <c r="K381" s="37" t="n">
        <v>1639944453</v>
      </c>
      <c r="L381" s="37" t="n">
        <v>141079</v>
      </c>
      <c r="M381" s="37" t="n">
        <v>588878495</v>
      </c>
      <c r="N381" s="37" t="n">
        <v>120170</v>
      </c>
      <c r="O381" s="37" t="n">
        <v>533683966</v>
      </c>
      <c r="P381" s="37" t="n">
        <v>65053</v>
      </c>
      <c r="Q381" s="37" t="n">
        <v>299641561</v>
      </c>
      <c r="R381" s="37" t="n">
        <v>267529</v>
      </c>
      <c r="S381" s="37" t="n">
        <v>1649132173</v>
      </c>
    </row>
    <row r="382">
      <c r="A382" s="37" t="inlineStr">
        <is>
          <t>103年</t>
        </is>
      </c>
      <c r="B382" s="37" t="inlineStr">
        <is>
          <t>11月</t>
        </is>
      </c>
      <c r="C382" s="36" t="inlineStr">
        <is>
          <t>百貨</t>
        </is>
      </c>
      <c r="D382" s="37" t="n">
        <v>4065746</v>
      </c>
      <c r="E382" s="37" t="n">
        <v>11957885094</v>
      </c>
      <c r="F382" s="37" t="n">
        <v>1889296</v>
      </c>
      <c r="G382" s="37" t="n">
        <v>5912381235</v>
      </c>
      <c r="H382" s="37" t="n">
        <v>637264</v>
      </c>
      <c r="I382" s="37" t="n">
        <v>2196439229</v>
      </c>
      <c r="J382" s="37" t="n">
        <v>378849</v>
      </c>
      <c r="K382" s="37" t="n">
        <v>1489008008</v>
      </c>
      <c r="L382" s="37" t="n">
        <v>138652</v>
      </c>
      <c r="M382" s="37" t="n">
        <v>573280499</v>
      </c>
      <c r="N382" s="37" t="n">
        <v>118430</v>
      </c>
      <c r="O382" s="37" t="n">
        <v>521975784</v>
      </c>
      <c r="P382" s="37" t="n">
        <v>64573</v>
      </c>
      <c r="Q382" s="37" t="n">
        <v>293139460</v>
      </c>
      <c r="R382" s="37" t="n">
        <v>259824</v>
      </c>
      <c r="S382" s="37" t="n">
        <v>1581484589</v>
      </c>
    </row>
    <row r="383">
      <c r="A383" s="37" t="inlineStr">
        <is>
          <t>103年</t>
        </is>
      </c>
      <c r="B383" s="37" t="inlineStr">
        <is>
          <t>12月</t>
        </is>
      </c>
      <c r="C383" s="36" t="inlineStr">
        <is>
          <t>百貨</t>
        </is>
      </c>
      <c r="D383" s="37" t="n">
        <v>4036393</v>
      </c>
      <c r="E383" s="37" t="n">
        <v>10172460117</v>
      </c>
      <c r="F383" s="37" t="n">
        <v>1907618</v>
      </c>
      <c r="G383" s="37" t="n">
        <v>5185262461</v>
      </c>
      <c r="H383" s="37" t="n">
        <v>654146</v>
      </c>
      <c r="I383" s="37" t="n">
        <v>1964111202</v>
      </c>
      <c r="J383" s="37" t="n">
        <v>389231</v>
      </c>
      <c r="K383" s="37" t="n">
        <v>1343172350</v>
      </c>
      <c r="L383" s="37" t="n">
        <v>141194</v>
      </c>
      <c r="M383" s="37" t="n">
        <v>520085950</v>
      </c>
      <c r="N383" s="37" t="n">
        <v>118684</v>
      </c>
      <c r="O383" s="37" t="n">
        <v>444283148</v>
      </c>
      <c r="P383" s="37" t="n">
        <v>65077</v>
      </c>
      <c r="Q383" s="37" t="n">
        <v>259119093</v>
      </c>
      <c r="R383" s="37" t="n">
        <v>266846</v>
      </c>
      <c r="S383" s="37" t="n">
        <v>1405678412</v>
      </c>
    </row>
    <row r="384">
      <c r="A384" s="37" t="inlineStr">
        <is>
          <t>104年</t>
        </is>
      </c>
      <c r="B384" s="37" t="inlineStr">
        <is>
          <t>01月</t>
        </is>
      </c>
      <c r="C384" s="36" t="inlineStr">
        <is>
          <t>百貨</t>
        </is>
      </c>
      <c r="D384" s="37" t="n">
        <v>3338202</v>
      </c>
      <c r="E384" s="37" t="n">
        <v>8396588851</v>
      </c>
      <c r="F384" s="37" t="n">
        <v>1577910</v>
      </c>
      <c r="G384" s="37" t="n">
        <v>4249728037</v>
      </c>
      <c r="H384" s="37" t="n">
        <v>559500</v>
      </c>
      <c r="I384" s="37" t="n">
        <v>1663800620</v>
      </c>
      <c r="J384" s="37" t="n">
        <v>338221</v>
      </c>
      <c r="K384" s="37" t="n">
        <v>1139921389</v>
      </c>
      <c r="L384" s="37" t="n">
        <v>122146</v>
      </c>
      <c r="M384" s="37" t="n">
        <v>435998533</v>
      </c>
      <c r="N384" s="37" t="n">
        <v>103128</v>
      </c>
      <c r="O384" s="37" t="n">
        <v>385291034</v>
      </c>
      <c r="P384" s="37" t="n">
        <v>56575</v>
      </c>
      <c r="Q384" s="37" t="n">
        <v>212826635</v>
      </c>
      <c r="R384" s="37" t="n">
        <v>235073</v>
      </c>
      <c r="S384" s="37" t="n">
        <v>1234359230</v>
      </c>
    </row>
    <row r="385">
      <c r="A385" s="37" t="inlineStr">
        <is>
          <t>104年</t>
        </is>
      </c>
      <c r="B385" s="37" t="inlineStr">
        <is>
          <t>02月</t>
        </is>
      </c>
      <c r="C385" s="36" t="inlineStr">
        <is>
          <t>百貨</t>
        </is>
      </c>
      <c r="D385" s="37" t="n">
        <v>3532542</v>
      </c>
      <c r="E385" s="37" t="n">
        <v>9518851423</v>
      </c>
      <c r="F385" s="37" t="n">
        <v>1683005</v>
      </c>
      <c r="G385" s="37" t="n">
        <v>4822019744</v>
      </c>
      <c r="H385" s="37" t="n">
        <v>597280</v>
      </c>
      <c r="I385" s="37" t="n">
        <v>1838513331</v>
      </c>
      <c r="J385" s="37" t="n">
        <v>355476</v>
      </c>
      <c r="K385" s="37" t="n">
        <v>1243097080</v>
      </c>
      <c r="L385" s="37" t="n">
        <v>129444</v>
      </c>
      <c r="M385" s="37" t="n">
        <v>475146117</v>
      </c>
      <c r="N385" s="37" t="n">
        <v>108170</v>
      </c>
      <c r="O385" s="37" t="n">
        <v>414423883</v>
      </c>
      <c r="P385" s="37" t="n">
        <v>59060</v>
      </c>
      <c r="Q385" s="37" t="n">
        <v>235446297</v>
      </c>
      <c r="R385" s="37" t="n">
        <v>238946</v>
      </c>
      <c r="S385" s="37" t="n">
        <v>1311852068</v>
      </c>
    </row>
    <row r="386">
      <c r="A386" s="37" t="inlineStr">
        <is>
          <t>104年</t>
        </is>
      </c>
      <c r="B386" s="37" t="inlineStr">
        <is>
          <t>03月</t>
        </is>
      </c>
      <c r="C386" s="36" t="inlineStr">
        <is>
          <t>百貨</t>
        </is>
      </c>
      <c r="D386" s="37" t="n">
        <v>3091914</v>
      </c>
      <c r="E386" s="37" t="n">
        <v>7901936741</v>
      </c>
      <c r="F386" s="37" t="n">
        <v>1404392</v>
      </c>
      <c r="G386" s="37" t="n">
        <v>3850156374</v>
      </c>
      <c r="H386" s="37" t="n">
        <v>494276</v>
      </c>
      <c r="I386" s="37" t="n">
        <v>1471130282</v>
      </c>
      <c r="J386" s="37" t="n">
        <v>297247</v>
      </c>
      <c r="K386" s="37" t="n">
        <v>997006566</v>
      </c>
      <c r="L386" s="37" t="n">
        <v>108463</v>
      </c>
      <c r="M386" s="37" t="n">
        <v>387381195</v>
      </c>
      <c r="N386" s="37" t="n">
        <v>92525</v>
      </c>
      <c r="O386" s="37" t="n">
        <v>358421515</v>
      </c>
      <c r="P386" s="37" t="n">
        <v>50919</v>
      </c>
      <c r="Q386" s="37" t="n">
        <v>195666334</v>
      </c>
      <c r="R386" s="37" t="n">
        <v>207512</v>
      </c>
      <c r="S386" s="37" t="n">
        <v>1119982880</v>
      </c>
    </row>
    <row r="387">
      <c r="A387" s="37" t="inlineStr">
        <is>
          <t>104年</t>
        </is>
      </c>
      <c r="B387" s="37" t="inlineStr">
        <is>
          <t>04月</t>
        </is>
      </c>
      <c r="C387" s="36" t="inlineStr">
        <is>
          <t>百貨</t>
        </is>
      </c>
      <c r="D387" s="37" t="n">
        <v>3403441</v>
      </c>
      <c r="E387" s="37" t="n">
        <v>9330146282</v>
      </c>
      <c r="F387" s="37" t="n">
        <v>1564064</v>
      </c>
      <c r="G387" s="37" t="n">
        <v>4581593019</v>
      </c>
      <c r="H387" s="37" t="n">
        <v>550029</v>
      </c>
      <c r="I387" s="37" t="n">
        <v>1772267715</v>
      </c>
      <c r="J387" s="37" t="n">
        <v>326518</v>
      </c>
      <c r="K387" s="37" t="n">
        <v>1186939500</v>
      </c>
      <c r="L387" s="37" t="n">
        <v>120651</v>
      </c>
      <c r="M387" s="37" t="n">
        <v>492204093</v>
      </c>
      <c r="N387" s="37" t="n">
        <v>100209</v>
      </c>
      <c r="O387" s="37" t="n">
        <v>393068801</v>
      </c>
      <c r="P387" s="37" t="n">
        <v>56608</v>
      </c>
      <c r="Q387" s="37" t="n">
        <v>250571952</v>
      </c>
      <c r="R387" s="37" t="n">
        <v>226409</v>
      </c>
      <c r="S387" s="37" t="n">
        <v>1271378657</v>
      </c>
    </row>
    <row r="388">
      <c r="A388" s="37" t="inlineStr">
        <is>
          <t>104年</t>
        </is>
      </c>
      <c r="B388" s="37" t="inlineStr">
        <is>
          <t>05月</t>
        </is>
      </c>
      <c r="C388" s="36" t="inlineStr">
        <is>
          <t>百貨</t>
        </is>
      </c>
      <c r="D388" s="37" t="n">
        <v>3528622</v>
      </c>
      <c r="E388" s="37" t="n">
        <v>8705672890</v>
      </c>
      <c r="F388" s="37" t="n">
        <v>1619638</v>
      </c>
      <c r="G388" s="37" t="n">
        <v>4250926619</v>
      </c>
      <c r="H388" s="37" t="n">
        <v>577879</v>
      </c>
      <c r="I388" s="37" t="n">
        <v>1661082585</v>
      </c>
      <c r="J388" s="37" t="n">
        <v>347737</v>
      </c>
      <c r="K388" s="37" t="n">
        <v>1143295762</v>
      </c>
      <c r="L388" s="37" t="n">
        <v>128807</v>
      </c>
      <c r="M388" s="37" t="n">
        <v>462858379</v>
      </c>
      <c r="N388" s="37" t="n">
        <v>106811</v>
      </c>
      <c r="O388" s="37" t="n">
        <v>387564674</v>
      </c>
      <c r="P388" s="37" t="n">
        <v>60345</v>
      </c>
      <c r="Q388" s="37" t="n">
        <v>223885275</v>
      </c>
      <c r="R388" s="37" t="n">
        <v>242153</v>
      </c>
      <c r="S388" s="37" t="n">
        <v>1311327052</v>
      </c>
    </row>
    <row r="389">
      <c r="A389" s="37" t="inlineStr">
        <is>
          <t>104年</t>
        </is>
      </c>
      <c r="B389" s="37" t="inlineStr">
        <is>
          <t>06月</t>
        </is>
      </c>
      <c r="C389" s="36" t="inlineStr">
        <is>
          <t>百貨</t>
        </is>
      </c>
      <c r="D389" s="37" t="n">
        <v>3418578</v>
      </c>
      <c r="E389" s="37" t="n">
        <v>7915218265</v>
      </c>
      <c r="F389" s="37" t="n">
        <v>1577199</v>
      </c>
      <c r="G389" s="37" t="n">
        <v>3961891690</v>
      </c>
      <c r="H389" s="37" t="n">
        <v>559538</v>
      </c>
      <c r="I389" s="37" t="n">
        <v>1524462386</v>
      </c>
      <c r="J389" s="37" t="n">
        <v>335552</v>
      </c>
      <c r="K389" s="37" t="n">
        <v>1048136048</v>
      </c>
      <c r="L389" s="37" t="n">
        <v>123462</v>
      </c>
      <c r="M389" s="37" t="n">
        <v>410166417</v>
      </c>
      <c r="N389" s="37" t="n">
        <v>103279</v>
      </c>
      <c r="O389" s="37" t="n">
        <v>356052165</v>
      </c>
      <c r="P389" s="37" t="n">
        <v>57722</v>
      </c>
      <c r="Q389" s="37" t="n">
        <v>205059000</v>
      </c>
      <c r="R389" s="37" t="n">
        <v>230308</v>
      </c>
      <c r="S389" s="37" t="n">
        <v>1270184775</v>
      </c>
    </row>
    <row r="390">
      <c r="A390" s="37" t="inlineStr">
        <is>
          <t>104年</t>
        </is>
      </c>
      <c r="B390" s="37" t="inlineStr">
        <is>
          <t>07月</t>
        </is>
      </c>
      <c r="C390" s="36" t="inlineStr">
        <is>
          <t>百貨</t>
        </is>
      </c>
      <c r="D390" s="37" t="n">
        <v>3520558</v>
      </c>
      <c r="E390" s="37" t="n">
        <v>7787892225</v>
      </c>
      <c r="F390" s="37" t="n">
        <v>1638682</v>
      </c>
      <c r="G390" s="37" t="n">
        <v>3900770036</v>
      </c>
      <c r="H390" s="37" t="n">
        <v>586325</v>
      </c>
      <c r="I390" s="37" t="n">
        <v>1526879312</v>
      </c>
      <c r="J390" s="37" t="n">
        <v>347122</v>
      </c>
      <c r="K390" s="37" t="n">
        <v>1045132667</v>
      </c>
      <c r="L390" s="37" t="n">
        <v>126553</v>
      </c>
      <c r="M390" s="37" t="n">
        <v>393142769</v>
      </c>
      <c r="N390" s="37" t="n">
        <v>105324</v>
      </c>
      <c r="O390" s="37" t="n">
        <v>345165578</v>
      </c>
      <c r="P390" s="37" t="n">
        <v>58875</v>
      </c>
      <c r="Q390" s="37" t="n">
        <v>202274788</v>
      </c>
      <c r="R390" s="37" t="n">
        <v>235243</v>
      </c>
      <c r="S390" s="37" t="n">
        <v>1068628219</v>
      </c>
    </row>
    <row r="391">
      <c r="A391" s="37" t="inlineStr">
        <is>
          <t>104年</t>
        </is>
      </c>
      <c r="B391" s="37" t="inlineStr">
        <is>
          <t>08月</t>
        </is>
      </c>
      <c r="C391" s="36" t="inlineStr">
        <is>
          <t>百貨</t>
        </is>
      </c>
      <c r="D391" s="37" t="n">
        <v>3524353</v>
      </c>
      <c r="E391" s="37" t="n">
        <v>7802333568</v>
      </c>
      <c r="F391" s="37" t="n">
        <v>1641803</v>
      </c>
      <c r="G391" s="37" t="n">
        <v>3897360145</v>
      </c>
      <c r="H391" s="37" t="n">
        <v>586743</v>
      </c>
      <c r="I391" s="37" t="n">
        <v>1508047058</v>
      </c>
      <c r="J391" s="37" t="n">
        <v>348702</v>
      </c>
      <c r="K391" s="37" t="n">
        <v>1028540523</v>
      </c>
      <c r="L391" s="37" t="n">
        <v>128178</v>
      </c>
      <c r="M391" s="37" t="n">
        <v>400641468</v>
      </c>
      <c r="N391" s="37" t="n">
        <v>107591</v>
      </c>
      <c r="O391" s="37" t="n">
        <v>351881069</v>
      </c>
      <c r="P391" s="37" t="n">
        <v>59248</v>
      </c>
      <c r="Q391" s="37" t="n">
        <v>193308207</v>
      </c>
      <c r="R391" s="37" t="n">
        <v>240198</v>
      </c>
      <c r="S391" s="37" t="n">
        <v>1103639749</v>
      </c>
    </row>
    <row r="392">
      <c r="A392" s="37" t="inlineStr">
        <is>
          <t>104年</t>
        </is>
      </c>
      <c r="B392" s="37" t="inlineStr">
        <is>
          <t>09月</t>
        </is>
      </c>
      <c r="C392" s="36" t="inlineStr">
        <is>
          <t>百貨</t>
        </is>
      </c>
      <c r="D392" s="37" t="n">
        <v>3259018</v>
      </c>
      <c r="E392" s="37" t="n">
        <v>8706237744</v>
      </c>
      <c r="F392" s="37" t="n">
        <v>1479412</v>
      </c>
      <c r="G392" s="37" t="n">
        <v>4322496509</v>
      </c>
      <c r="H392" s="37" t="n">
        <v>530896</v>
      </c>
      <c r="I392" s="37" t="n">
        <v>1715794575</v>
      </c>
      <c r="J392" s="37" t="n">
        <v>315643</v>
      </c>
      <c r="K392" s="37" t="n">
        <v>1192222089</v>
      </c>
      <c r="L392" s="37" t="n">
        <v>118253</v>
      </c>
      <c r="M392" s="37" t="n">
        <v>496851036</v>
      </c>
      <c r="N392" s="37" t="n">
        <v>98777</v>
      </c>
      <c r="O392" s="37" t="n">
        <v>395110813</v>
      </c>
      <c r="P392" s="37" t="n">
        <v>55737</v>
      </c>
      <c r="Q392" s="37" t="n">
        <v>253094863</v>
      </c>
      <c r="R392" s="37" t="n">
        <v>222215</v>
      </c>
      <c r="S392" s="37" t="n">
        <v>1332874448</v>
      </c>
    </row>
    <row r="393">
      <c r="A393" s="37" t="inlineStr">
        <is>
          <t>104年</t>
        </is>
      </c>
      <c r="B393" s="37" t="inlineStr">
        <is>
          <t>10月</t>
        </is>
      </c>
      <c r="C393" s="36" t="inlineStr">
        <is>
          <t>百貨</t>
        </is>
      </c>
      <c r="D393" s="37" t="n">
        <v>4349655</v>
      </c>
      <c r="E393" s="37" t="n">
        <v>13232341648</v>
      </c>
      <c r="F393" s="37" t="n">
        <v>1992672</v>
      </c>
      <c r="G393" s="37" t="n">
        <v>6495074169</v>
      </c>
      <c r="H393" s="37" t="n">
        <v>683992</v>
      </c>
      <c r="I393" s="37" t="n">
        <v>2388145552</v>
      </c>
      <c r="J393" s="37" t="n">
        <v>401861</v>
      </c>
      <c r="K393" s="37" t="n">
        <v>1626205306</v>
      </c>
      <c r="L393" s="37" t="n">
        <v>151035</v>
      </c>
      <c r="M393" s="37" t="n">
        <v>628459800</v>
      </c>
      <c r="N393" s="37" t="n">
        <v>126244</v>
      </c>
      <c r="O393" s="37" t="n">
        <v>541793879</v>
      </c>
      <c r="P393" s="37" t="n">
        <v>68362</v>
      </c>
      <c r="Q393" s="37" t="n">
        <v>305028909</v>
      </c>
      <c r="R393" s="37" t="n">
        <v>275167</v>
      </c>
      <c r="S393" s="37" t="n">
        <v>1683585167</v>
      </c>
    </row>
    <row r="394">
      <c r="A394" s="37" t="inlineStr">
        <is>
          <t>104年</t>
        </is>
      </c>
      <c r="B394" s="37" t="inlineStr">
        <is>
          <t>11月</t>
        </is>
      </c>
      <c r="C394" s="36" t="inlineStr">
        <is>
          <t>百貨</t>
        </is>
      </c>
      <c r="D394" s="37" t="n">
        <v>4233263</v>
      </c>
      <c r="E394" s="37" t="n">
        <v>12700390334</v>
      </c>
      <c r="F394" s="37" t="n">
        <v>1890389</v>
      </c>
      <c r="G394" s="37" t="n">
        <v>6063928582</v>
      </c>
      <c r="H394" s="37" t="n">
        <v>652197</v>
      </c>
      <c r="I394" s="37" t="n">
        <v>2309271591</v>
      </c>
      <c r="J394" s="37" t="n">
        <v>379653</v>
      </c>
      <c r="K394" s="37" t="n">
        <v>1509860288</v>
      </c>
      <c r="L394" s="37" t="n">
        <v>146394</v>
      </c>
      <c r="M394" s="37" t="n">
        <v>638864324</v>
      </c>
      <c r="N394" s="37" t="n">
        <v>126701</v>
      </c>
      <c r="O394" s="37" t="n">
        <v>584491558</v>
      </c>
      <c r="P394" s="37" t="n">
        <v>68823</v>
      </c>
      <c r="Q394" s="37" t="n">
        <v>316987491</v>
      </c>
      <c r="R394" s="37" t="n">
        <v>271338</v>
      </c>
      <c r="S394" s="37" t="n">
        <v>1791424312</v>
      </c>
    </row>
    <row r="395">
      <c r="A395" s="37" t="inlineStr">
        <is>
          <t>104年</t>
        </is>
      </c>
      <c r="B395" s="37" t="inlineStr">
        <is>
          <t>12月</t>
        </is>
      </c>
      <c r="C395" s="36" t="inlineStr">
        <is>
          <t>百貨</t>
        </is>
      </c>
      <c r="D395" s="37" t="n">
        <v>4143776</v>
      </c>
      <c r="E395" s="37" t="n">
        <v>10228684990</v>
      </c>
      <c r="F395" s="37" t="n">
        <v>1881072</v>
      </c>
      <c r="G395" s="37" t="n">
        <v>4982771977</v>
      </c>
      <c r="H395" s="37" t="n">
        <v>657347</v>
      </c>
      <c r="I395" s="37" t="n">
        <v>1891355635</v>
      </c>
      <c r="J395" s="37" t="n">
        <v>386039</v>
      </c>
      <c r="K395" s="37" t="n">
        <v>1282467247</v>
      </c>
      <c r="L395" s="37" t="n">
        <v>147543</v>
      </c>
      <c r="M395" s="37" t="n">
        <v>517638836</v>
      </c>
      <c r="N395" s="37" t="n">
        <v>122393</v>
      </c>
      <c r="O395" s="37" t="n">
        <v>443122063</v>
      </c>
      <c r="P395" s="37" t="n">
        <v>68829</v>
      </c>
      <c r="Q395" s="37" t="n">
        <v>261548035</v>
      </c>
      <c r="R395" s="37" t="n">
        <v>272211</v>
      </c>
      <c r="S395" s="37" t="n">
        <v>1431709572</v>
      </c>
    </row>
    <row r="396">
      <c r="A396" s="37" t="inlineStr">
        <is>
          <t>105年</t>
        </is>
      </c>
      <c r="B396" s="37" t="inlineStr">
        <is>
          <t>01月</t>
        </is>
      </c>
      <c r="C396" s="36" t="inlineStr">
        <is>
          <t>百貨</t>
        </is>
      </c>
      <c r="D396" s="37" t="n">
        <v>3897325</v>
      </c>
      <c r="E396" s="37" t="n">
        <v>9869588988</v>
      </c>
      <c r="F396" s="37" t="n">
        <v>1775904</v>
      </c>
      <c r="G396" s="37" t="n">
        <v>4801997501</v>
      </c>
      <c r="H396" s="37" t="n">
        <v>635023</v>
      </c>
      <c r="I396" s="37" t="n">
        <v>1875813515</v>
      </c>
      <c r="J396" s="37" t="n">
        <v>376093</v>
      </c>
      <c r="K396" s="37" t="n">
        <v>1256746207</v>
      </c>
      <c r="L396" s="37" t="n">
        <v>145067</v>
      </c>
      <c r="M396" s="37" t="n">
        <v>514387388</v>
      </c>
      <c r="N396" s="37" t="n">
        <v>120853</v>
      </c>
      <c r="O396" s="37" t="n">
        <v>439440173</v>
      </c>
      <c r="P396" s="37" t="n">
        <v>66057</v>
      </c>
      <c r="Q396" s="37" t="n">
        <v>248778869</v>
      </c>
      <c r="R396" s="37" t="n">
        <v>269389</v>
      </c>
      <c r="S396" s="37" t="n">
        <v>1400226990</v>
      </c>
    </row>
    <row r="397">
      <c r="A397" s="37" t="inlineStr">
        <is>
          <t>105年</t>
        </is>
      </c>
      <c r="B397" s="37" t="inlineStr">
        <is>
          <t>02月</t>
        </is>
      </c>
      <c r="C397" s="36" t="inlineStr">
        <is>
          <t>百貨</t>
        </is>
      </c>
      <c r="D397" s="37" t="n">
        <v>3641085</v>
      </c>
      <c r="E397" s="37" t="n">
        <v>9319580919</v>
      </c>
      <c r="F397" s="37" t="n">
        <v>1680541</v>
      </c>
      <c r="G397" s="37" t="n">
        <v>4578025716</v>
      </c>
      <c r="H397" s="37" t="n">
        <v>600939</v>
      </c>
      <c r="I397" s="37" t="n">
        <v>1752660252</v>
      </c>
      <c r="J397" s="37" t="n">
        <v>355420</v>
      </c>
      <c r="K397" s="37" t="n">
        <v>1179781260</v>
      </c>
      <c r="L397" s="37" t="n">
        <v>136611</v>
      </c>
      <c r="M397" s="37" t="n">
        <v>467621201</v>
      </c>
      <c r="N397" s="37" t="n">
        <v>113052</v>
      </c>
      <c r="O397" s="37" t="n">
        <v>397927210</v>
      </c>
      <c r="P397" s="37" t="n">
        <v>61723</v>
      </c>
      <c r="Q397" s="37" t="n">
        <v>227650822</v>
      </c>
      <c r="R397" s="37" t="n">
        <v>247580</v>
      </c>
      <c r="S397" s="37" t="n">
        <v>1253135784</v>
      </c>
    </row>
    <row r="398">
      <c r="A398" s="37" t="inlineStr">
        <is>
          <t>105年</t>
        </is>
      </c>
      <c r="B398" s="37" t="inlineStr">
        <is>
          <t>03月</t>
        </is>
      </c>
      <c r="C398" s="36" t="inlineStr">
        <is>
          <t>百貨</t>
        </is>
      </c>
      <c r="D398" s="37" t="n">
        <v>3031196</v>
      </c>
      <c r="E398" s="37" t="n">
        <v>7606589927</v>
      </c>
      <c r="F398" s="37" t="n">
        <v>1295418</v>
      </c>
      <c r="G398" s="37" t="n">
        <v>3490112902</v>
      </c>
      <c r="H398" s="37" t="n">
        <v>479756</v>
      </c>
      <c r="I398" s="37" t="n">
        <v>1391411124</v>
      </c>
      <c r="J398" s="37" t="n">
        <v>281672</v>
      </c>
      <c r="K398" s="37" t="n">
        <v>923199285</v>
      </c>
      <c r="L398" s="37" t="n">
        <v>109890</v>
      </c>
      <c r="M398" s="37" t="n">
        <v>403899634</v>
      </c>
      <c r="N398" s="37" t="n">
        <v>94565</v>
      </c>
      <c r="O398" s="37" t="n">
        <v>345436134</v>
      </c>
      <c r="P398" s="37" t="n">
        <v>51462</v>
      </c>
      <c r="Q398" s="37" t="n">
        <v>190223291</v>
      </c>
      <c r="R398" s="37" t="n">
        <v>199288</v>
      </c>
      <c r="S398" s="37" t="n">
        <v>998720380</v>
      </c>
    </row>
    <row r="399">
      <c r="A399" s="37" t="inlineStr">
        <is>
          <t>105年</t>
        </is>
      </c>
      <c r="B399" s="37" t="inlineStr">
        <is>
          <t>04月</t>
        </is>
      </c>
      <c r="C399" s="36" t="inlineStr">
        <is>
          <t>百貨</t>
        </is>
      </c>
      <c r="D399" s="37" t="n">
        <v>3421138</v>
      </c>
      <c r="E399" s="37" t="n">
        <v>9066831239</v>
      </c>
      <c r="F399" s="37" t="n">
        <v>1479879</v>
      </c>
      <c r="G399" s="37" t="n">
        <v>4286839654</v>
      </c>
      <c r="H399" s="37" t="n">
        <v>541498</v>
      </c>
      <c r="I399" s="37" t="n">
        <v>1687798701</v>
      </c>
      <c r="J399" s="37" t="n">
        <v>314776</v>
      </c>
      <c r="K399" s="37" t="n">
        <v>1101719022</v>
      </c>
      <c r="L399" s="37" t="n">
        <v>123827</v>
      </c>
      <c r="M399" s="37" t="n">
        <v>480834907</v>
      </c>
      <c r="N399" s="37" t="n">
        <v>105843</v>
      </c>
      <c r="O399" s="37" t="n">
        <v>419321309</v>
      </c>
      <c r="P399" s="37" t="n">
        <v>57907</v>
      </c>
      <c r="Q399" s="37" t="n">
        <v>244622184</v>
      </c>
      <c r="R399" s="37" t="n">
        <v>223540</v>
      </c>
      <c r="S399" s="37" t="n">
        <v>1214344257</v>
      </c>
    </row>
    <row r="400">
      <c r="A400" s="37" t="inlineStr">
        <is>
          <t>105年</t>
        </is>
      </c>
      <c r="B400" s="37" t="inlineStr">
        <is>
          <t>05月</t>
        </is>
      </c>
      <c r="C400" s="36" t="inlineStr">
        <is>
          <t>百貨</t>
        </is>
      </c>
      <c r="D400" s="37" t="n">
        <v>3428524</v>
      </c>
      <c r="E400" s="37" t="n">
        <v>8125044407</v>
      </c>
      <c r="F400" s="37" t="n">
        <v>1467998</v>
      </c>
      <c r="G400" s="37" t="n">
        <v>3806166244</v>
      </c>
      <c r="H400" s="37" t="n">
        <v>540961</v>
      </c>
      <c r="I400" s="37" t="n">
        <v>1489427637</v>
      </c>
      <c r="J400" s="37" t="n">
        <v>316625</v>
      </c>
      <c r="K400" s="37" t="n">
        <v>993893436</v>
      </c>
      <c r="L400" s="37" t="n">
        <v>124984</v>
      </c>
      <c r="M400" s="37" t="n">
        <v>426005678</v>
      </c>
      <c r="N400" s="37" t="n">
        <v>107268</v>
      </c>
      <c r="O400" s="37" t="n">
        <v>366062531</v>
      </c>
      <c r="P400" s="37" t="n">
        <v>58250</v>
      </c>
      <c r="Q400" s="37" t="n">
        <v>215784397</v>
      </c>
      <c r="R400" s="37" t="n">
        <v>227581</v>
      </c>
      <c r="S400" s="37" t="n">
        <v>1059714056</v>
      </c>
    </row>
    <row r="401">
      <c r="A401" s="37" t="inlineStr">
        <is>
          <t>105年</t>
        </is>
      </c>
      <c r="B401" s="37" t="inlineStr">
        <is>
          <t>06月</t>
        </is>
      </c>
      <c r="C401" s="36" t="inlineStr">
        <is>
          <t>百貨</t>
        </is>
      </c>
      <c r="D401" s="37" t="n">
        <v>3602689</v>
      </c>
      <c r="E401" s="37" t="n">
        <v>8189816644</v>
      </c>
      <c r="F401" s="37" t="n">
        <v>1620763</v>
      </c>
      <c r="G401" s="37" t="n">
        <v>4036025089</v>
      </c>
      <c r="H401" s="37" t="n">
        <v>577326</v>
      </c>
      <c r="I401" s="37" t="n">
        <v>1569366866</v>
      </c>
      <c r="J401" s="37" t="n">
        <v>343124</v>
      </c>
      <c r="K401" s="37" t="n">
        <v>1047592523</v>
      </c>
      <c r="L401" s="37" t="n">
        <v>131693</v>
      </c>
      <c r="M401" s="37" t="n">
        <v>430624176</v>
      </c>
      <c r="N401" s="37" t="n">
        <v>112161</v>
      </c>
      <c r="O401" s="37" t="n">
        <v>373371236</v>
      </c>
      <c r="P401" s="37" t="n">
        <v>61716</v>
      </c>
      <c r="Q401" s="37" t="n">
        <v>212896514</v>
      </c>
      <c r="R401" s="37" t="n">
        <v>252563</v>
      </c>
      <c r="S401" s="37" t="n">
        <v>1206321365</v>
      </c>
    </row>
    <row r="402">
      <c r="A402" s="37" t="inlineStr">
        <is>
          <t>105年</t>
        </is>
      </c>
      <c r="B402" s="37" t="inlineStr">
        <is>
          <t>07月</t>
        </is>
      </c>
      <c r="C402" s="36" t="inlineStr">
        <is>
          <t>百貨</t>
        </is>
      </c>
      <c r="D402" s="37" t="n">
        <v>3622925</v>
      </c>
      <c r="E402" s="37" t="n">
        <v>8093367500</v>
      </c>
      <c r="F402" s="37" t="n">
        <v>1602201</v>
      </c>
      <c r="G402" s="37" t="n">
        <v>3974439882</v>
      </c>
      <c r="H402" s="37" t="n">
        <v>590760</v>
      </c>
      <c r="I402" s="37" t="n">
        <v>1558535975</v>
      </c>
      <c r="J402" s="37" t="n">
        <v>345058</v>
      </c>
      <c r="K402" s="37" t="n">
        <v>1046020624</v>
      </c>
      <c r="L402" s="37" t="n">
        <v>134078</v>
      </c>
      <c r="M402" s="37" t="n">
        <v>432719681</v>
      </c>
      <c r="N402" s="37" t="n">
        <v>114208</v>
      </c>
      <c r="O402" s="37" t="n">
        <v>385962400</v>
      </c>
      <c r="P402" s="37" t="n">
        <v>61769</v>
      </c>
      <c r="Q402" s="37" t="n">
        <v>217807573</v>
      </c>
      <c r="R402" s="37" t="n">
        <v>241077</v>
      </c>
      <c r="S402" s="37" t="n">
        <v>1163466858</v>
      </c>
    </row>
    <row r="403">
      <c r="A403" s="37" t="inlineStr">
        <is>
          <t>105年</t>
        </is>
      </c>
      <c r="B403" s="37" t="inlineStr">
        <is>
          <t>08月</t>
        </is>
      </c>
      <c r="C403" s="36" t="inlineStr">
        <is>
          <t>百貨</t>
        </is>
      </c>
      <c r="D403" s="37" t="n">
        <v>3296679</v>
      </c>
      <c r="E403" s="37" t="n">
        <v>7170901034</v>
      </c>
      <c r="F403" s="37" t="n">
        <v>1351077</v>
      </c>
      <c r="G403" s="37" t="n">
        <v>3219297944</v>
      </c>
      <c r="H403" s="37" t="n">
        <v>519633</v>
      </c>
      <c r="I403" s="37" t="n">
        <v>1320462950</v>
      </c>
      <c r="J403" s="37" t="n">
        <v>301090</v>
      </c>
      <c r="K403" s="37" t="n">
        <v>868086730</v>
      </c>
      <c r="L403" s="37" t="n">
        <v>122466</v>
      </c>
      <c r="M403" s="37" t="n">
        <v>381000428</v>
      </c>
      <c r="N403" s="37" t="n">
        <v>103861</v>
      </c>
      <c r="O403" s="37" t="n">
        <v>324094470</v>
      </c>
      <c r="P403" s="37" t="n">
        <v>55584</v>
      </c>
      <c r="Q403" s="37" t="n">
        <v>179480203</v>
      </c>
      <c r="R403" s="37" t="n">
        <v>217484</v>
      </c>
      <c r="S403" s="37" t="n">
        <v>901836251</v>
      </c>
    </row>
    <row r="404">
      <c r="A404" s="37" t="inlineStr">
        <is>
          <t>105年</t>
        </is>
      </c>
      <c r="B404" s="37" t="inlineStr">
        <is>
          <t>09月</t>
        </is>
      </c>
      <c r="C404" s="36" t="inlineStr">
        <is>
          <t>百貨</t>
        </is>
      </c>
      <c r="D404" s="37" t="n">
        <v>3100986</v>
      </c>
      <c r="E404" s="37" t="n">
        <v>8336102720</v>
      </c>
      <c r="F404" s="37" t="n">
        <v>1341503</v>
      </c>
      <c r="G404" s="37" t="n">
        <v>3957161347</v>
      </c>
      <c r="H404" s="37" t="n">
        <v>487616</v>
      </c>
      <c r="I404" s="37" t="n">
        <v>1565319027</v>
      </c>
      <c r="J404" s="37" t="n">
        <v>288258</v>
      </c>
      <c r="K404" s="37" t="n">
        <v>1030764119</v>
      </c>
      <c r="L404" s="37" t="n">
        <v>116528</v>
      </c>
      <c r="M404" s="37" t="n">
        <v>445447753</v>
      </c>
      <c r="N404" s="37" t="n">
        <v>98577</v>
      </c>
      <c r="O404" s="37" t="n">
        <v>378556403</v>
      </c>
      <c r="P404" s="37" t="n">
        <v>52692</v>
      </c>
      <c r="Q404" s="37" t="n">
        <v>213238318</v>
      </c>
      <c r="R404" s="37" t="n">
        <v>209242</v>
      </c>
      <c r="S404" s="37" t="n">
        <v>1104970892</v>
      </c>
    </row>
    <row r="405">
      <c r="A405" s="37" t="inlineStr">
        <is>
          <t>105年</t>
        </is>
      </c>
      <c r="B405" s="37" t="inlineStr">
        <is>
          <t>10月</t>
        </is>
      </c>
      <c r="C405" s="36" t="inlineStr">
        <is>
          <t>百貨</t>
        </is>
      </c>
      <c r="D405" s="37" t="n">
        <v>4031281</v>
      </c>
      <c r="E405" s="37" t="n">
        <v>12148651861</v>
      </c>
      <c r="F405" s="37" t="n">
        <v>1729764</v>
      </c>
      <c r="G405" s="37" t="n">
        <v>5545064434</v>
      </c>
      <c r="H405" s="37" t="n">
        <v>609365</v>
      </c>
      <c r="I405" s="37" t="n">
        <v>2099971614</v>
      </c>
      <c r="J405" s="37" t="n">
        <v>362283</v>
      </c>
      <c r="K405" s="37" t="n">
        <v>1400079328</v>
      </c>
      <c r="L405" s="37" t="n">
        <v>144739</v>
      </c>
      <c r="M405" s="37" t="n">
        <v>580414523</v>
      </c>
      <c r="N405" s="37" t="n">
        <v>121332</v>
      </c>
      <c r="O405" s="37" t="n">
        <v>510343315</v>
      </c>
      <c r="P405" s="37" t="n">
        <v>62882</v>
      </c>
      <c r="Q405" s="37" t="n">
        <v>287421043</v>
      </c>
      <c r="R405" s="37" t="n">
        <v>258271</v>
      </c>
      <c r="S405" s="37" t="n">
        <v>1470523459</v>
      </c>
    </row>
    <row r="406">
      <c r="A406" s="37" t="inlineStr">
        <is>
          <t>105年</t>
        </is>
      </c>
      <c r="B406" s="37" t="inlineStr">
        <is>
          <t>11月</t>
        </is>
      </c>
      <c r="C406" s="36" t="inlineStr">
        <is>
          <t>百貨</t>
        </is>
      </c>
      <c r="D406" s="37" t="n">
        <v>4011316</v>
      </c>
      <c r="E406" s="37" t="n">
        <v>12294551277</v>
      </c>
      <c r="F406" s="37" t="n">
        <v>1735443</v>
      </c>
      <c r="G406" s="37" t="n">
        <v>5576027801</v>
      </c>
      <c r="H406" s="37" t="n">
        <v>591460</v>
      </c>
      <c r="I406" s="37" t="n">
        <v>2068591722</v>
      </c>
      <c r="J406" s="37" t="n">
        <v>352963</v>
      </c>
      <c r="K406" s="37" t="n">
        <v>1399222100</v>
      </c>
      <c r="L406" s="37" t="n">
        <v>143421</v>
      </c>
      <c r="M406" s="37" t="n">
        <v>624843912</v>
      </c>
      <c r="N406" s="37" t="n">
        <v>120669</v>
      </c>
      <c r="O406" s="37" t="n">
        <v>557669757</v>
      </c>
      <c r="P406" s="37" t="n">
        <v>64424</v>
      </c>
      <c r="Q406" s="37" t="n">
        <v>306066033</v>
      </c>
      <c r="R406" s="37" t="n">
        <v>266370</v>
      </c>
      <c r="S406" s="37" t="n">
        <v>1798748370</v>
      </c>
    </row>
    <row r="407">
      <c r="A407" s="37" t="inlineStr">
        <is>
          <t>105年</t>
        </is>
      </c>
      <c r="B407" s="37" t="inlineStr">
        <is>
          <t>12月</t>
        </is>
      </c>
      <c r="C407" s="36" t="inlineStr">
        <is>
          <t>百貨</t>
        </is>
      </c>
      <c r="D407" s="37" t="n">
        <v>3977368</v>
      </c>
      <c r="E407" s="37" t="n">
        <v>10040390044</v>
      </c>
      <c r="F407" s="37" t="n">
        <v>1776092</v>
      </c>
      <c r="G407" s="37" t="n">
        <v>4764711704</v>
      </c>
      <c r="H407" s="37" t="n">
        <v>619335</v>
      </c>
      <c r="I407" s="37" t="n">
        <v>1760293622</v>
      </c>
      <c r="J407" s="37" t="n">
        <v>367666</v>
      </c>
      <c r="K407" s="37" t="n">
        <v>1209622682</v>
      </c>
      <c r="L407" s="37" t="n">
        <v>147703</v>
      </c>
      <c r="M407" s="37" t="n">
        <v>528420741</v>
      </c>
      <c r="N407" s="37" t="n">
        <v>120768</v>
      </c>
      <c r="O407" s="37" t="n">
        <v>444741678</v>
      </c>
      <c r="P407" s="37" t="n">
        <v>66122</v>
      </c>
      <c r="Q407" s="37" t="n">
        <v>247629559</v>
      </c>
      <c r="R407" s="37" t="n">
        <v>272903</v>
      </c>
      <c r="S407" s="37" t="n">
        <v>1441592319</v>
      </c>
    </row>
    <row r="408">
      <c r="A408" s="37" t="inlineStr">
        <is>
          <t>106年</t>
        </is>
      </c>
      <c r="B408" s="37" t="inlineStr">
        <is>
          <t>01月</t>
        </is>
      </c>
      <c r="C408" s="36" t="inlineStr">
        <is>
          <t>百貨</t>
        </is>
      </c>
      <c r="D408" s="37" t="n">
        <v>3770649</v>
      </c>
      <c r="E408" s="37" t="n">
        <v>9935216045</v>
      </c>
      <c r="F408" s="37" t="n">
        <v>1690045</v>
      </c>
      <c r="G408" s="37" t="n">
        <v>4747458946</v>
      </c>
      <c r="H408" s="37" t="n">
        <v>594212</v>
      </c>
      <c r="I408" s="37" t="n">
        <v>1774866170</v>
      </c>
      <c r="J408" s="37" t="n">
        <v>363261</v>
      </c>
      <c r="K408" s="37" t="n">
        <v>1239887562</v>
      </c>
      <c r="L408" s="37" t="n">
        <v>144525</v>
      </c>
      <c r="M408" s="37" t="n">
        <v>514231015</v>
      </c>
      <c r="N408" s="37" t="n">
        <v>118399</v>
      </c>
      <c r="O408" s="37" t="n">
        <v>442803185</v>
      </c>
      <c r="P408" s="37" t="n">
        <v>62828</v>
      </c>
      <c r="Q408" s="37" t="n">
        <v>247185840</v>
      </c>
      <c r="R408" s="37" t="n">
        <v>273660</v>
      </c>
      <c r="S408" s="37" t="n">
        <v>1437500796</v>
      </c>
    </row>
    <row r="409">
      <c r="A409" s="37" t="inlineStr">
        <is>
          <t>106年</t>
        </is>
      </c>
      <c r="B409" s="37" t="inlineStr">
        <is>
          <t>02月</t>
        </is>
      </c>
      <c r="C409" s="36" t="inlineStr">
        <is>
          <t>百貨</t>
        </is>
      </c>
      <c r="D409" s="37" t="n">
        <v>3070177</v>
      </c>
      <c r="E409" s="37" t="n">
        <v>7515609223</v>
      </c>
      <c r="F409" s="37" t="n">
        <v>1358348</v>
      </c>
      <c r="G409" s="37" t="n">
        <v>3555321297</v>
      </c>
      <c r="H409" s="37" t="n">
        <v>481325</v>
      </c>
      <c r="I409" s="37" t="n">
        <v>1343134334</v>
      </c>
      <c r="J409" s="37" t="n">
        <v>293136</v>
      </c>
      <c r="K409" s="37" t="n">
        <v>938190323</v>
      </c>
      <c r="L409" s="37" t="n">
        <v>116033</v>
      </c>
      <c r="M409" s="37" t="n">
        <v>387422582</v>
      </c>
      <c r="N409" s="37" t="n">
        <v>94558</v>
      </c>
      <c r="O409" s="37" t="n">
        <v>333658626</v>
      </c>
      <c r="P409" s="37" t="n">
        <v>50321</v>
      </c>
      <c r="Q409" s="37" t="n">
        <v>180358218</v>
      </c>
      <c r="R409" s="37" t="n">
        <v>220091</v>
      </c>
      <c r="S409" s="37" t="n">
        <v>1104574269</v>
      </c>
    </row>
    <row r="410">
      <c r="A410" s="37" t="inlineStr">
        <is>
          <t>106年</t>
        </is>
      </c>
      <c r="B410" s="37" t="inlineStr">
        <is>
          <t>03月</t>
        </is>
      </c>
      <c r="C410" s="36" t="inlineStr">
        <is>
          <t>百貨</t>
        </is>
      </c>
      <c r="D410" s="37" t="n">
        <v>3014379</v>
      </c>
      <c r="E410" s="37" t="n">
        <v>7645515168</v>
      </c>
      <c r="F410" s="37" t="n">
        <v>1300854</v>
      </c>
      <c r="G410" s="37" t="n">
        <v>3505762791</v>
      </c>
      <c r="H410" s="37" t="n">
        <v>463699</v>
      </c>
      <c r="I410" s="37" t="n">
        <v>1344009485</v>
      </c>
      <c r="J410" s="37" t="n">
        <v>281597</v>
      </c>
      <c r="K410" s="37" t="n">
        <v>931771385</v>
      </c>
      <c r="L410" s="37" t="n">
        <v>112253</v>
      </c>
      <c r="M410" s="37" t="n">
        <v>394866311</v>
      </c>
      <c r="N410" s="37" t="n">
        <v>92033</v>
      </c>
      <c r="O410" s="37" t="n">
        <v>337058119</v>
      </c>
      <c r="P410" s="37" t="n">
        <v>50358</v>
      </c>
      <c r="Q410" s="37" t="n">
        <v>188312200</v>
      </c>
      <c r="R410" s="37" t="n">
        <v>218078</v>
      </c>
      <c r="S410" s="37" t="n">
        <v>1167228944</v>
      </c>
    </row>
    <row r="411">
      <c r="A411" s="37" t="inlineStr">
        <is>
          <t>106年</t>
        </is>
      </c>
      <c r="B411" s="37" t="inlineStr">
        <is>
          <t>04月</t>
        </is>
      </c>
      <c r="C411" s="36" t="inlineStr">
        <is>
          <t>百貨</t>
        </is>
      </c>
      <c r="D411" s="37" t="n">
        <v>3449181</v>
      </c>
      <c r="E411" s="37" t="n">
        <v>9253447801</v>
      </c>
      <c r="F411" s="37" t="n">
        <v>1516570</v>
      </c>
      <c r="G411" s="37" t="n">
        <v>4429566573</v>
      </c>
      <c r="H411" s="37" t="n">
        <v>543555</v>
      </c>
      <c r="I411" s="37" t="n">
        <v>1686636730</v>
      </c>
      <c r="J411" s="37" t="n">
        <v>324435</v>
      </c>
      <c r="K411" s="37" t="n">
        <v>1155916341</v>
      </c>
      <c r="L411" s="37" t="n">
        <v>128852</v>
      </c>
      <c r="M411" s="37" t="n">
        <v>479148910</v>
      </c>
      <c r="N411" s="37" t="n">
        <v>104856</v>
      </c>
      <c r="O411" s="37" t="n">
        <v>420832257</v>
      </c>
      <c r="P411" s="37" t="n">
        <v>58131</v>
      </c>
      <c r="Q411" s="37" t="n">
        <v>237687719</v>
      </c>
      <c r="R411" s="37" t="n">
        <v>245857</v>
      </c>
      <c r="S411" s="37" t="n">
        <v>1400696209</v>
      </c>
    </row>
    <row r="412">
      <c r="A412" s="37" t="inlineStr">
        <is>
          <t>106年</t>
        </is>
      </c>
      <c r="B412" s="37" t="inlineStr">
        <is>
          <t>05月</t>
        </is>
      </c>
      <c r="C412" s="36" t="inlineStr">
        <is>
          <t>百貨</t>
        </is>
      </c>
      <c r="D412" s="37" t="n">
        <v>3484925</v>
      </c>
      <c r="E412" s="37" t="n">
        <v>8623625144</v>
      </c>
      <c r="F412" s="37" t="n">
        <v>1497410</v>
      </c>
      <c r="G412" s="37" t="n">
        <v>3970237829</v>
      </c>
      <c r="H412" s="37" t="n">
        <v>538381</v>
      </c>
      <c r="I412" s="37" t="n">
        <v>1529343047</v>
      </c>
      <c r="J412" s="37" t="n">
        <v>327048</v>
      </c>
      <c r="K412" s="37" t="n">
        <v>1067993600</v>
      </c>
      <c r="L412" s="37" t="n">
        <v>130319</v>
      </c>
      <c r="M412" s="37" t="n">
        <v>454532265</v>
      </c>
      <c r="N412" s="37" t="n">
        <v>106685</v>
      </c>
      <c r="O412" s="37" t="n">
        <v>374276004</v>
      </c>
      <c r="P412" s="37" t="n">
        <v>58377</v>
      </c>
      <c r="Q412" s="37" t="n">
        <v>221731538</v>
      </c>
      <c r="R412" s="37" t="n">
        <v>257188</v>
      </c>
      <c r="S412" s="37" t="n">
        <v>1362759380</v>
      </c>
    </row>
    <row r="413">
      <c r="A413" s="37" t="inlineStr">
        <is>
          <t>106年</t>
        </is>
      </c>
      <c r="B413" s="37" t="inlineStr">
        <is>
          <t>06月</t>
        </is>
      </c>
      <c r="C413" s="36" t="inlineStr">
        <is>
          <t>百貨</t>
        </is>
      </c>
      <c r="D413" s="37" t="n">
        <v>3181925</v>
      </c>
      <c r="E413" s="37" t="n">
        <v>7109278036</v>
      </c>
      <c r="F413" s="37" t="n">
        <v>1390288</v>
      </c>
      <c r="G413" s="37" t="n">
        <v>3361321161</v>
      </c>
      <c r="H413" s="37" t="n">
        <v>484903</v>
      </c>
      <c r="I413" s="37" t="n">
        <v>1254097928</v>
      </c>
      <c r="J413" s="37" t="n">
        <v>296829</v>
      </c>
      <c r="K413" s="37" t="n">
        <v>886379242</v>
      </c>
      <c r="L413" s="37" t="n">
        <v>117094</v>
      </c>
      <c r="M413" s="37" t="n">
        <v>361734061</v>
      </c>
      <c r="N413" s="37" t="n">
        <v>97788</v>
      </c>
      <c r="O413" s="37" t="n">
        <v>326369408</v>
      </c>
      <c r="P413" s="37" t="n">
        <v>52624</v>
      </c>
      <c r="Q413" s="37" t="n">
        <v>191521427</v>
      </c>
      <c r="R413" s="37" t="n">
        <v>235774</v>
      </c>
      <c r="S413" s="37" t="n">
        <v>1194426128</v>
      </c>
    </row>
    <row r="414">
      <c r="A414" s="37" t="inlineStr">
        <is>
          <t>106年</t>
        </is>
      </c>
      <c r="B414" s="37" t="inlineStr">
        <is>
          <t>07月</t>
        </is>
      </c>
      <c r="C414" s="36" t="inlineStr">
        <is>
          <t>百貨</t>
        </is>
      </c>
      <c r="D414" s="37" t="n">
        <v>3533805</v>
      </c>
      <c r="E414" s="37" t="n">
        <v>7936443699</v>
      </c>
      <c r="F414" s="37" t="n">
        <v>1577533</v>
      </c>
      <c r="G414" s="37" t="n">
        <v>3819556217</v>
      </c>
      <c r="H414" s="37" t="n">
        <v>553561</v>
      </c>
      <c r="I414" s="37" t="n">
        <v>1435077617</v>
      </c>
      <c r="J414" s="37" t="n">
        <v>335373</v>
      </c>
      <c r="K414" s="37" t="n">
        <v>1005096739</v>
      </c>
      <c r="L414" s="37" t="n">
        <v>131862</v>
      </c>
      <c r="M414" s="37" t="n">
        <v>407716400</v>
      </c>
      <c r="N414" s="37" t="n">
        <v>108304</v>
      </c>
      <c r="O414" s="37" t="n">
        <v>355002408</v>
      </c>
      <c r="P414" s="37" t="n">
        <v>58116</v>
      </c>
      <c r="Q414" s="37" t="n">
        <v>199212595</v>
      </c>
      <c r="R414" s="37" t="n">
        <v>259338</v>
      </c>
      <c r="S414" s="37" t="n">
        <v>1235406703</v>
      </c>
    </row>
    <row r="415">
      <c r="A415" s="37" t="inlineStr">
        <is>
          <t>106年</t>
        </is>
      </c>
      <c r="B415" s="37" t="inlineStr">
        <is>
          <t>08月</t>
        </is>
      </c>
      <c r="C415" s="36" t="inlineStr">
        <is>
          <t>百貨</t>
        </is>
      </c>
      <c r="D415" s="37" t="n">
        <v>3422210</v>
      </c>
      <c r="E415" s="37" t="n">
        <v>7460988209</v>
      </c>
      <c r="F415" s="37" t="n">
        <v>1504690</v>
      </c>
      <c r="G415" s="37" t="n">
        <v>3549009043</v>
      </c>
      <c r="H415" s="37" t="n">
        <v>527275</v>
      </c>
      <c r="I415" s="37" t="n">
        <v>1320866443</v>
      </c>
      <c r="J415" s="37" t="n">
        <v>320443</v>
      </c>
      <c r="K415" s="37" t="n">
        <v>926697144</v>
      </c>
      <c r="L415" s="37" t="n">
        <v>125249</v>
      </c>
      <c r="M415" s="37" t="n">
        <v>388179821</v>
      </c>
      <c r="N415" s="37" t="n">
        <v>103006</v>
      </c>
      <c r="O415" s="37" t="n">
        <v>323966383</v>
      </c>
      <c r="P415" s="37" t="n">
        <v>56183</v>
      </c>
      <c r="Q415" s="37" t="n">
        <v>185317855</v>
      </c>
      <c r="R415" s="37" t="n">
        <v>248654</v>
      </c>
      <c r="S415" s="37" t="n">
        <v>1111005297</v>
      </c>
    </row>
    <row r="416">
      <c r="A416" s="37" t="inlineStr">
        <is>
          <t>106年</t>
        </is>
      </c>
      <c r="B416" s="37" t="inlineStr">
        <is>
          <t>09月</t>
        </is>
      </c>
      <c r="C416" s="36" t="inlineStr">
        <is>
          <t>百貨</t>
        </is>
      </c>
      <c r="D416" s="37" t="n">
        <v>3066187</v>
      </c>
      <c r="E416" s="37" t="n">
        <v>7984088813</v>
      </c>
      <c r="F416" s="37" t="n">
        <v>1328128</v>
      </c>
      <c r="G416" s="37" t="n">
        <v>3801759978</v>
      </c>
      <c r="H416" s="37" t="n">
        <v>467401</v>
      </c>
      <c r="I416" s="37" t="n">
        <v>1409349805</v>
      </c>
      <c r="J416" s="37" t="n">
        <v>285867</v>
      </c>
      <c r="K416" s="37" t="n">
        <v>1005981444</v>
      </c>
      <c r="L416" s="37" t="n">
        <v>113486</v>
      </c>
      <c r="M416" s="37" t="n">
        <v>429693226</v>
      </c>
      <c r="N416" s="37" t="n">
        <v>93802</v>
      </c>
      <c r="O416" s="37" t="n">
        <v>356991837</v>
      </c>
      <c r="P416" s="37" t="n">
        <v>51363</v>
      </c>
      <c r="Q416" s="37" t="n">
        <v>220397719</v>
      </c>
      <c r="R416" s="37" t="n">
        <v>225801</v>
      </c>
      <c r="S416" s="37" t="n">
        <v>1298511198</v>
      </c>
    </row>
    <row r="417">
      <c r="A417" s="37" t="inlineStr">
        <is>
          <t>106年</t>
        </is>
      </c>
      <c r="B417" s="37" t="inlineStr">
        <is>
          <t>10月</t>
        </is>
      </c>
      <c r="C417" s="36" t="inlineStr">
        <is>
          <t>百貨</t>
        </is>
      </c>
      <c r="D417" s="37" t="n">
        <v>4127565</v>
      </c>
      <c r="E417" s="37" t="n">
        <v>12576518313</v>
      </c>
      <c r="F417" s="37" t="n">
        <v>1831736</v>
      </c>
      <c r="G417" s="37" t="n">
        <v>6124968414</v>
      </c>
      <c r="H417" s="37" t="n">
        <v>621909</v>
      </c>
      <c r="I417" s="37" t="n">
        <v>2190857007</v>
      </c>
      <c r="J417" s="37" t="n">
        <v>379039</v>
      </c>
      <c r="K417" s="37" t="n">
        <v>1580523770</v>
      </c>
      <c r="L417" s="37" t="n">
        <v>146939</v>
      </c>
      <c r="M417" s="37" t="n">
        <v>627695677</v>
      </c>
      <c r="N417" s="37" t="n">
        <v>121025</v>
      </c>
      <c r="O417" s="37" t="n">
        <v>528370730</v>
      </c>
      <c r="P417" s="37" t="n">
        <v>66487</v>
      </c>
      <c r="Q417" s="37" t="n">
        <v>307722925</v>
      </c>
      <c r="R417" s="37" t="n">
        <v>288333</v>
      </c>
      <c r="S417" s="37" t="n">
        <v>1868045948</v>
      </c>
    </row>
    <row r="418">
      <c r="A418" s="37" t="inlineStr">
        <is>
          <t>106年</t>
        </is>
      </c>
      <c r="B418" s="37" t="inlineStr">
        <is>
          <t>11月</t>
        </is>
      </c>
      <c r="C418" s="36" t="inlineStr">
        <is>
          <t>百貨</t>
        </is>
      </c>
      <c r="D418" s="37" t="n">
        <v>4122374</v>
      </c>
      <c r="E418" s="37" t="n">
        <v>12974174813</v>
      </c>
      <c r="F418" s="37" t="n">
        <v>1734404</v>
      </c>
      <c r="G418" s="37" t="n">
        <v>5762662717</v>
      </c>
      <c r="H418" s="37" t="n">
        <v>602319</v>
      </c>
      <c r="I418" s="37" t="n">
        <v>2170305754</v>
      </c>
      <c r="J418" s="37" t="n">
        <v>365591</v>
      </c>
      <c r="K418" s="37" t="n">
        <v>1517334037</v>
      </c>
      <c r="L418" s="37" t="n">
        <v>145564</v>
      </c>
      <c r="M418" s="37" t="n">
        <v>649463115</v>
      </c>
      <c r="N418" s="37" t="n">
        <v>123015</v>
      </c>
      <c r="O418" s="37" t="n">
        <v>580596045</v>
      </c>
      <c r="P418" s="37" t="n">
        <v>67687</v>
      </c>
      <c r="Q418" s="37" t="n">
        <v>337019874</v>
      </c>
      <c r="R418" s="37" t="n">
        <v>287683</v>
      </c>
      <c r="S418" s="37" t="n">
        <v>2021007492</v>
      </c>
    </row>
    <row r="419">
      <c r="A419" s="37" t="inlineStr">
        <is>
          <t>106年</t>
        </is>
      </c>
      <c r="B419" s="37" t="inlineStr">
        <is>
          <t>12月</t>
        </is>
      </c>
      <c r="C419" s="36" t="inlineStr">
        <is>
          <t>百貨</t>
        </is>
      </c>
      <c r="D419" s="37" t="n">
        <v>4041294</v>
      </c>
      <c r="E419" s="37" t="n">
        <v>10129275209</v>
      </c>
      <c r="F419" s="37" t="n">
        <v>1764345</v>
      </c>
      <c r="G419" s="37" t="n">
        <v>4712744764</v>
      </c>
      <c r="H419" s="37" t="n">
        <v>618221</v>
      </c>
      <c r="I419" s="37" t="n">
        <v>1765802831</v>
      </c>
      <c r="J419" s="37" t="n">
        <v>374218</v>
      </c>
      <c r="K419" s="37" t="n">
        <v>1219180790</v>
      </c>
      <c r="L419" s="37" t="n">
        <v>147317</v>
      </c>
      <c r="M419" s="37" t="n">
        <v>514818016</v>
      </c>
      <c r="N419" s="37" t="n">
        <v>121715</v>
      </c>
      <c r="O419" s="37" t="n">
        <v>456991268</v>
      </c>
      <c r="P419" s="37" t="n">
        <v>67944</v>
      </c>
      <c r="Q419" s="37" t="n">
        <v>258559934</v>
      </c>
      <c r="R419" s="37" t="n">
        <v>290711</v>
      </c>
      <c r="S419" s="37" t="n">
        <v>1531290101</v>
      </c>
    </row>
    <row r="420">
      <c r="A420" s="37" t="inlineStr">
        <is>
          <t>107年</t>
        </is>
      </c>
      <c r="B420" s="37" t="inlineStr">
        <is>
          <t>01月</t>
        </is>
      </c>
      <c r="C420" s="36" t="inlineStr">
        <is>
          <t>百貨</t>
        </is>
      </c>
      <c r="D420" s="37" t="n">
        <v>3080845</v>
      </c>
      <c r="E420" s="37" t="n">
        <v>7728802030</v>
      </c>
      <c r="F420" s="37" t="n">
        <v>1381505</v>
      </c>
      <c r="G420" s="37" t="n">
        <v>3671068034</v>
      </c>
      <c r="H420" s="37" t="n">
        <v>485775</v>
      </c>
      <c r="I420" s="37" t="n">
        <v>1382839199</v>
      </c>
      <c r="J420" s="37" t="n">
        <v>300699</v>
      </c>
      <c r="K420" s="37" t="n">
        <v>1006864598</v>
      </c>
      <c r="L420" s="37" t="n">
        <v>115475</v>
      </c>
      <c r="M420" s="37" t="n">
        <v>408588322</v>
      </c>
      <c r="N420" s="37" t="n">
        <v>95859</v>
      </c>
      <c r="O420" s="37" t="n">
        <v>359852525</v>
      </c>
      <c r="P420" s="37" t="n">
        <v>53247</v>
      </c>
      <c r="Q420" s="37" t="n">
        <v>199568822</v>
      </c>
      <c r="R420" s="37" t="n">
        <v>232229</v>
      </c>
      <c r="S420" s="37" t="n">
        <v>1206428073</v>
      </c>
    </row>
    <row r="421">
      <c r="A421" s="37" t="inlineStr">
        <is>
          <t>107年</t>
        </is>
      </c>
      <c r="B421" s="37" t="inlineStr">
        <is>
          <t>02月</t>
        </is>
      </c>
      <c r="C421" s="36" t="inlineStr">
        <is>
          <t>百貨</t>
        </is>
      </c>
      <c r="D421" s="37" t="n">
        <v>3684460</v>
      </c>
      <c r="E421" s="37" t="n">
        <v>9637339742</v>
      </c>
      <c r="F421" s="37" t="n">
        <v>1659153</v>
      </c>
      <c r="G421" s="37" t="n">
        <v>4647505240</v>
      </c>
      <c r="H421" s="37" t="n">
        <v>585567</v>
      </c>
      <c r="I421" s="37" t="n">
        <v>1710757169</v>
      </c>
      <c r="J421" s="37" t="n">
        <v>357395</v>
      </c>
      <c r="K421" s="37" t="n">
        <v>1213909566</v>
      </c>
      <c r="L421" s="37" t="n">
        <v>138553</v>
      </c>
      <c r="M421" s="37" t="n">
        <v>495812917</v>
      </c>
      <c r="N421" s="37" t="n">
        <v>113175</v>
      </c>
      <c r="O421" s="37" t="n">
        <v>426409070</v>
      </c>
      <c r="P421" s="37" t="n">
        <v>62342</v>
      </c>
      <c r="Q421" s="37" t="n">
        <v>232809715</v>
      </c>
      <c r="R421" s="37" t="n">
        <v>266641</v>
      </c>
      <c r="S421" s="37" t="n">
        <v>1371940045</v>
      </c>
    </row>
    <row r="422">
      <c r="A422" s="37" t="inlineStr">
        <is>
          <t>107年</t>
        </is>
      </c>
      <c r="B422" s="37" t="inlineStr">
        <is>
          <t>03月</t>
        </is>
      </c>
      <c r="C422" s="36" t="inlineStr">
        <is>
          <t>百貨</t>
        </is>
      </c>
      <c r="D422" s="37" t="n">
        <v>3132178</v>
      </c>
      <c r="E422" s="37" t="n">
        <v>8033223335</v>
      </c>
      <c r="F422" s="37" t="n">
        <v>1340412</v>
      </c>
      <c r="G422" s="37" t="n">
        <v>3725944408</v>
      </c>
      <c r="H422" s="37" t="n">
        <v>470547</v>
      </c>
      <c r="I422" s="37" t="n">
        <v>1386656216</v>
      </c>
      <c r="J422" s="37" t="n">
        <v>287908</v>
      </c>
      <c r="K422" s="37" t="n">
        <v>1001330037</v>
      </c>
      <c r="L422" s="37" t="n">
        <v>111990</v>
      </c>
      <c r="M422" s="37" t="n">
        <v>397462171</v>
      </c>
      <c r="N422" s="37" t="n">
        <v>92669</v>
      </c>
      <c r="O422" s="37" t="n">
        <v>359809928</v>
      </c>
      <c r="P422" s="37" t="n">
        <v>52512</v>
      </c>
      <c r="Q422" s="37" t="n">
        <v>199701060</v>
      </c>
      <c r="R422" s="37" t="n">
        <v>226622</v>
      </c>
      <c r="S422" s="37" t="n">
        <v>1244201976</v>
      </c>
    </row>
    <row r="423">
      <c r="A423" s="37" t="inlineStr">
        <is>
          <t>107年</t>
        </is>
      </c>
      <c r="B423" s="37" t="inlineStr">
        <is>
          <t>04月</t>
        </is>
      </c>
      <c r="C423" s="36" t="inlineStr">
        <is>
          <t>百貨</t>
        </is>
      </c>
      <c r="D423" s="37" t="n">
        <v>3524640</v>
      </c>
      <c r="E423" s="37" t="n">
        <v>9414675261</v>
      </c>
      <c r="F423" s="37" t="n">
        <v>1523405</v>
      </c>
      <c r="G423" s="37" t="n">
        <v>4437839551</v>
      </c>
      <c r="H423" s="37" t="n">
        <v>540926</v>
      </c>
      <c r="I423" s="37" t="n">
        <v>1637443629</v>
      </c>
      <c r="J423" s="37" t="n">
        <v>331327</v>
      </c>
      <c r="K423" s="37" t="n">
        <v>1156565751</v>
      </c>
      <c r="L423" s="37" t="n">
        <v>130705</v>
      </c>
      <c r="M423" s="37" t="n">
        <v>495275864</v>
      </c>
      <c r="N423" s="37" t="n">
        <v>108990</v>
      </c>
      <c r="O423" s="37" t="n">
        <v>421423633</v>
      </c>
      <c r="P423" s="37" t="n">
        <v>60263</v>
      </c>
      <c r="Q423" s="37" t="n">
        <v>227646759</v>
      </c>
      <c r="R423" s="37" t="n">
        <v>259421</v>
      </c>
      <c r="S423" s="37" t="n">
        <v>1414715286</v>
      </c>
    </row>
    <row r="424">
      <c r="A424" s="37" t="inlineStr">
        <is>
          <t>107年</t>
        </is>
      </c>
      <c r="B424" s="37" t="inlineStr">
        <is>
          <t>05月</t>
        </is>
      </c>
      <c r="C424" s="36" t="inlineStr">
        <is>
          <t>百貨</t>
        </is>
      </c>
      <c r="D424" s="37" t="n">
        <v>3726982</v>
      </c>
      <c r="E424" s="37" t="n">
        <v>9314982672</v>
      </c>
      <c r="F424" s="37" t="n">
        <v>1565489</v>
      </c>
      <c r="G424" s="37" t="n">
        <v>4269848712</v>
      </c>
      <c r="H424" s="37" t="n">
        <v>561858</v>
      </c>
      <c r="I424" s="37" t="n">
        <v>1626537326</v>
      </c>
      <c r="J424" s="37" t="n">
        <v>340081</v>
      </c>
      <c r="K424" s="37" t="n">
        <v>1131260269</v>
      </c>
      <c r="L424" s="37" t="n">
        <v>139114</v>
      </c>
      <c r="M424" s="37" t="n">
        <v>484687688</v>
      </c>
      <c r="N424" s="37" t="n">
        <v>116221</v>
      </c>
      <c r="O424" s="37" t="n">
        <v>420351207</v>
      </c>
      <c r="P424" s="37" t="n">
        <v>64857</v>
      </c>
      <c r="Q424" s="37" t="n">
        <v>239817610</v>
      </c>
      <c r="R424" s="37" t="n">
        <v>274841</v>
      </c>
      <c r="S424" s="37" t="n">
        <v>1446383207</v>
      </c>
    </row>
    <row r="425">
      <c r="A425" s="37" t="inlineStr">
        <is>
          <t>107年</t>
        </is>
      </c>
      <c r="B425" s="37" t="inlineStr">
        <is>
          <t>06月</t>
        </is>
      </c>
      <c r="C425" s="36" t="inlineStr">
        <is>
          <t>百貨</t>
        </is>
      </c>
      <c r="D425" s="37" t="n">
        <v>3532064</v>
      </c>
      <c r="E425" s="37" t="n">
        <v>8055095500</v>
      </c>
      <c r="F425" s="37" t="n">
        <v>1517997</v>
      </c>
      <c r="G425" s="37" t="n">
        <v>3779061516</v>
      </c>
      <c r="H425" s="37" t="n">
        <v>552053</v>
      </c>
      <c r="I425" s="37" t="n">
        <v>1441729290</v>
      </c>
      <c r="J425" s="37" t="n">
        <v>333637</v>
      </c>
      <c r="K425" s="37" t="n">
        <v>1018502737</v>
      </c>
      <c r="L425" s="37" t="n">
        <v>137848</v>
      </c>
      <c r="M425" s="37" t="n">
        <v>440381652</v>
      </c>
      <c r="N425" s="37" t="n">
        <v>113759</v>
      </c>
      <c r="O425" s="37" t="n">
        <v>376051187</v>
      </c>
      <c r="P425" s="37" t="n">
        <v>63240</v>
      </c>
      <c r="Q425" s="37" t="n">
        <v>213239143</v>
      </c>
      <c r="R425" s="37" t="n">
        <v>266083</v>
      </c>
      <c r="S425" s="37" t="n">
        <v>1245251641</v>
      </c>
    </row>
    <row r="426">
      <c r="A426" s="37" t="inlineStr">
        <is>
          <t>107年</t>
        </is>
      </c>
      <c r="B426" s="37" t="inlineStr">
        <is>
          <t>07月</t>
        </is>
      </c>
      <c r="C426" s="36" t="inlineStr">
        <is>
          <t>百貨</t>
        </is>
      </c>
      <c r="D426" s="37" t="n">
        <v>3699786</v>
      </c>
      <c r="E426" s="37" t="n">
        <v>8265520893</v>
      </c>
      <c r="F426" s="37" t="n">
        <v>1580998</v>
      </c>
      <c r="G426" s="37" t="n">
        <v>3858004848</v>
      </c>
      <c r="H426" s="37" t="n">
        <v>578083</v>
      </c>
      <c r="I426" s="37" t="n">
        <v>1464187125</v>
      </c>
      <c r="J426" s="37" t="n">
        <v>346131</v>
      </c>
      <c r="K426" s="37" t="n">
        <v>1014009447</v>
      </c>
      <c r="L426" s="37" t="n">
        <v>141536</v>
      </c>
      <c r="M426" s="37" t="n">
        <v>431456999</v>
      </c>
      <c r="N426" s="37" t="n">
        <v>117609</v>
      </c>
      <c r="O426" s="37" t="n">
        <v>389219754</v>
      </c>
      <c r="P426" s="37" t="n">
        <v>66060</v>
      </c>
      <c r="Q426" s="37" t="n">
        <v>209510280</v>
      </c>
      <c r="R426" s="37" t="n">
        <v>276657</v>
      </c>
      <c r="S426" s="37" t="n">
        <v>1226877460</v>
      </c>
    </row>
    <row r="427">
      <c r="A427" s="37" t="inlineStr">
        <is>
          <t>107年</t>
        </is>
      </c>
      <c r="B427" s="37" t="inlineStr">
        <is>
          <t>08月</t>
        </is>
      </c>
      <c r="C427" s="36" t="inlineStr">
        <is>
          <t>百貨</t>
        </is>
      </c>
      <c r="D427" s="37" t="n">
        <v>3591307</v>
      </c>
      <c r="E427" s="37" t="n">
        <v>7948533050</v>
      </c>
      <c r="F427" s="37" t="n">
        <v>1557017</v>
      </c>
      <c r="G427" s="37" t="n">
        <v>3796760336</v>
      </c>
      <c r="H427" s="37" t="n">
        <v>565858</v>
      </c>
      <c r="I427" s="37" t="n">
        <v>1437497684</v>
      </c>
      <c r="J427" s="37" t="n">
        <v>337217</v>
      </c>
      <c r="K427" s="37" t="n">
        <v>979016571</v>
      </c>
      <c r="L427" s="37" t="n">
        <v>137301</v>
      </c>
      <c r="M427" s="37" t="n">
        <v>420671208</v>
      </c>
      <c r="N427" s="37" t="n">
        <v>113795</v>
      </c>
      <c r="O427" s="37" t="n">
        <v>360027956</v>
      </c>
      <c r="P427" s="37" t="n">
        <v>64234</v>
      </c>
      <c r="Q427" s="37" t="n">
        <v>207860889</v>
      </c>
      <c r="R427" s="37" t="n">
        <v>269873</v>
      </c>
      <c r="S427" s="37" t="n">
        <v>1191562796</v>
      </c>
    </row>
    <row r="428">
      <c r="A428" s="37" t="inlineStr">
        <is>
          <t>107年</t>
        </is>
      </c>
      <c r="B428" s="37" t="inlineStr">
        <is>
          <t>09月</t>
        </is>
      </c>
      <c r="C428" s="36" t="inlineStr">
        <is>
          <t>百貨</t>
        </is>
      </c>
      <c r="D428" s="37" t="n">
        <v>3550605</v>
      </c>
      <c r="E428" s="37" t="n">
        <v>9288637243</v>
      </c>
      <c r="F428" s="37" t="n">
        <v>1502740</v>
      </c>
      <c r="G428" s="37" t="n">
        <v>4303840610</v>
      </c>
      <c r="H428" s="37" t="n">
        <v>549039</v>
      </c>
      <c r="I428" s="37" t="n">
        <v>1622493193</v>
      </c>
      <c r="J428" s="37" t="n">
        <v>327669</v>
      </c>
      <c r="K428" s="37" t="n">
        <v>1127821310</v>
      </c>
      <c r="L428" s="37" t="n">
        <v>136310</v>
      </c>
      <c r="M428" s="37" t="n">
        <v>485274925</v>
      </c>
      <c r="N428" s="37" t="n">
        <v>113051</v>
      </c>
      <c r="O428" s="37" t="n">
        <v>428240704</v>
      </c>
      <c r="P428" s="37" t="n">
        <v>64148</v>
      </c>
      <c r="Q428" s="37" t="n">
        <v>251694463</v>
      </c>
      <c r="R428" s="37" t="n">
        <v>266069</v>
      </c>
      <c r="S428" s="37" t="n">
        <v>1374943402</v>
      </c>
    </row>
    <row r="429">
      <c r="A429" s="37" t="inlineStr">
        <is>
          <t>107年</t>
        </is>
      </c>
      <c r="B429" s="37" t="inlineStr">
        <is>
          <t>10月</t>
        </is>
      </c>
      <c r="C429" s="36" t="inlineStr">
        <is>
          <t>百貨</t>
        </is>
      </c>
      <c r="D429" s="37" t="n">
        <v>3623812</v>
      </c>
      <c r="E429" s="37" t="n">
        <v>10909198651</v>
      </c>
      <c r="F429" s="37" t="n">
        <v>1600448</v>
      </c>
      <c r="G429" s="37" t="n">
        <v>5410587907</v>
      </c>
      <c r="H429" s="37" t="n">
        <v>551778</v>
      </c>
      <c r="I429" s="37" t="n">
        <v>1935412265</v>
      </c>
      <c r="J429" s="37" t="n">
        <v>321824</v>
      </c>
      <c r="K429" s="37" t="n">
        <v>1344511495</v>
      </c>
      <c r="L429" s="37" t="n">
        <v>132985</v>
      </c>
      <c r="M429" s="37" t="n">
        <v>572136383</v>
      </c>
      <c r="N429" s="37" t="n">
        <v>106669</v>
      </c>
      <c r="O429" s="37" t="n">
        <v>479443859</v>
      </c>
      <c r="P429" s="37" t="n">
        <v>61583</v>
      </c>
      <c r="Q429" s="37" t="n">
        <v>293912005</v>
      </c>
      <c r="R429" s="37" t="n">
        <v>249190</v>
      </c>
      <c r="S429" s="37" t="n">
        <v>1559464794</v>
      </c>
    </row>
    <row r="430">
      <c r="A430" s="37" t="inlineStr">
        <is>
          <t>107年</t>
        </is>
      </c>
      <c r="B430" s="37" t="inlineStr">
        <is>
          <t>11月</t>
        </is>
      </c>
      <c r="C430" s="36" t="inlineStr">
        <is>
          <t>百貨</t>
        </is>
      </c>
      <c r="D430" s="37" t="n">
        <v>4382936</v>
      </c>
      <c r="E430" s="37" t="n">
        <v>13246271272</v>
      </c>
      <c r="F430" s="37" t="n">
        <v>1798218</v>
      </c>
      <c r="G430" s="37" t="n">
        <v>5887899384</v>
      </c>
      <c r="H430" s="37" t="n">
        <v>643633</v>
      </c>
      <c r="I430" s="37" t="n">
        <v>2263787660</v>
      </c>
      <c r="J430" s="37" t="n">
        <v>379148</v>
      </c>
      <c r="K430" s="37" t="n">
        <v>1545659265</v>
      </c>
      <c r="L430" s="37" t="n">
        <v>158426</v>
      </c>
      <c r="M430" s="37" t="n">
        <v>681264237</v>
      </c>
      <c r="N430" s="37" t="n">
        <v>132928</v>
      </c>
      <c r="O430" s="37" t="n">
        <v>627342555</v>
      </c>
      <c r="P430" s="37" t="n">
        <v>75749</v>
      </c>
      <c r="Q430" s="37" t="n">
        <v>361270572</v>
      </c>
      <c r="R430" s="37" t="n">
        <v>307834</v>
      </c>
      <c r="S430" s="37" t="n">
        <v>1919265250</v>
      </c>
    </row>
    <row r="431">
      <c r="A431" s="37" t="inlineStr">
        <is>
          <t>107年</t>
        </is>
      </c>
      <c r="B431" s="37" t="inlineStr">
        <is>
          <t>12月</t>
        </is>
      </c>
      <c r="C431" s="36" t="inlineStr">
        <is>
          <t>百貨</t>
        </is>
      </c>
      <c r="D431" s="37" t="n">
        <v>4498847</v>
      </c>
      <c r="E431" s="37" t="n">
        <v>10913632876</v>
      </c>
      <c r="F431" s="37" t="n">
        <v>1905359</v>
      </c>
      <c r="G431" s="37" t="n">
        <v>4959024578</v>
      </c>
      <c r="H431" s="37" t="n">
        <v>695145</v>
      </c>
      <c r="I431" s="37" t="n">
        <v>1945897699</v>
      </c>
      <c r="J431" s="37" t="n">
        <v>405435</v>
      </c>
      <c r="K431" s="37" t="n">
        <v>1277538439</v>
      </c>
      <c r="L431" s="37" t="n">
        <v>171129</v>
      </c>
      <c r="M431" s="37" t="n">
        <v>569810612</v>
      </c>
      <c r="N431" s="37" t="n">
        <v>140852</v>
      </c>
      <c r="O431" s="37" t="n">
        <v>504616557</v>
      </c>
      <c r="P431" s="37" t="n">
        <v>80427</v>
      </c>
      <c r="Q431" s="37" t="n">
        <v>292375435</v>
      </c>
      <c r="R431" s="37" t="n">
        <v>330503</v>
      </c>
      <c r="S431" s="37" t="n">
        <v>1603252289</v>
      </c>
    </row>
    <row r="432">
      <c r="A432" s="37" t="inlineStr">
        <is>
          <t>108年</t>
        </is>
      </c>
      <c r="B432" s="37" t="inlineStr">
        <is>
          <t>01月</t>
        </is>
      </c>
      <c r="C432" s="36" t="inlineStr">
        <is>
          <t>百貨</t>
        </is>
      </c>
      <c r="D432" s="37" t="n">
        <v>3895872</v>
      </c>
      <c r="E432" s="37" t="n">
        <v>9669373127</v>
      </c>
      <c r="F432" s="37" t="n">
        <v>1708009</v>
      </c>
      <c r="G432" s="37" t="n">
        <v>4552140199</v>
      </c>
      <c r="H432" s="37" t="n">
        <v>625909</v>
      </c>
      <c r="I432" s="37" t="n">
        <v>1745861485</v>
      </c>
      <c r="J432" s="37" t="n">
        <v>367400</v>
      </c>
      <c r="K432" s="37" t="n">
        <v>1170166942</v>
      </c>
      <c r="L432" s="37" t="n">
        <v>156489</v>
      </c>
      <c r="M432" s="37" t="n">
        <v>534484287</v>
      </c>
      <c r="N432" s="37" t="n">
        <v>126949</v>
      </c>
      <c r="O432" s="37" t="n">
        <v>449565971</v>
      </c>
      <c r="P432" s="37" t="n">
        <v>71678</v>
      </c>
      <c r="Q432" s="37" t="n">
        <v>257921033</v>
      </c>
      <c r="R432" s="37" t="n">
        <v>304776</v>
      </c>
      <c r="S432" s="37" t="n">
        <v>1477932278</v>
      </c>
    </row>
    <row r="433">
      <c r="A433" s="37" t="inlineStr">
        <is>
          <t>108年</t>
        </is>
      </c>
      <c r="B433" s="37" t="inlineStr">
        <is>
          <t>02月</t>
        </is>
      </c>
      <c r="C433" s="36" t="inlineStr">
        <is>
          <t>百貨</t>
        </is>
      </c>
      <c r="D433" s="37" t="n">
        <v>3369008</v>
      </c>
      <c r="E433" s="37" t="n">
        <v>8221320419</v>
      </c>
      <c r="F433" s="37" t="n">
        <v>1478921</v>
      </c>
      <c r="G433" s="37" t="n">
        <v>3804058221</v>
      </c>
      <c r="H433" s="37" t="n">
        <v>552575</v>
      </c>
      <c r="I433" s="37" t="n">
        <v>1498030771</v>
      </c>
      <c r="J433" s="37" t="n">
        <v>322462</v>
      </c>
      <c r="K433" s="37" t="n">
        <v>977071429</v>
      </c>
      <c r="L433" s="37" t="n">
        <v>139264</v>
      </c>
      <c r="M433" s="37" t="n">
        <v>440303036</v>
      </c>
      <c r="N433" s="37" t="n">
        <v>111521</v>
      </c>
      <c r="O433" s="37" t="n">
        <v>365544217</v>
      </c>
      <c r="P433" s="37" t="n">
        <v>64206</v>
      </c>
      <c r="Q433" s="37" t="n">
        <v>209860758</v>
      </c>
      <c r="R433" s="37" t="n">
        <v>265904</v>
      </c>
      <c r="S433" s="37" t="n">
        <v>1189378560</v>
      </c>
    </row>
    <row r="434">
      <c r="A434" s="37" t="inlineStr">
        <is>
          <t>108年</t>
        </is>
      </c>
      <c r="B434" s="37" t="inlineStr">
        <is>
          <t>03月</t>
        </is>
      </c>
      <c r="C434" s="36" t="inlineStr">
        <is>
          <t>百貨</t>
        </is>
      </c>
      <c r="D434" s="37" t="n">
        <v>3650800</v>
      </c>
      <c r="E434" s="37" t="n">
        <v>9013611397</v>
      </c>
      <c r="F434" s="37" t="n">
        <v>1531058</v>
      </c>
      <c r="G434" s="37" t="n">
        <v>4048150195</v>
      </c>
      <c r="H434" s="37" t="n">
        <v>580670</v>
      </c>
      <c r="I434" s="37" t="n">
        <v>1612880893</v>
      </c>
      <c r="J434" s="37" t="n">
        <v>339678</v>
      </c>
      <c r="K434" s="37" t="n">
        <v>1067142781</v>
      </c>
      <c r="L434" s="37" t="n">
        <v>147523</v>
      </c>
      <c r="M434" s="37" t="n">
        <v>509933168</v>
      </c>
      <c r="N434" s="37" t="n">
        <v>122160</v>
      </c>
      <c r="O434" s="37" t="n">
        <v>435905720</v>
      </c>
      <c r="P434" s="37" t="n">
        <v>69489</v>
      </c>
      <c r="Q434" s="37" t="n">
        <v>240203814</v>
      </c>
      <c r="R434" s="37" t="n">
        <v>298438</v>
      </c>
      <c r="S434" s="37" t="n">
        <v>1388592752</v>
      </c>
    </row>
    <row r="435">
      <c r="A435" s="37" t="inlineStr">
        <is>
          <t>108年</t>
        </is>
      </c>
      <c r="B435" s="37" t="inlineStr">
        <is>
          <t>04月</t>
        </is>
      </c>
      <c r="C435" s="36" t="inlineStr">
        <is>
          <t>百貨</t>
        </is>
      </c>
      <c r="D435" s="37" t="n">
        <v>3530812</v>
      </c>
      <c r="E435" s="37" t="n">
        <v>9216640050</v>
      </c>
      <c r="F435" s="37" t="n">
        <v>1436912</v>
      </c>
      <c r="G435" s="37" t="n">
        <v>4047388244</v>
      </c>
      <c r="H435" s="37" t="n">
        <v>562908</v>
      </c>
      <c r="I435" s="37" t="n">
        <v>1635654072</v>
      </c>
      <c r="J435" s="37" t="n">
        <v>327305</v>
      </c>
      <c r="K435" s="37" t="n">
        <v>1086405323</v>
      </c>
      <c r="L435" s="37" t="n">
        <v>145442</v>
      </c>
      <c r="M435" s="37" t="n">
        <v>531568153</v>
      </c>
      <c r="N435" s="37" t="n">
        <v>120795</v>
      </c>
      <c r="O435" s="37" t="n">
        <v>451672959</v>
      </c>
      <c r="P435" s="37" t="n">
        <v>69058</v>
      </c>
      <c r="Q435" s="37" t="n">
        <v>251683614</v>
      </c>
      <c r="R435" s="37" t="n">
        <v>296522</v>
      </c>
      <c r="S435" s="37" t="n">
        <v>1474501374</v>
      </c>
    </row>
    <row r="436">
      <c r="A436" s="37" t="inlineStr">
        <is>
          <t>108年</t>
        </is>
      </c>
      <c r="B436" s="37" t="inlineStr">
        <is>
          <t>05月</t>
        </is>
      </c>
      <c r="C436" s="36" t="inlineStr">
        <is>
          <t>百貨</t>
        </is>
      </c>
      <c r="D436" s="37" t="n">
        <v>3496729</v>
      </c>
      <c r="E436" s="37" t="n">
        <v>8583298808</v>
      </c>
      <c r="F436" s="37" t="n">
        <v>1430119</v>
      </c>
      <c r="G436" s="37" t="n">
        <v>3747566570</v>
      </c>
      <c r="H436" s="37" t="n">
        <v>566894</v>
      </c>
      <c r="I436" s="37" t="n">
        <v>1594547598</v>
      </c>
      <c r="J436" s="37" t="n">
        <v>328283</v>
      </c>
      <c r="K436" s="37" t="n">
        <v>1038605080</v>
      </c>
      <c r="L436" s="37" t="n">
        <v>148165</v>
      </c>
      <c r="M436" s="37" t="n">
        <v>488304895</v>
      </c>
      <c r="N436" s="37" t="n">
        <v>122242</v>
      </c>
      <c r="O436" s="37" t="n">
        <v>436708775</v>
      </c>
      <c r="P436" s="37" t="n">
        <v>70734</v>
      </c>
      <c r="Q436" s="37" t="n">
        <v>245114819</v>
      </c>
      <c r="R436" s="37" t="n">
        <v>303730</v>
      </c>
      <c r="S436" s="37" t="n">
        <v>1414974145</v>
      </c>
    </row>
    <row r="437">
      <c r="A437" s="37" t="inlineStr">
        <is>
          <t>108年</t>
        </is>
      </c>
      <c r="B437" s="37" t="inlineStr">
        <is>
          <t>06月</t>
        </is>
      </c>
      <c r="C437" s="36" t="inlineStr">
        <is>
          <t>百貨</t>
        </is>
      </c>
      <c r="D437" s="37" t="n">
        <v>3606008</v>
      </c>
      <c r="E437" s="37" t="n">
        <v>8098225031</v>
      </c>
      <c r="F437" s="37" t="n">
        <v>1508106</v>
      </c>
      <c r="G437" s="37" t="n">
        <v>3634016126</v>
      </c>
      <c r="H437" s="37" t="n">
        <v>595165</v>
      </c>
      <c r="I437" s="37" t="n">
        <v>1506346341</v>
      </c>
      <c r="J437" s="37" t="n">
        <v>342610</v>
      </c>
      <c r="K437" s="37" t="n">
        <v>984042493</v>
      </c>
      <c r="L437" s="37" t="n">
        <v>153628</v>
      </c>
      <c r="M437" s="37" t="n">
        <v>455181026</v>
      </c>
      <c r="N437" s="37" t="n">
        <v>125818</v>
      </c>
      <c r="O437" s="37" t="n">
        <v>390455329</v>
      </c>
      <c r="P437" s="37" t="n">
        <v>72869</v>
      </c>
      <c r="Q437" s="37" t="n">
        <v>221925889</v>
      </c>
      <c r="R437" s="37" t="n">
        <v>306209</v>
      </c>
      <c r="S437" s="37" t="n">
        <v>1260772466</v>
      </c>
    </row>
    <row r="438">
      <c r="A438" s="37" t="inlineStr">
        <is>
          <t>108年</t>
        </is>
      </c>
      <c r="B438" s="37" t="inlineStr">
        <is>
          <t>07月</t>
        </is>
      </c>
      <c r="C438" s="36" t="inlineStr">
        <is>
          <t>百貨</t>
        </is>
      </c>
      <c r="D438" s="37" t="n">
        <v>4009288</v>
      </c>
      <c r="E438" s="37" t="n">
        <v>8882690937</v>
      </c>
      <c r="F438" s="37" t="n">
        <v>1703359</v>
      </c>
      <c r="G438" s="37" t="n">
        <v>4096005223</v>
      </c>
      <c r="H438" s="37" t="n">
        <v>666965</v>
      </c>
      <c r="I438" s="37" t="n">
        <v>1673446139</v>
      </c>
      <c r="J438" s="37" t="n">
        <v>383290</v>
      </c>
      <c r="K438" s="37" t="n">
        <v>1103152853</v>
      </c>
      <c r="L438" s="37" t="n">
        <v>168932</v>
      </c>
      <c r="M438" s="37" t="n">
        <v>495769348</v>
      </c>
      <c r="N438" s="37" t="n">
        <v>138674</v>
      </c>
      <c r="O438" s="37" t="n">
        <v>426975009</v>
      </c>
      <c r="P438" s="37" t="n">
        <v>79201</v>
      </c>
      <c r="Q438" s="37" t="n">
        <v>241658820</v>
      </c>
      <c r="R438" s="37" t="n">
        <v>338994</v>
      </c>
      <c r="S438" s="37" t="n">
        <v>1395789754</v>
      </c>
    </row>
    <row r="439">
      <c r="A439" s="37" t="inlineStr">
        <is>
          <t>108年</t>
        </is>
      </c>
      <c r="B439" s="37" t="inlineStr">
        <is>
          <t>08月</t>
        </is>
      </c>
      <c r="C439" s="36" t="inlineStr">
        <is>
          <t>百貨</t>
        </is>
      </c>
      <c r="D439" s="37" t="n">
        <v>4208445</v>
      </c>
      <c r="E439" s="37" t="n">
        <v>9276785750</v>
      </c>
      <c r="F439" s="37" t="n">
        <v>1803183</v>
      </c>
      <c r="G439" s="37" t="n">
        <v>4330684460</v>
      </c>
      <c r="H439" s="37" t="n">
        <v>691496</v>
      </c>
      <c r="I439" s="37" t="n">
        <v>1750123368</v>
      </c>
      <c r="J439" s="37" t="n">
        <v>401850</v>
      </c>
      <c r="K439" s="37" t="n">
        <v>1140806792</v>
      </c>
      <c r="L439" s="37" t="n">
        <v>174478</v>
      </c>
      <c r="M439" s="37" t="n">
        <v>506782356</v>
      </c>
      <c r="N439" s="37" t="n">
        <v>141961</v>
      </c>
      <c r="O439" s="37" t="n">
        <v>436146813</v>
      </c>
      <c r="P439" s="37" t="n">
        <v>81873</v>
      </c>
      <c r="Q439" s="37" t="n">
        <v>273191583</v>
      </c>
      <c r="R439" s="37" t="n">
        <v>354026</v>
      </c>
      <c r="S439" s="37" t="n">
        <v>1481543502</v>
      </c>
    </row>
    <row r="440">
      <c r="A440" s="37" t="inlineStr">
        <is>
          <t>108年</t>
        </is>
      </c>
      <c r="B440" s="37" t="inlineStr">
        <is>
          <t>09月</t>
        </is>
      </c>
      <c r="C440" s="36" t="inlineStr">
        <is>
          <t>百貨</t>
        </is>
      </c>
      <c r="D440" s="37" t="n">
        <v>3391280</v>
      </c>
      <c r="E440" s="37" t="n">
        <v>8575976720</v>
      </c>
      <c r="F440" s="37" t="n">
        <v>1444383</v>
      </c>
      <c r="G440" s="37" t="n">
        <v>3989440017</v>
      </c>
      <c r="H440" s="37" t="n">
        <v>559923</v>
      </c>
      <c r="I440" s="37" t="n">
        <v>1673570233</v>
      </c>
      <c r="J440" s="37" t="n">
        <v>319520</v>
      </c>
      <c r="K440" s="37" t="n">
        <v>1067256618</v>
      </c>
      <c r="L440" s="37" t="n">
        <v>142922</v>
      </c>
      <c r="M440" s="37" t="n">
        <v>523748943</v>
      </c>
      <c r="N440" s="37" t="n">
        <v>115169</v>
      </c>
      <c r="O440" s="37" t="n">
        <v>427428668</v>
      </c>
      <c r="P440" s="37" t="n">
        <v>67244</v>
      </c>
      <c r="Q440" s="37" t="n">
        <v>259889759</v>
      </c>
      <c r="R440" s="37" t="n">
        <v>285329</v>
      </c>
      <c r="S440" s="37" t="n">
        <v>1438468761</v>
      </c>
    </row>
    <row r="441">
      <c r="A441" s="37" t="inlineStr">
        <is>
          <t>108年</t>
        </is>
      </c>
      <c r="B441" s="37" t="inlineStr">
        <is>
          <t>10月</t>
        </is>
      </c>
      <c r="C441" s="36" t="inlineStr">
        <is>
          <t>百貨</t>
        </is>
      </c>
      <c r="D441" s="37" t="n">
        <v>4371961</v>
      </c>
      <c r="E441" s="37" t="n">
        <v>13171157420</v>
      </c>
      <c r="F441" s="37" t="n">
        <v>1802695</v>
      </c>
      <c r="G441" s="37" t="n">
        <v>5811295878</v>
      </c>
      <c r="H441" s="37" t="n">
        <v>710975</v>
      </c>
      <c r="I441" s="37" t="n">
        <v>2480254699</v>
      </c>
      <c r="J441" s="37" t="n">
        <v>408587</v>
      </c>
      <c r="K441" s="37" t="n">
        <v>1583061582</v>
      </c>
      <c r="L441" s="37" t="n">
        <v>183248</v>
      </c>
      <c r="M441" s="37" t="n">
        <v>797142949</v>
      </c>
      <c r="N441" s="37" t="n">
        <v>150921</v>
      </c>
      <c r="O441" s="37" t="n">
        <v>684892467</v>
      </c>
      <c r="P441" s="37" t="n">
        <v>86617</v>
      </c>
      <c r="Q441" s="37" t="n">
        <v>388350626</v>
      </c>
      <c r="R441" s="37" t="n">
        <v>374757</v>
      </c>
      <c r="S441" s="37" t="n">
        <v>2194421725</v>
      </c>
    </row>
    <row r="442">
      <c r="A442" s="37" t="inlineStr">
        <is>
          <t>108年</t>
        </is>
      </c>
      <c r="B442" s="37" t="inlineStr">
        <is>
          <t>11月</t>
        </is>
      </c>
      <c r="C442" s="36" t="inlineStr">
        <is>
          <t>百貨</t>
        </is>
      </c>
      <c r="D442" s="37" t="n">
        <v>4732819</v>
      </c>
      <c r="E442" s="37" t="n">
        <v>13837691042</v>
      </c>
      <c r="F442" s="37" t="n">
        <v>1906216</v>
      </c>
      <c r="G442" s="37" t="n">
        <v>5877584291</v>
      </c>
      <c r="H442" s="37" t="n">
        <v>760520</v>
      </c>
      <c r="I442" s="37" t="n">
        <v>2531502693</v>
      </c>
      <c r="J442" s="37" t="n">
        <v>430286</v>
      </c>
      <c r="K442" s="37" t="n">
        <v>1612652251</v>
      </c>
      <c r="L442" s="37" t="n">
        <v>197888</v>
      </c>
      <c r="M442" s="37" t="n">
        <v>813516963</v>
      </c>
      <c r="N442" s="37" t="n">
        <v>163740</v>
      </c>
      <c r="O442" s="37" t="n">
        <v>697726104</v>
      </c>
      <c r="P442" s="37" t="n">
        <v>93257</v>
      </c>
      <c r="Q442" s="37" t="n">
        <v>411030454</v>
      </c>
      <c r="R442" s="37" t="n">
        <v>390404</v>
      </c>
      <c r="S442" s="37" t="n">
        <v>2243910906</v>
      </c>
    </row>
    <row r="443">
      <c r="A443" s="37" t="inlineStr">
        <is>
          <t>108年</t>
        </is>
      </c>
      <c r="B443" s="37" t="inlineStr">
        <is>
          <t>12月</t>
        </is>
      </c>
      <c r="C443" s="36" t="inlineStr">
        <is>
          <t>百貨</t>
        </is>
      </c>
      <c r="D443" s="37" t="n">
        <v>4255741</v>
      </c>
      <c r="E443" s="37" t="n">
        <v>10234575879</v>
      </c>
      <c r="F443" s="37" t="n">
        <v>1757023</v>
      </c>
      <c r="G443" s="37" t="n">
        <v>4528871013</v>
      </c>
      <c r="H443" s="37" t="n">
        <v>695443</v>
      </c>
      <c r="I443" s="37" t="n">
        <v>1908128231</v>
      </c>
      <c r="J443" s="37" t="n">
        <v>389939</v>
      </c>
      <c r="K443" s="37" t="n">
        <v>1226210159</v>
      </c>
      <c r="L443" s="37" t="n">
        <v>181186</v>
      </c>
      <c r="M443" s="37" t="n">
        <v>613948395</v>
      </c>
      <c r="N443" s="37" t="n">
        <v>147421</v>
      </c>
      <c r="O443" s="37" t="n">
        <v>520983662</v>
      </c>
      <c r="P443" s="37" t="n">
        <v>85691</v>
      </c>
      <c r="Q443" s="37" t="n">
        <v>307435035</v>
      </c>
      <c r="R443" s="37" t="n">
        <v>357243</v>
      </c>
      <c r="S443" s="37" t="n">
        <v>1644379276</v>
      </c>
    </row>
    <row r="444">
      <c r="A444" s="37" t="inlineStr">
        <is>
          <t>109年</t>
        </is>
      </c>
      <c r="B444" s="37" t="inlineStr">
        <is>
          <t>01月</t>
        </is>
      </c>
      <c r="C444" s="36" t="inlineStr">
        <is>
          <t>百貨</t>
        </is>
      </c>
      <c r="D444" s="37" t="n">
        <v>4419164</v>
      </c>
      <c r="E444" s="37" t="n">
        <v>11202915041</v>
      </c>
      <c r="F444" s="37" t="n">
        <v>1858233</v>
      </c>
      <c r="G444" s="37" t="n">
        <v>4988632696</v>
      </c>
      <c r="H444" s="37" t="n">
        <v>744946</v>
      </c>
      <c r="I444" s="37" t="n">
        <v>2127711863</v>
      </c>
      <c r="J444" s="37" t="n">
        <v>421205</v>
      </c>
      <c r="K444" s="37" t="n">
        <v>1330658454</v>
      </c>
      <c r="L444" s="37" t="n">
        <v>191998</v>
      </c>
      <c r="M444" s="37" t="n">
        <v>670111590</v>
      </c>
      <c r="N444" s="37" t="n">
        <v>158054</v>
      </c>
      <c r="O444" s="37" t="n">
        <v>570647769</v>
      </c>
      <c r="P444" s="37" t="n">
        <v>91810</v>
      </c>
      <c r="Q444" s="37" t="n">
        <v>322934708</v>
      </c>
      <c r="R444" s="37" t="n">
        <v>381326</v>
      </c>
      <c r="S444" s="37" t="n">
        <v>1787856754</v>
      </c>
    </row>
    <row r="445">
      <c r="A445" s="37" t="inlineStr">
        <is>
          <t>109年</t>
        </is>
      </c>
      <c r="B445" s="37" t="inlineStr">
        <is>
          <t>02月</t>
        </is>
      </c>
      <c r="C445" s="36" t="inlineStr">
        <is>
          <t>百貨</t>
        </is>
      </c>
      <c r="D445" s="37" t="n">
        <v>3498621</v>
      </c>
      <c r="E445" s="37" t="n">
        <v>7975904664</v>
      </c>
      <c r="F445" s="37" t="n">
        <v>1407362</v>
      </c>
      <c r="G445" s="37" t="n">
        <v>3456825982</v>
      </c>
      <c r="H445" s="37" t="n">
        <v>561018</v>
      </c>
      <c r="I445" s="37" t="n">
        <v>1490220602</v>
      </c>
      <c r="J445" s="37" t="n">
        <v>308916</v>
      </c>
      <c r="K445" s="37" t="n">
        <v>907414178</v>
      </c>
      <c r="L445" s="37" t="n">
        <v>142698</v>
      </c>
      <c r="M445" s="37" t="n">
        <v>452362862</v>
      </c>
      <c r="N445" s="37" t="n">
        <v>116658</v>
      </c>
      <c r="O445" s="37" t="n">
        <v>382093192</v>
      </c>
      <c r="P445" s="37" t="n">
        <v>67770</v>
      </c>
      <c r="Q445" s="37" t="n">
        <v>216849768</v>
      </c>
      <c r="R445" s="37" t="n">
        <v>281774</v>
      </c>
      <c r="S445" s="37" t="n">
        <v>1225804229</v>
      </c>
    </row>
    <row r="446">
      <c r="A446" s="37" t="inlineStr">
        <is>
          <t>103年</t>
        </is>
      </c>
      <c r="B446" s="37" t="inlineStr">
        <is>
          <t>01月</t>
        </is>
      </c>
      <c r="C446" s="36" t="inlineStr">
        <is>
          <t>其他</t>
        </is>
      </c>
      <c r="D446" s="37" t="n">
        <v>8100712</v>
      </c>
      <c r="E446" s="37" t="n">
        <v>25187505096</v>
      </c>
      <c r="F446" s="37" t="n">
        <v>3968054</v>
      </c>
      <c r="G446" s="37" t="n">
        <v>12136389683</v>
      </c>
      <c r="H446" s="37" t="n">
        <v>1488634</v>
      </c>
      <c r="I446" s="37" t="n">
        <v>4933100364</v>
      </c>
      <c r="J446" s="37" t="n">
        <v>877227</v>
      </c>
      <c r="K446" s="37" t="n">
        <v>3576287989</v>
      </c>
      <c r="L446" s="37" t="n">
        <v>284958</v>
      </c>
      <c r="M446" s="37" t="n">
        <v>1151609990</v>
      </c>
      <c r="N446" s="37" t="n">
        <v>231306</v>
      </c>
      <c r="O446" s="37" t="n">
        <v>1178502389</v>
      </c>
      <c r="P446" s="37" t="n">
        <v>121597</v>
      </c>
      <c r="Q446" s="37" t="n">
        <v>583956185</v>
      </c>
      <c r="R446" s="37" t="n">
        <v>470959</v>
      </c>
      <c r="S446" s="37" t="n">
        <v>3663093339</v>
      </c>
    </row>
    <row r="447">
      <c r="A447" s="37" t="inlineStr">
        <is>
          <t>103年</t>
        </is>
      </c>
      <c r="B447" s="37" t="inlineStr">
        <is>
          <t>02月</t>
        </is>
      </c>
      <c r="C447" s="36" t="inlineStr">
        <is>
          <t>其他</t>
        </is>
      </c>
      <c r="D447" s="37" t="n">
        <v>7232134</v>
      </c>
      <c r="E447" s="37" t="n">
        <v>20925520815</v>
      </c>
      <c r="F447" s="37" t="n">
        <v>3570114</v>
      </c>
      <c r="G447" s="37" t="n">
        <v>10204375541</v>
      </c>
      <c r="H447" s="37" t="n">
        <v>1326547</v>
      </c>
      <c r="I447" s="37" t="n">
        <v>4088531365</v>
      </c>
      <c r="J447" s="37" t="n">
        <v>784186</v>
      </c>
      <c r="K447" s="37" t="n">
        <v>2980924611</v>
      </c>
      <c r="L447" s="37" t="n">
        <v>250038</v>
      </c>
      <c r="M447" s="37" t="n">
        <v>951356044</v>
      </c>
      <c r="N447" s="37" t="n">
        <v>205263</v>
      </c>
      <c r="O447" s="37" t="n">
        <v>961036534</v>
      </c>
      <c r="P447" s="37" t="n">
        <v>106455</v>
      </c>
      <c r="Q447" s="37" t="n">
        <v>474734992</v>
      </c>
      <c r="R447" s="37" t="n">
        <v>418930</v>
      </c>
      <c r="S447" s="37" t="n">
        <v>2966109258</v>
      </c>
    </row>
    <row r="448">
      <c r="A448" s="37" t="inlineStr">
        <is>
          <t>103年</t>
        </is>
      </c>
      <c r="B448" s="37" t="inlineStr">
        <is>
          <t>03月</t>
        </is>
      </c>
      <c r="C448" s="36" t="inlineStr">
        <is>
          <t>其他</t>
        </is>
      </c>
      <c r="D448" s="37" t="n">
        <v>8254961</v>
      </c>
      <c r="E448" s="37" t="n">
        <v>24119417353</v>
      </c>
      <c r="F448" s="37" t="n">
        <v>4082377</v>
      </c>
      <c r="G448" s="37" t="n">
        <v>11725514269</v>
      </c>
      <c r="H448" s="37" t="n">
        <v>1520072</v>
      </c>
      <c r="I448" s="37" t="n">
        <v>4658658999</v>
      </c>
      <c r="J448" s="37" t="n">
        <v>896889</v>
      </c>
      <c r="K448" s="37" t="n">
        <v>3463824637</v>
      </c>
      <c r="L448" s="37" t="n">
        <v>288826</v>
      </c>
      <c r="M448" s="37" t="n">
        <v>1083373635</v>
      </c>
      <c r="N448" s="37" t="n">
        <v>235434</v>
      </c>
      <c r="O448" s="37" t="n">
        <v>1156190322</v>
      </c>
      <c r="P448" s="37" t="n">
        <v>124795</v>
      </c>
      <c r="Q448" s="37" t="n">
        <v>579965338</v>
      </c>
      <c r="R448" s="37" t="n">
        <v>483881</v>
      </c>
      <c r="S448" s="37" t="n">
        <v>4027000896</v>
      </c>
    </row>
    <row r="449">
      <c r="A449" s="37" t="inlineStr">
        <is>
          <t>103年</t>
        </is>
      </c>
      <c r="B449" s="37" t="inlineStr">
        <is>
          <t>04月</t>
        </is>
      </c>
      <c r="C449" s="36" t="inlineStr">
        <is>
          <t>其他</t>
        </is>
      </c>
      <c r="D449" s="37" t="n">
        <v>7767411</v>
      </c>
      <c r="E449" s="37" t="n">
        <v>23142390277</v>
      </c>
      <c r="F449" s="37" t="n">
        <v>3966158</v>
      </c>
      <c r="G449" s="37" t="n">
        <v>11850009978</v>
      </c>
      <c r="H449" s="37" t="n">
        <v>1484330</v>
      </c>
      <c r="I449" s="37" t="n">
        <v>4760543353</v>
      </c>
      <c r="J449" s="37" t="n">
        <v>861916</v>
      </c>
      <c r="K449" s="37" t="n">
        <v>3439204021</v>
      </c>
      <c r="L449" s="37" t="n">
        <v>284684</v>
      </c>
      <c r="M449" s="37" t="n">
        <v>1144367350</v>
      </c>
      <c r="N449" s="37" t="n">
        <v>228500</v>
      </c>
      <c r="O449" s="37" t="n">
        <v>1157260381</v>
      </c>
      <c r="P449" s="37" t="n">
        <v>122284</v>
      </c>
      <c r="Q449" s="37" t="n">
        <v>597770812</v>
      </c>
      <c r="R449" s="37" t="n">
        <v>475947</v>
      </c>
      <c r="S449" s="37" t="n">
        <v>3758502579</v>
      </c>
    </row>
    <row r="450">
      <c r="A450" s="37" t="inlineStr">
        <is>
          <t>103年</t>
        </is>
      </c>
      <c r="B450" s="37" t="inlineStr">
        <is>
          <t>05月</t>
        </is>
      </c>
      <c r="C450" s="36" t="inlineStr">
        <is>
          <t>其他</t>
        </is>
      </c>
      <c r="D450" s="37" t="n">
        <v>8253980</v>
      </c>
      <c r="E450" s="37" t="n">
        <v>30466976025</v>
      </c>
      <c r="F450" s="37" t="n">
        <v>4250888</v>
      </c>
      <c r="G450" s="37" t="n">
        <v>18073389759</v>
      </c>
      <c r="H450" s="37" t="n">
        <v>1607600</v>
      </c>
      <c r="I450" s="37" t="n">
        <v>8023695144</v>
      </c>
      <c r="J450" s="37" t="n">
        <v>927427</v>
      </c>
      <c r="K450" s="37" t="n">
        <v>6647530084</v>
      </c>
      <c r="L450" s="37" t="n">
        <v>313275</v>
      </c>
      <c r="M450" s="37" t="n">
        <v>2526862146</v>
      </c>
      <c r="N450" s="37" t="n">
        <v>250280</v>
      </c>
      <c r="O450" s="37" t="n">
        <v>2651615915</v>
      </c>
      <c r="P450" s="37" t="n">
        <v>136147</v>
      </c>
      <c r="Q450" s="37" t="n">
        <v>2400904461</v>
      </c>
      <c r="R450" s="37" t="n">
        <v>527907</v>
      </c>
      <c r="S450" s="37" t="n">
        <v>13641307564</v>
      </c>
    </row>
    <row r="451">
      <c r="A451" s="37" t="inlineStr">
        <is>
          <t>103年</t>
        </is>
      </c>
      <c r="B451" s="37" t="inlineStr">
        <is>
          <t>06月</t>
        </is>
      </c>
      <c r="C451" s="36" t="inlineStr">
        <is>
          <t>其他</t>
        </is>
      </c>
      <c r="D451" s="37" t="n">
        <v>8012700</v>
      </c>
      <c r="E451" s="37" t="n">
        <v>24693188700</v>
      </c>
      <c r="F451" s="37" t="n">
        <v>4078297</v>
      </c>
      <c r="G451" s="37" t="n">
        <v>13017367026</v>
      </c>
      <c r="H451" s="37" t="n">
        <v>1529818</v>
      </c>
      <c r="I451" s="37" t="n">
        <v>5434406206</v>
      </c>
      <c r="J451" s="37" t="n">
        <v>887283</v>
      </c>
      <c r="K451" s="37" t="n">
        <v>4169757286</v>
      </c>
      <c r="L451" s="37" t="n">
        <v>294784</v>
      </c>
      <c r="M451" s="37" t="n">
        <v>1420809946</v>
      </c>
      <c r="N451" s="37" t="n">
        <v>237309</v>
      </c>
      <c r="O451" s="37" t="n">
        <v>1531925828</v>
      </c>
      <c r="P451" s="37" t="n">
        <v>127405</v>
      </c>
      <c r="Q451" s="37" t="n">
        <v>903336808</v>
      </c>
      <c r="R451" s="37" t="n">
        <v>488770</v>
      </c>
      <c r="S451" s="37" t="n">
        <v>5513321863</v>
      </c>
    </row>
    <row r="452">
      <c r="A452" s="37" t="inlineStr">
        <is>
          <t>103年</t>
        </is>
      </c>
      <c r="B452" s="37" t="inlineStr">
        <is>
          <t>07月</t>
        </is>
      </c>
      <c r="C452" s="36" t="inlineStr">
        <is>
          <t>其他</t>
        </is>
      </c>
      <c r="D452" s="37" t="n">
        <v>8152720</v>
      </c>
      <c r="E452" s="37" t="n">
        <v>23995053694</v>
      </c>
      <c r="F452" s="37" t="n">
        <v>3986820</v>
      </c>
      <c r="G452" s="37" t="n">
        <v>11749255495</v>
      </c>
      <c r="H452" s="37" t="n">
        <v>1511031</v>
      </c>
      <c r="I452" s="37" t="n">
        <v>4727066868</v>
      </c>
      <c r="J452" s="37" t="n">
        <v>860309</v>
      </c>
      <c r="K452" s="37" t="n">
        <v>3436285809</v>
      </c>
      <c r="L452" s="37" t="n">
        <v>295163</v>
      </c>
      <c r="M452" s="37" t="n">
        <v>1129878971</v>
      </c>
      <c r="N452" s="37" t="n">
        <v>231416</v>
      </c>
      <c r="O452" s="37" t="n">
        <v>1145311433</v>
      </c>
      <c r="P452" s="37" t="n">
        <v>128045</v>
      </c>
      <c r="Q452" s="37" t="n">
        <v>570811595</v>
      </c>
      <c r="R452" s="37" t="n">
        <v>475333</v>
      </c>
      <c r="S452" s="37" t="n">
        <v>3531466714</v>
      </c>
    </row>
    <row r="453">
      <c r="A453" s="37" t="inlineStr">
        <is>
          <t>103年</t>
        </is>
      </c>
      <c r="B453" s="37" t="inlineStr">
        <is>
          <t>08月</t>
        </is>
      </c>
      <c r="C453" s="36" t="inlineStr">
        <is>
          <t>其他</t>
        </is>
      </c>
      <c r="D453" s="37" t="n">
        <v>8238098</v>
      </c>
      <c r="E453" s="37" t="n">
        <v>24169890669</v>
      </c>
      <c r="F453" s="37" t="n">
        <v>4072603</v>
      </c>
      <c r="G453" s="37" t="n">
        <v>11795310777</v>
      </c>
      <c r="H453" s="37" t="n">
        <v>1524078</v>
      </c>
      <c r="I453" s="37" t="n">
        <v>4717546646</v>
      </c>
      <c r="J453" s="37" t="n">
        <v>878063</v>
      </c>
      <c r="K453" s="37" t="n">
        <v>3429651427</v>
      </c>
      <c r="L453" s="37" t="n">
        <v>299306</v>
      </c>
      <c r="M453" s="37" t="n">
        <v>1187400076</v>
      </c>
      <c r="N453" s="37" t="n">
        <v>236612</v>
      </c>
      <c r="O453" s="37" t="n">
        <v>1147643565</v>
      </c>
      <c r="P453" s="37" t="n">
        <v>127787</v>
      </c>
      <c r="Q453" s="37" t="n">
        <v>564479690</v>
      </c>
      <c r="R453" s="37" t="n">
        <v>486121</v>
      </c>
      <c r="S453" s="37" t="n">
        <v>3726347429</v>
      </c>
    </row>
    <row r="454">
      <c r="A454" s="37" t="inlineStr">
        <is>
          <t>103年</t>
        </is>
      </c>
      <c r="B454" s="37" t="inlineStr">
        <is>
          <t>09月</t>
        </is>
      </c>
      <c r="C454" s="36" t="inlineStr">
        <is>
          <t>其他</t>
        </is>
      </c>
      <c r="D454" s="37" t="n">
        <v>8476709</v>
      </c>
      <c r="E454" s="37" t="n">
        <v>26515088408</v>
      </c>
      <c r="F454" s="37" t="n">
        <v>4197056</v>
      </c>
      <c r="G454" s="37" t="n">
        <v>13066250468</v>
      </c>
      <c r="H454" s="37" t="n">
        <v>1569320</v>
      </c>
      <c r="I454" s="37" t="n">
        <v>5250325353</v>
      </c>
      <c r="J454" s="37" t="n">
        <v>911679</v>
      </c>
      <c r="K454" s="37" t="n">
        <v>3943526706</v>
      </c>
      <c r="L454" s="37" t="n">
        <v>305460</v>
      </c>
      <c r="M454" s="37" t="n">
        <v>1237602265</v>
      </c>
      <c r="N454" s="37" t="n">
        <v>244340</v>
      </c>
      <c r="O454" s="37" t="n">
        <v>1315593737</v>
      </c>
      <c r="P454" s="37" t="n">
        <v>130713</v>
      </c>
      <c r="Q454" s="37" t="n">
        <v>600137236</v>
      </c>
      <c r="R454" s="37" t="n">
        <v>502621</v>
      </c>
      <c r="S454" s="37" t="n">
        <v>4273352795</v>
      </c>
    </row>
    <row r="455">
      <c r="A455" s="37" t="inlineStr">
        <is>
          <t>103年</t>
        </is>
      </c>
      <c r="B455" s="37" t="inlineStr">
        <is>
          <t>10月</t>
        </is>
      </c>
      <c r="C455" s="36" t="inlineStr">
        <is>
          <t>其他</t>
        </is>
      </c>
      <c r="D455" s="37" t="n">
        <v>8440542</v>
      </c>
      <c r="E455" s="37" t="n">
        <v>26139686303</v>
      </c>
      <c r="F455" s="37" t="n">
        <v>4152618</v>
      </c>
      <c r="G455" s="37" t="n">
        <v>13088320458</v>
      </c>
      <c r="H455" s="37" t="n">
        <v>1561197</v>
      </c>
      <c r="I455" s="37" t="n">
        <v>5223790913</v>
      </c>
      <c r="J455" s="37" t="n">
        <v>888867</v>
      </c>
      <c r="K455" s="37" t="n">
        <v>3756644965</v>
      </c>
      <c r="L455" s="37" t="n">
        <v>300952</v>
      </c>
      <c r="M455" s="37" t="n">
        <v>1225564484</v>
      </c>
      <c r="N455" s="37" t="n">
        <v>242333</v>
      </c>
      <c r="O455" s="37" t="n">
        <v>1240876462</v>
      </c>
      <c r="P455" s="37" t="n">
        <v>132555</v>
      </c>
      <c r="Q455" s="37" t="n">
        <v>595067223</v>
      </c>
      <c r="R455" s="37" t="n">
        <v>492589</v>
      </c>
      <c r="S455" s="37" t="n">
        <v>3550711247</v>
      </c>
    </row>
    <row r="456">
      <c r="A456" s="37" t="inlineStr">
        <is>
          <t>103年</t>
        </is>
      </c>
      <c r="B456" s="37" t="inlineStr">
        <is>
          <t>11月</t>
        </is>
      </c>
      <c r="C456" s="36" t="inlineStr">
        <is>
          <t>其他</t>
        </is>
      </c>
      <c r="D456" s="37" t="n">
        <v>8163178</v>
      </c>
      <c r="E456" s="37" t="n">
        <v>24082680068</v>
      </c>
      <c r="F456" s="37" t="n">
        <v>4072280</v>
      </c>
      <c r="G456" s="37" t="n">
        <v>12213649799</v>
      </c>
      <c r="H456" s="37" t="n">
        <v>1524498</v>
      </c>
      <c r="I456" s="37" t="n">
        <v>4927173134</v>
      </c>
      <c r="J456" s="37" t="n">
        <v>875166</v>
      </c>
      <c r="K456" s="37" t="n">
        <v>3633792908</v>
      </c>
      <c r="L456" s="37" t="n">
        <v>290030</v>
      </c>
      <c r="M456" s="37" t="n">
        <v>1178050317</v>
      </c>
      <c r="N456" s="37" t="n">
        <v>234483</v>
      </c>
      <c r="O456" s="37" t="n">
        <v>1160881373</v>
      </c>
      <c r="P456" s="37" t="n">
        <v>128547</v>
      </c>
      <c r="Q456" s="37" t="n">
        <v>582502858</v>
      </c>
      <c r="R456" s="37" t="n">
        <v>481555</v>
      </c>
      <c r="S456" s="37" t="n">
        <v>3833823188</v>
      </c>
    </row>
    <row r="457">
      <c r="A457" s="37" t="inlineStr">
        <is>
          <t>103年</t>
        </is>
      </c>
      <c r="B457" s="37" t="inlineStr">
        <is>
          <t>12月</t>
        </is>
      </c>
      <c r="C457" s="36" t="inlineStr">
        <is>
          <t>其他</t>
        </is>
      </c>
      <c r="D457" s="37" t="n">
        <v>9459331</v>
      </c>
      <c r="E457" s="37" t="n">
        <v>31856972193</v>
      </c>
      <c r="F457" s="37" t="n">
        <v>4619486</v>
      </c>
      <c r="G457" s="37" t="n">
        <v>15391307764</v>
      </c>
      <c r="H457" s="37" t="n">
        <v>1734678</v>
      </c>
      <c r="I457" s="37" t="n">
        <v>6258440103</v>
      </c>
      <c r="J457" s="37" t="n">
        <v>1003769</v>
      </c>
      <c r="K457" s="37" t="n">
        <v>4634158094</v>
      </c>
      <c r="L457" s="37" t="n">
        <v>334443</v>
      </c>
      <c r="M457" s="37" t="n">
        <v>1533787301</v>
      </c>
      <c r="N457" s="37" t="n">
        <v>273766</v>
      </c>
      <c r="O457" s="37" t="n">
        <v>1578038962</v>
      </c>
      <c r="P457" s="37" t="n">
        <v>149675</v>
      </c>
      <c r="Q457" s="37" t="n">
        <v>794511123</v>
      </c>
      <c r="R457" s="37" t="n">
        <v>568208</v>
      </c>
      <c r="S457" s="37" t="n">
        <v>5096773298</v>
      </c>
    </row>
    <row r="458">
      <c r="A458" s="37" t="inlineStr">
        <is>
          <t>104年</t>
        </is>
      </c>
      <c r="B458" s="37" t="inlineStr">
        <is>
          <t>01月</t>
        </is>
      </c>
      <c r="C458" s="36" t="inlineStr">
        <is>
          <t>其他</t>
        </is>
      </c>
      <c r="D458" s="37" t="n">
        <v>8766867</v>
      </c>
      <c r="E458" s="37" t="n">
        <v>26506203286</v>
      </c>
      <c r="F458" s="37" t="n">
        <v>4296476</v>
      </c>
      <c r="G458" s="37" t="n">
        <v>12926060536</v>
      </c>
      <c r="H458" s="37" t="n">
        <v>1623510</v>
      </c>
      <c r="I458" s="37" t="n">
        <v>5242111875</v>
      </c>
      <c r="J458" s="37" t="n">
        <v>933536</v>
      </c>
      <c r="K458" s="37" t="n">
        <v>3754921563</v>
      </c>
      <c r="L458" s="37" t="n">
        <v>311186</v>
      </c>
      <c r="M458" s="37" t="n">
        <v>1281334020</v>
      </c>
      <c r="N458" s="37" t="n">
        <v>252395</v>
      </c>
      <c r="O458" s="37" t="n">
        <v>1259813845</v>
      </c>
      <c r="P458" s="37" t="n">
        <v>137793</v>
      </c>
      <c r="Q458" s="37" t="n">
        <v>620803071</v>
      </c>
      <c r="R458" s="37" t="n">
        <v>521115</v>
      </c>
      <c r="S458" s="37" t="n">
        <v>4107999075</v>
      </c>
    </row>
    <row r="459">
      <c r="A459" s="37" t="inlineStr">
        <is>
          <t>104年</t>
        </is>
      </c>
      <c r="B459" s="37" t="inlineStr">
        <is>
          <t>02月</t>
        </is>
      </c>
      <c r="C459" s="36" t="inlineStr">
        <is>
          <t>其他</t>
        </is>
      </c>
      <c r="D459" s="37" t="n">
        <v>7402908</v>
      </c>
      <c r="E459" s="37" t="n">
        <v>21610374271</v>
      </c>
      <c r="F459" s="37" t="n">
        <v>3672927</v>
      </c>
      <c r="G459" s="37" t="n">
        <v>10947603025</v>
      </c>
      <c r="H459" s="37" t="n">
        <v>1376153</v>
      </c>
      <c r="I459" s="37" t="n">
        <v>4373872482</v>
      </c>
      <c r="J459" s="37" t="n">
        <v>790042</v>
      </c>
      <c r="K459" s="37" t="n">
        <v>3120883914</v>
      </c>
      <c r="L459" s="37" t="n">
        <v>262094</v>
      </c>
      <c r="M459" s="37" t="n">
        <v>1043752985</v>
      </c>
      <c r="N459" s="37" t="n">
        <v>213093</v>
      </c>
      <c r="O459" s="37" t="n">
        <v>1015828674</v>
      </c>
      <c r="P459" s="37" t="n">
        <v>114462</v>
      </c>
      <c r="Q459" s="37" t="n">
        <v>496969356</v>
      </c>
      <c r="R459" s="37" t="n">
        <v>431169</v>
      </c>
      <c r="S459" s="37" t="n">
        <v>3083946864</v>
      </c>
    </row>
    <row r="460">
      <c r="A460" s="37" t="inlineStr">
        <is>
          <t>104年</t>
        </is>
      </c>
      <c r="B460" s="37" t="inlineStr">
        <is>
          <t>03月</t>
        </is>
      </c>
      <c r="C460" s="36" t="inlineStr">
        <is>
          <t>其他</t>
        </is>
      </c>
      <c r="D460" s="37" t="n">
        <v>9403744</v>
      </c>
      <c r="E460" s="37" t="n">
        <v>28195060857</v>
      </c>
      <c r="F460" s="37" t="n">
        <v>4654204</v>
      </c>
      <c r="G460" s="37" t="n">
        <v>13550639967</v>
      </c>
      <c r="H460" s="37" t="n">
        <v>1761075</v>
      </c>
      <c r="I460" s="37" t="n">
        <v>5432030594</v>
      </c>
      <c r="J460" s="37" t="n">
        <v>1016007</v>
      </c>
      <c r="K460" s="37" t="n">
        <v>3893400896</v>
      </c>
      <c r="L460" s="37" t="n">
        <v>339727</v>
      </c>
      <c r="M460" s="37" t="n">
        <v>1356983150</v>
      </c>
      <c r="N460" s="37" t="n">
        <v>278865</v>
      </c>
      <c r="O460" s="37" t="n">
        <v>1402559804</v>
      </c>
      <c r="P460" s="37" t="n">
        <v>152281</v>
      </c>
      <c r="Q460" s="37" t="n">
        <v>705242273</v>
      </c>
      <c r="R460" s="37" t="n">
        <v>575502</v>
      </c>
      <c r="S460" s="37" t="n">
        <v>4722021038</v>
      </c>
    </row>
    <row r="461">
      <c r="A461" s="37" t="inlineStr">
        <is>
          <t>104年</t>
        </is>
      </c>
      <c r="B461" s="37" t="inlineStr">
        <is>
          <t>04月</t>
        </is>
      </c>
      <c r="C461" s="36" t="inlineStr">
        <is>
          <t>其他</t>
        </is>
      </c>
      <c r="D461" s="37" t="n">
        <v>8688407</v>
      </c>
      <c r="E461" s="37" t="n">
        <v>27103846705</v>
      </c>
      <c r="F461" s="37" t="n">
        <v>4315244</v>
      </c>
      <c r="G461" s="37" t="n">
        <v>13648725473</v>
      </c>
      <c r="H461" s="37" t="n">
        <v>1638881</v>
      </c>
      <c r="I461" s="37" t="n">
        <v>5623101135</v>
      </c>
      <c r="J461" s="37" t="n">
        <v>937904</v>
      </c>
      <c r="K461" s="37" t="n">
        <v>4179401264</v>
      </c>
      <c r="L461" s="37" t="n">
        <v>318012</v>
      </c>
      <c r="M461" s="37" t="n">
        <v>1552087716</v>
      </c>
      <c r="N461" s="37" t="n">
        <v>259645</v>
      </c>
      <c r="O461" s="37" t="n">
        <v>1700142358</v>
      </c>
      <c r="P461" s="37" t="n">
        <v>142830</v>
      </c>
      <c r="Q461" s="37" t="n">
        <v>981362337</v>
      </c>
      <c r="R461" s="37" t="n">
        <v>536973</v>
      </c>
      <c r="S461" s="37" t="n">
        <v>6735594443</v>
      </c>
    </row>
    <row r="462">
      <c r="A462" s="37" t="inlineStr">
        <is>
          <t>104年</t>
        </is>
      </c>
      <c r="B462" s="37" t="inlineStr">
        <is>
          <t>05月</t>
        </is>
      </c>
      <c r="C462" s="36" t="inlineStr">
        <is>
          <t>其他</t>
        </is>
      </c>
      <c r="D462" s="37" t="n">
        <v>9070205</v>
      </c>
      <c r="E462" s="37" t="n">
        <v>36414270839</v>
      </c>
      <c r="F462" s="37" t="n">
        <v>4593584</v>
      </c>
      <c r="G462" s="37" t="n">
        <v>21916134739</v>
      </c>
      <c r="H462" s="37" t="n">
        <v>1748820</v>
      </c>
      <c r="I462" s="37" t="n">
        <v>9796201954</v>
      </c>
      <c r="J462" s="37" t="n">
        <v>997797</v>
      </c>
      <c r="K462" s="37" t="n">
        <v>8383062063</v>
      </c>
      <c r="L462" s="37" t="n">
        <v>343839</v>
      </c>
      <c r="M462" s="37" t="n">
        <v>3458813971</v>
      </c>
      <c r="N462" s="37" t="n">
        <v>278624</v>
      </c>
      <c r="O462" s="37" t="n">
        <v>3728658151</v>
      </c>
      <c r="P462" s="37" t="n">
        <v>155578</v>
      </c>
      <c r="Q462" s="37" t="n">
        <v>3073764291</v>
      </c>
      <c r="R462" s="37" t="n">
        <v>586423</v>
      </c>
      <c r="S462" s="37" t="n">
        <v>21800734974</v>
      </c>
    </row>
    <row r="463">
      <c r="A463" s="37" t="inlineStr">
        <is>
          <t>104年</t>
        </is>
      </c>
      <c r="B463" s="37" t="inlineStr">
        <is>
          <t>06月</t>
        </is>
      </c>
      <c r="C463" s="36" t="inlineStr">
        <is>
          <t>其他</t>
        </is>
      </c>
      <c r="D463" s="37" t="n">
        <v>8955078</v>
      </c>
      <c r="E463" s="37" t="n">
        <v>28302329747</v>
      </c>
      <c r="F463" s="37" t="n">
        <v>4422013</v>
      </c>
      <c r="G463" s="37" t="n">
        <v>14527565679</v>
      </c>
      <c r="H463" s="37" t="n">
        <v>1681106</v>
      </c>
      <c r="I463" s="37" t="n">
        <v>5937058529</v>
      </c>
      <c r="J463" s="37" t="n">
        <v>961628</v>
      </c>
      <c r="K463" s="37" t="n">
        <v>4590941061</v>
      </c>
      <c r="L463" s="37" t="n">
        <v>327147</v>
      </c>
      <c r="M463" s="37" t="n">
        <v>1623851282</v>
      </c>
      <c r="N463" s="37" t="n">
        <v>265733</v>
      </c>
      <c r="O463" s="37" t="n">
        <v>1718381856</v>
      </c>
      <c r="P463" s="37" t="n">
        <v>146202</v>
      </c>
      <c r="Q463" s="37" t="n">
        <v>1071996335</v>
      </c>
      <c r="R463" s="37" t="n">
        <v>549292</v>
      </c>
      <c r="S463" s="37" t="n">
        <v>6194429978</v>
      </c>
    </row>
    <row r="464">
      <c r="A464" s="37" t="inlineStr">
        <is>
          <t>104年</t>
        </is>
      </c>
      <c r="B464" s="37" t="inlineStr">
        <is>
          <t>07月</t>
        </is>
      </c>
      <c r="C464" s="36" t="inlineStr">
        <is>
          <t>其他</t>
        </is>
      </c>
      <c r="D464" s="37" t="n">
        <v>9264649</v>
      </c>
      <c r="E464" s="37" t="n">
        <v>26720710270</v>
      </c>
      <c r="F464" s="37" t="n">
        <v>4728668</v>
      </c>
      <c r="G464" s="37" t="n">
        <v>13727497443</v>
      </c>
      <c r="H464" s="37" t="n">
        <v>1791165</v>
      </c>
      <c r="I464" s="37" t="n">
        <v>5564989554</v>
      </c>
      <c r="J464" s="37" t="n">
        <v>1041310</v>
      </c>
      <c r="K464" s="37" t="n">
        <v>4092501832</v>
      </c>
      <c r="L464" s="37" t="n">
        <v>346529</v>
      </c>
      <c r="M464" s="37" t="n">
        <v>1363965037</v>
      </c>
      <c r="N464" s="37" t="n">
        <v>297444</v>
      </c>
      <c r="O464" s="37" t="n">
        <v>1514564607</v>
      </c>
      <c r="P464" s="37" t="n">
        <v>157661</v>
      </c>
      <c r="Q464" s="37" t="n">
        <v>722190466</v>
      </c>
      <c r="R464" s="37" t="n">
        <v>595262</v>
      </c>
      <c r="S464" s="37" t="n">
        <v>4613479176</v>
      </c>
    </row>
    <row r="465">
      <c r="A465" s="37" t="inlineStr">
        <is>
          <t>104年</t>
        </is>
      </c>
      <c r="B465" s="37" t="inlineStr">
        <is>
          <t>08月</t>
        </is>
      </c>
      <c r="C465" s="36" t="inlineStr">
        <is>
          <t>其他</t>
        </is>
      </c>
      <c r="D465" s="37" t="n">
        <v>9277099</v>
      </c>
      <c r="E465" s="37" t="n">
        <v>27320684919</v>
      </c>
      <c r="F465" s="37" t="n">
        <v>4672342</v>
      </c>
      <c r="G465" s="37" t="n">
        <v>13862407612</v>
      </c>
      <c r="H465" s="37" t="n">
        <v>1782923</v>
      </c>
      <c r="I465" s="37" t="n">
        <v>5598299684</v>
      </c>
      <c r="J465" s="37" t="n">
        <v>1003709</v>
      </c>
      <c r="K465" s="37" t="n">
        <v>4025561855</v>
      </c>
      <c r="L465" s="37" t="n">
        <v>342872</v>
      </c>
      <c r="M465" s="37" t="n">
        <v>1422545528</v>
      </c>
      <c r="N465" s="37" t="n">
        <v>317542</v>
      </c>
      <c r="O465" s="37" t="n">
        <v>1515427210</v>
      </c>
      <c r="P465" s="37" t="n">
        <v>152919</v>
      </c>
      <c r="Q465" s="37" t="n">
        <v>728428643</v>
      </c>
      <c r="R465" s="37" t="n">
        <v>580825</v>
      </c>
      <c r="S465" s="37" t="n">
        <v>4931459161</v>
      </c>
    </row>
    <row r="466">
      <c r="A466" s="37" t="inlineStr">
        <is>
          <t>104年</t>
        </is>
      </c>
      <c r="B466" s="37" t="inlineStr">
        <is>
          <t>09月</t>
        </is>
      </c>
      <c r="C466" s="36" t="inlineStr">
        <is>
          <t>其他</t>
        </is>
      </c>
      <c r="D466" s="37" t="n">
        <v>9243682</v>
      </c>
      <c r="E466" s="37" t="n">
        <v>28257560434</v>
      </c>
      <c r="F466" s="37" t="n">
        <v>4584512</v>
      </c>
      <c r="G466" s="37" t="n">
        <v>14360441441</v>
      </c>
      <c r="H466" s="37" t="n">
        <v>1757297</v>
      </c>
      <c r="I466" s="37" t="n">
        <v>5916792642</v>
      </c>
      <c r="J466" s="37" t="n">
        <v>1021886</v>
      </c>
      <c r="K466" s="37" t="n">
        <v>4627164548</v>
      </c>
      <c r="L466" s="37" t="n">
        <v>344428</v>
      </c>
      <c r="M466" s="37" t="n">
        <v>1601897987</v>
      </c>
      <c r="N466" s="37" t="n">
        <v>276389</v>
      </c>
      <c r="O466" s="37" t="n">
        <v>1792402577</v>
      </c>
      <c r="P466" s="37" t="n">
        <v>151107</v>
      </c>
      <c r="Q466" s="37" t="n">
        <v>901535985</v>
      </c>
      <c r="R466" s="37" t="n">
        <v>582110</v>
      </c>
      <c r="S466" s="37" t="n">
        <v>8543402956</v>
      </c>
    </row>
    <row r="467">
      <c r="A467" s="37" t="inlineStr">
        <is>
          <t>104年</t>
        </is>
      </c>
      <c r="B467" s="37" t="inlineStr">
        <is>
          <t>10月</t>
        </is>
      </c>
      <c r="C467" s="36" t="inlineStr">
        <is>
          <t>其他</t>
        </is>
      </c>
      <c r="D467" s="37" t="n">
        <v>9564662</v>
      </c>
      <c r="E467" s="37" t="n">
        <v>29182604054</v>
      </c>
      <c r="F467" s="37" t="n">
        <v>4747853</v>
      </c>
      <c r="G467" s="37" t="n">
        <v>14621170467</v>
      </c>
      <c r="H467" s="37" t="n">
        <v>1797574</v>
      </c>
      <c r="I467" s="37" t="n">
        <v>5961702249</v>
      </c>
      <c r="J467" s="37" t="n">
        <v>1035094</v>
      </c>
      <c r="K467" s="37" t="n">
        <v>4281021545</v>
      </c>
      <c r="L467" s="37" t="n">
        <v>386435</v>
      </c>
      <c r="M467" s="37" t="n">
        <v>1497678788</v>
      </c>
      <c r="N467" s="37" t="n">
        <v>280935</v>
      </c>
      <c r="O467" s="37" t="n">
        <v>1671075574</v>
      </c>
      <c r="P467" s="37" t="n">
        <v>163094</v>
      </c>
      <c r="Q467" s="37" t="n">
        <v>840872933</v>
      </c>
      <c r="R467" s="37" t="n">
        <v>567342</v>
      </c>
      <c r="S467" s="37" t="n">
        <v>6042493617</v>
      </c>
    </row>
    <row r="468">
      <c r="A468" s="37" t="inlineStr">
        <is>
          <t>104年</t>
        </is>
      </c>
      <c r="B468" s="37" t="inlineStr">
        <is>
          <t>11月</t>
        </is>
      </c>
      <c r="C468" s="36" t="inlineStr">
        <is>
          <t>其他</t>
        </is>
      </c>
      <c r="D468" s="37" t="n">
        <v>9578295</v>
      </c>
      <c r="E468" s="37" t="n">
        <v>28898071551</v>
      </c>
      <c r="F468" s="37" t="n">
        <v>4914642</v>
      </c>
      <c r="G468" s="37" t="n">
        <v>14735487070</v>
      </c>
      <c r="H468" s="37" t="n">
        <v>1832988</v>
      </c>
      <c r="I468" s="37" t="n">
        <v>5954595126</v>
      </c>
      <c r="J468" s="37" t="n">
        <v>1048811</v>
      </c>
      <c r="K468" s="37" t="n">
        <v>4398505919</v>
      </c>
      <c r="L468" s="37" t="n">
        <v>365552</v>
      </c>
      <c r="M468" s="37" t="n">
        <v>1512609724</v>
      </c>
      <c r="N468" s="37" t="n">
        <v>289974</v>
      </c>
      <c r="O468" s="37" t="n">
        <v>1653753941</v>
      </c>
      <c r="P468" s="37" t="n">
        <v>159392</v>
      </c>
      <c r="Q468" s="37" t="n">
        <v>849105378</v>
      </c>
      <c r="R468" s="37" t="n">
        <v>601145</v>
      </c>
      <c r="S468" s="37" t="n">
        <v>5927834749</v>
      </c>
    </row>
    <row r="469">
      <c r="A469" s="37" t="inlineStr">
        <is>
          <t>104年</t>
        </is>
      </c>
      <c r="B469" s="37" t="inlineStr">
        <is>
          <t>12月</t>
        </is>
      </c>
      <c r="C469" s="36" t="inlineStr">
        <is>
          <t>其他</t>
        </is>
      </c>
      <c r="D469" s="37" t="n">
        <v>10051659</v>
      </c>
      <c r="E469" s="37" t="n">
        <v>32329929755</v>
      </c>
      <c r="F469" s="37" t="n">
        <v>5133235</v>
      </c>
      <c r="G469" s="37" t="n">
        <v>16297044342</v>
      </c>
      <c r="H469" s="37" t="n">
        <v>1904789</v>
      </c>
      <c r="I469" s="37" t="n">
        <v>6642900288</v>
      </c>
      <c r="J469" s="37" t="n">
        <v>1096124</v>
      </c>
      <c r="K469" s="37" t="n">
        <v>4959858178</v>
      </c>
      <c r="L469" s="37" t="n">
        <v>382894</v>
      </c>
      <c r="M469" s="37" t="n">
        <v>1727585573</v>
      </c>
      <c r="N469" s="37" t="n">
        <v>305168</v>
      </c>
      <c r="O469" s="37" t="n">
        <v>1878837828</v>
      </c>
      <c r="P469" s="37" t="n">
        <v>166749</v>
      </c>
      <c r="Q469" s="37" t="n">
        <v>949185634</v>
      </c>
      <c r="R469" s="37" t="n">
        <v>623152</v>
      </c>
      <c r="S469" s="37" t="n">
        <v>5926090441</v>
      </c>
    </row>
    <row r="470">
      <c r="A470" s="37" t="inlineStr">
        <is>
          <t>105年</t>
        </is>
      </c>
      <c r="B470" s="37" t="inlineStr">
        <is>
          <t>01月</t>
        </is>
      </c>
      <c r="C470" s="36" t="inlineStr">
        <is>
          <t>其他</t>
        </is>
      </c>
      <c r="D470" s="37" t="n">
        <v>9667379</v>
      </c>
      <c r="E470" s="37" t="n">
        <v>29189676038</v>
      </c>
      <c r="F470" s="37" t="n">
        <v>4830810</v>
      </c>
      <c r="G470" s="37" t="n">
        <v>14594433055</v>
      </c>
      <c r="H470" s="37" t="n">
        <v>1800427</v>
      </c>
      <c r="I470" s="37" t="n">
        <v>6004833280</v>
      </c>
      <c r="J470" s="37" t="n">
        <v>1029585</v>
      </c>
      <c r="K470" s="37" t="n">
        <v>4270731326</v>
      </c>
      <c r="L470" s="37" t="n">
        <v>355770</v>
      </c>
      <c r="M470" s="37" t="n">
        <v>1549822859</v>
      </c>
      <c r="N470" s="37" t="n">
        <v>282059</v>
      </c>
      <c r="O470" s="37" t="n">
        <v>1679941524</v>
      </c>
      <c r="P470" s="37" t="n">
        <v>156186</v>
      </c>
      <c r="Q470" s="37" t="n">
        <v>795873117</v>
      </c>
      <c r="R470" s="37" t="n">
        <v>571837</v>
      </c>
      <c r="S470" s="37" t="n">
        <v>5399009561</v>
      </c>
    </row>
    <row r="471">
      <c r="A471" s="37" t="inlineStr">
        <is>
          <t>105年</t>
        </is>
      </c>
      <c r="B471" s="37" t="inlineStr">
        <is>
          <t>02月</t>
        </is>
      </c>
      <c r="C471" s="36" t="inlineStr">
        <is>
          <t>其他</t>
        </is>
      </c>
      <c r="D471" s="37" t="n">
        <v>8203362</v>
      </c>
      <c r="E471" s="37" t="n">
        <v>23377804816</v>
      </c>
      <c r="F471" s="37" t="n">
        <v>4127387</v>
      </c>
      <c r="G471" s="37" t="n">
        <v>12124283683</v>
      </c>
      <c r="H471" s="37" t="n">
        <v>1573258</v>
      </c>
      <c r="I471" s="37" t="n">
        <v>4882003232</v>
      </c>
      <c r="J471" s="37" t="n">
        <v>886300</v>
      </c>
      <c r="K471" s="37" t="n">
        <v>3499380869</v>
      </c>
      <c r="L471" s="37" t="n">
        <v>303527</v>
      </c>
      <c r="M471" s="37" t="n">
        <v>1246567904</v>
      </c>
      <c r="N471" s="37" t="n">
        <v>239480</v>
      </c>
      <c r="O471" s="37" t="n">
        <v>1263059819</v>
      </c>
      <c r="P471" s="37" t="n">
        <v>130159</v>
      </c>
      <c r="Q471" s="37" t="n">
        <v>652928095</v>
      </c>
      <c r="R471" s="37" t="n">
        <v>482296</v>
      </c>
      <c r="S471" s="37" t="n">
        <v>4337468001</v>
      </c>
    </row>
    <row r="472">
      <c r="A472" s="37" t="inlineStr">
        <is>
          <t>105年</t>
        </is>
      </c>
      <c r="B472" s="37" t="inlineStr">
        <is>
          <t>03月</t>
        </is>
      </c>
      <c r="C472" s="36" t="inlineStr">
        <is>
          <t>其他</t>
        </is>
      </c>
      <c r="D472" s="37" t="n">
        <v>10366196</v>
      </c>
      <c r="E472" s="37" t="n">
        <v>31216564911</v>
      </c>
      <c r="F472" s="37" t="n">
        <v>5188854</v>
      </c>
      <c r="G472" s="37" t="n">
        <v>15446654098</v>
      </c>
      <c r="H472" s="37" t="n">
        <v>2018964</v>
      </c>
      <c r="I472" s="37" t="n">
        <v>6412806870</v>
      </c>
      <c r="J472" s="37" t="n">
        <v>1133593</v>
      </c>
      <c r="K472" s="37" t="n">
        <v>4685060443</v>
      </c>
      <c r="L472" s="37" t="n">
        <v>399076</v>
      </c>
      <c r="M472" s="37" t="n">
        <v>1734595572</v>
      </c>
      <c r="N472" s="37" t="n">
        <v>336796</v>
      </c>
      <c r="O472" s="37" t="n">
        <v>1979424568</v>
      </c>
      <c r="P472" s="37" t="n">
        <v>176888</v>
      </c>
      <c r="Q472" s="37" t="n">
        <v>950173986</v>
      </c>
      <c r="R472" s="37" t="n">
        <v>677623</v>
      </c>
      <c r="S472" s="37" t="n">
        <v>6638998118</v>
      </c>
    </row>
    <row r="473">
      <c r="A473" s="37" t="inlineStr">
        <is>
          <t>105年</t>
        </is>
      </c>
      <c r="B473" s="37" t="inlineStr">
        <is>
          <t>04月</t>
        </is>
      </c>
      <c r="C473" s="36" t="inlineStr">
        <is>
          <t>其他</t>
        </is>
      </c>
      <c r="D473" s="37" t="n">
        <v>9516549</v>
      </c>
      <c r="E473" s="37" t="n">
        <v>29981936194</v>
      </c>
      <c r="F473" s="37" t="n">
        <v>4771501</v>
      </c>
      <c r="G473" s="37" t="n">
        <v>15127045220</v>
      </c>
      <c r="H473" s="37" t="n">
        <v>1798885</v>
      </c>
      <c r="I473" s="37" t="n">
        <v>6334048220</v>
      </c>
      <c r="J473" s="37" t="n">
        <v>1010163</v>
      </c>
      <c r="K473" s="37" t="n">
        <v>4574280644</v>
      </c>
      <c r="L473" s="37" t="n">
        <v>363701</v>
      </c>
      <c r="M473" s="37" t="n">
        <v>1796970022</v>
      </c>
      <c r="N473" s="37" t="n">
        <v>291001</v>
      </c>
      <c r="O473" s="37" t="n">
        <v>2254669772</v>
      </c>
      <c r="P473" s="37" t="n">
        <v>159257</v>
      </c>
      <c r="Q473" s="37" t="n">
        <v>1156675506</v>
      </c>
      <c r="R473" s="37" t="n">
        <v>584381</v>
      </c>
      <c r="S473" s="37" t="n">
        <v>7064100067</v>
      </c>
    </row>
    <row r="474">
      <c r="A474" s="37" t="inlineStr">
        <is>
          <t>105年</t>
        </is>
      </c>
      <c r="B474" s="37" t="inlineStr">
        <is>
          <t>05月</t>
        </is>
      </c>
      <c r="C474" s="36" t="inlineStr">
        <is>
          <t>其他</t>
        </is>
      </c>
      <c r="D474" s="37" t="n">
        <v>9756663</v>
      </c>
      <c r="E474" s="37" t="n">
        <v>39389451773</v>
      </c>
      <c r="F474" s="37" t="n">
        <v>4806564</v>
      </c>
      <c r="G474" s="37" t="n">
        <v>25523393859</v>
      </c>
      <c r="H474" s="37" t="n">
        <v>1777308</v>
      </c>
      <c r="I474" s="37" t="n">
        <v>10989323713</v>
      </c>
      <c r="J474" s="37" t="n">
        <v>1019406</v>
      </c>
      <c r="K474" s="37" t="n">
        <v>9497003133</v>
      </c>
      <c r="L474" s="37" t="n">
        <v>367057</v>
      </c>
      <c r="M474" s="37" t="n">
        <v>4068718395</v>
      </c>
      <c r="N474" s="37" t="n">
        <v>303329</v>
      </c>
      <c r="O474" s="37" t="n">
        <v>4445979630</v>
      </c>
      <c r="P474" s="37" t="n">
        <v>159782</v>
      </c>
      <c r="Q474" s="37" t="n">
        <v>3740355008</v>
      </c>
      <c r="R474" s="37" t="n">
        <v>630575</v>
      </c>
      <c r="S474" s="37" t="n">
        <v>27307584029</v>
      </c>
    </row>
    <row r="475">
      <c r="A475" s="37" t="inlineStr">
        <is>
          <t>105年</t>
        </is>
      </c>
      <c r="B475" s="37" t="inlineStr">
        <is>
          <t>06月</t>
        </is>
      </c>
      <c r="C475" s="36" t="inlineStr">
        <is>
          <t>其他</t>
        </is>
      </c>
      <c r="D475" s="37" t="n">
        <v>10319852</v>
      </c>
      <c r="E475" s="37" t="n">
        <v>29570021807</v>
      </c>
      <c r="F475" s="37" t="n">
        <v>4740815</v>
      </c>
      <c r="G475" s="37" t="n">
        <v>14546223069</v>
      </c>
      <c r="H475" s="37" t="n">
        <v>1744633</v>
      </c>
      <c r="I475" s="37" t="n">
        <v>5892517734</v>
      </c>
      <c r="J475" s="37" t="n">
        <v>983467</v>
      </c>
      <c r="K475" s="37" t="n">
        <v>4278555544</v>
      </c>
      <c r="L475" s="37" t="n">
        <v>359436</v>
      </c>
      <c r="M475" s="37" t="n">
        <v>1621001055</v>
      </c>
      <c r="N475" s="37" t="n">
        <v>284807</v>
      </c>
      <c r="O475" s="37" t="n">
        <v>1832883982</v>
      </c>
      <c r="P475" s="37" t="n">
        <v>154200</v>
      </c>
      <c r="Q475" s="37" t="n">
        <v>963711935</v>
      </c>
      <c r="R475" s="37" t="n">
        <v>584068</v>
      </c>
      <c r="S475" s="37" t="n">
        <v>6024481455</v>
      </c>
    </row>
    <row r="476">
      <c r="A476" s="37" t="inlineStr">
        <is>
          <t>105年</t>
        </is>
      </c>
      <c r="B476" s="37" t="inlineStr">
        <is>
          <t>07月</t>
        </is>
      </c>
      <c r="C476" s="36" t="inlineStr">
        <is>
          <t>其他</t>
        </is>
      </c>
      <c r="D476" s="37" t="n">
        <v>10645456</v>
      </c>
      <c r="E476" s="37" t="n">
        <v>29323732256</v>
      </c>
      <c r="F476" s="37" t="n">
        <v>5210515</v>
      </c>
      <c r="G476" s="37" t="n">
        <v>14710507113</v>
      </c>
      <c r="H476" s="37" t="n">
        <v>1961161</v>
      </c>
      <c r="I476" s="37" t="n">
        <v>6149962918</v>
      </c>
      <c r="J476" s="37" t="n">
        <v>1107583</v>
      </c>
      <c r="K476" s="37" t="n">
        <v>4461986222</v>
      </c>
      <c r="L476" s="37" t="n">
        <v>414932</v>
      </c>
      <c r="M476" s="37" t="n">
        <v>1622294175</v>
      </c>
      <c r="N476" s="37" t="n">
        <v>316066</v>
      </c>
      <c r="O476" s="37" t="n">
        <v>1886242279</v>
      </c>
      <c r="P476" s="37" t="n">
        <v>171917</v>
      </c>
      <c r="Q476" s="37" t="n">
        <v>895015835</v>
      </c>
      <c r="R476" s="37" t="n">
        <v>637498</v>
      </c>
      <c r="S476" s="37" t="n">
        <v>6598616253</v>
      </c>
    </row>
    <row r="477">
      <c r="A477" s="37" t="inlineStr">
        <is>
          <t>105年</t>
        </is>
      </c>
      <c r="B477" s="37" t="inlineStr">
        <is>
          <t>08月</t>
        </is>
      </c>
      <c r="C477" s="36" t="inlineStr">
        <is>
          <t>其他</t>
        </is>
      </c>
      <c r="D477" s="37" t="n">
        <v>10494234</v>
      </c>
      <c r="E477" s="37" t="n">
        <v>31768961547</v>
      </c>
      <c r="F477" s="37" t="n">
        <v>4934595</v>
      </c>
      <c r="G477" s="37" t="n">
        <v>16036683122</v>
      </c>
      <c r="H477" s="37" t="n">
        <v>1937763</v>
      </c>
      <c r="I477" s="37" t="n">
        <v>6765408651</v>
      </c>
      <c r="J477" s="37" t="n">
        <v>1084211</v>
      </c>
      <c r="K477" s="37" t="n">
        <v>5223417984</v>
      </c>
      <c r="L477" s="37" t="n">
        <v>405440</v>
      </c>
      <c r="M477" s="37" t="n">
        <v>1947619337</v>
      </c>
      <c r="N477" s="37" t="n">
        <v>311350</v>
      </c>
      <c r="O477" s="37" t="n">
        <v>2193242407</v>
      </c>
      <c r="P477" s="37" t="n">
        <v>168963</v>
      </c>
      <c r="Q477" s="37" t="n">
        <v>1172141882</v>
      </c>
      <c r="R477" s="37" t="n">
        <v>636230</v>
      </c>
      <c r="S477" s="37" t="n">
        <v>9336177394</v>
      </c>
    </row>
    <row r="478">
      <c r="A478" s="37" t="inlineStr">
        <is>
          <t>105年</t>
        </is>
      </c>
      <c r="B478" s="37" t="inlineStr">
        <is>
          <t>09月</t>
        </is>
      </c>
      <c r="C478" s="36" t="inlineStr">
        <is>
          <t>其他</t>
        </is>
      </c>
      <c r="D478" s="37" t="n">
        <v>9518940</v>
      </c>
      <c r="E478" s="37" t="n">
        <v>29060296507</v>
      </c>
      <c r="F478" s="37" t="n">
        <v>4522734</v>
      </c>
      <c r="G478" s="37" t="n">
        <v>14385429166</v>
      </c>
      <c r="H478" s="37" t="n">
        <v>1684291</v>
      </c>
      <c r="I478" s="37" t="n">
        <v>5810636268</v>
      </c>
      <c r="J478" s="37" t="n">
        <v>982433</v>
      </c>
      <c r="K478" s="37" t="n">
        <v>4393365080</v>
      </c>
      <c r="L478" s="37" t="n">
        <v>376457</v>
      </c>
      <c r="M478" s="37" t="n">
        <v>1590110296</v>
      </c>
      <c r="N478" s="37" t="n">
        <v>318804</v>
      </c>
      <c r="O478" s="37" t="n">
        <v>1766647791</v>
      </c>
      <c r="P478" s="37" t="n">
        <v>153477</v>
      </c>
      <c r="Q478" s="37" t="n">
        <v>786331296</v>
      </c>
      <c r="R478" s="37" t="n">
        <v>565264</v>
      </c>
      <c r="S478" s="37" t="n">
        <v>5723414652</v>
      </c>
    </row>
    <row r="479">
      <c r="A479" s="37" t="inlineStr">
        <is>
          <t>105年</t>
        </is>
      </c>
      <c r="B479" s="37" t="inlineStr">
        <is>
          <t>10月</t>
        </is>
      </c>
      <c r="C479" s="36" t="inlineStr">
        <is>
          <t>其他</t>
        </is>
      </c>
      <c r="D479" s="37" t="n">
        <v>10269433</v>
      </c>
      <c r="E479" s="37" t="n">
        <v>28763088902</v>
      </c>
      <c r="F479" s="37" t="n">
        <v>4804795</v>
      </c>
      <c r="G479" s="37" t="n">
        <v>14371927544</v>
      </c>
      <c r="H479" s="37" t="n">
        <v>1735383</v>
      </c>
      <c r="I479" s="37" t="n">
        <v>5775525984</v>
      </c>
      <c r="J479" s="37" t="n">
        <v>1025538</v>
      </c>
      <c r="K479" s="37" t="n">
        <v>4256725258</v>
      </c>
      <c r="L479" s="37" t="n">
        <v>378134</v>
      </c>
      <c r="M479" s="37" t="n">
        <v>1523164822</v>
      </c>
      <c r="N479" s="37" t="n">
        <v>291604</v>
      </c>
      <c r="O479" s="37" t="n">
        <v>1601512501</v>
      </c>
      <c r="P479" s="37" t="n">
        <v>146703</v>
      </c>
      <c r="Q479" s="37" t="n">
        <v>748316444</v>
      </c>
      <c r="R479" s="37" t="n">
        <v>625804</v>
      </c>
      <c r="S479" s="37" t="n">
        <v>4902953750</v>
      </c>
    </row>
    <row r="480">
      <c r="A480" s="37" t="inlineStr">
        <is>
          <t>105年</t>
        </is>
      </c>
      <c r="B480" s="37" t="inlineStr">
        <is>
          <t>11月</t>
        </is>
      </c>
      <c r="C480" s="36" t="inlineStr">
        <is>
          <t>其他</t>
        </is>
      </c>
      <c r="D480" s="37" t="n">
        <v>10839329</v>
      </c>
      <c r="E480" s="37" t="n">
        <v>29621655274</v>
      </c>
      <c r="F480" s="37" t="n">
        <v>5471897</v>
      </c>
      <c r="G480" s="37" t="n">
        <v>15972471580</v>
      </c>
      <c r="H480" s="37" t="n">
        <v>1990680</v>
      </c>
      <c r="I480" s="37" t="n">
        <v>6425088460</v>
      </c>
      <c r="J480" s="37" t="n">
        <v>1150271</v>
      </c>
      <c r="K480" s="37" t="n">
        <v>4955285932</v>
      </c>
      <c r="L480" s="37" t="n">
        <v>416518</v>
      </c>
      <c r="M480" s="37" t="n">
        <v>1618214469</v>
      </c>
      <c r="N480" s="37" t="n">
        <v>299366</v>
      </c>
      <c r="O480" s="37" t="n">
        <v>1589431413</v>
      </c>
      <c r="P480" s="37" t="n">
        <v>169400</v>
      </c>
      <c r="Q480" s="37" t="n">
        <v>817903318</v>
      </c>
      <c r="R480" s="37" t="n">
        <v>625552</v>
      </c>
      <c r="S480" s="37" t="n">
        <v>6429825601</v>
      </c>
    </row>
    <row r="481">
      <c r="A481" s="37" t="inlineStr">
        <is>
          <t>105年</t>
        </is>
      </c>
      <c r="B481" s="37" t="inlineStr">
        <is>
          <t>12月</t>
        </is>
      </c>
      <c r="C481" s="36" t="inlineStr">
        <is>
          <t>其他</t>
        </is>
      </c>
      <c r="D481" s="37" t="n">
        <v>10900950</v>
      </c>
      <c r="E481" s="37" t="n">
        <v>32203334434</v>
      </c>
      <c r="F481" s="37" t="n">
        <v>5408120</v>
      </c>
      <c r="G481" s="37" t="n">
        <v>17483981167</v>
      </c>
      <c r="H481" s="37" t="n">
        <v>2009533</v>
      </c>
      <c r="I481" s="37" t="n">
        <v>7098349350</v>
      </c>
      <c r="J481" s="37" t="n">
        <v>1145302</v>
      </c>
      <c r="K481" s="37" t="n">
        <v>5638949008</v>
      </c>
      <c r="L481" s="37" t="n">
        <v>423933</v>
      </c>
      <c r="M481" s="37" t="n">
        <v>1924212626</v>
      </c>
      <c r="N481" s="37" t="n">
        <v>303443</v>
      </c>
      <c r="O481" s="37" t="n">
        <v>1854674784</v>
      </c>
      <c r="P481" s="37" t="n">
        <v>169724</v>
      </c>
      <c r="Q481" s="37" t="n">
        <v>978534806</v>
      </c>
      <c r="R481" s="37" t="n">
        <v>635491</v>
      </c>
      <c r="S481" s="37" t="n">
        <v>7928872474</v>
      </c>
    </row>
    <row r="482">
      <c r="A482" s="37" t="inlineStr">
        <is>
          <t>106年</t>
        </is>
      </c>
      <c r="B482" s="37" t="inlineStr">
        <is>
          <t>01月</t>
        </is>
      </c>
      <c r="C482" s="36" t="inlineStr">
        <is>
          <t>其他</t>
        </is>
      </c>
      <c r="D482" s="37" t="n">
        <v>9634673</v>
      </c>
      <c r="E482" s="37" t="n">
        <v>28472775521</v>
      </c>
      <c r="F482" s="37" t="n">
        <v>4707802</v>
      </c>
      <c r="G482" s="37" t="n">
        <v>15104502021</v>
      </c>
      <c r="H482" s="37" t="n">
        <v>1698126</v>
      </c>
      <c r="I482" s="37" t="n">
        <v>5928457917</v>
      </c>
      <c r="J482" s="37" t="n">
        <v>1011796</v>
      </c>
      <c r="K482" s="37" t="n">
        <v>4852818310</v>
      </c>
      <c r="L482" s="37" t="n">
        <v>358352</v>
      </c>
      <c r="M482" s="37" t="n">
        <v>1469524014</v>
      </c>
      <c r="N482" s="37" t="n">
        <v>255065</v>
      </c>
      <c r="O482" s="37" t="n">
        <v>1526294968</v>
      </c>
      <c r="P482" s="37" t="n">
        <v>134282</v>
      </c>
      <c r="Q482" s="37" t="n">
        <v>702747168</v>
      </c>
      <c r="R482" s="37" t="n">
        <v>552479</v>
      </c>
      <c r="S482" s="37" t="n">
        <v>5160956172</v>
      </c>
    </row>
    <row r="483">
      <c r="A483" s="37" t="inlineStr">
        <is>
          <t>106年</t>
        </is>
      </c>
      <c r="B483" s="37" t="inlineStr">
        <is>
          <t>02月</t>
        </is>
      </c>
      <c r="C483" s="36" t="inlineStr">
        <is>
          <t>其他</t>
        </is>
      </c>
      <c r="D483" s="37" t="n">
        <v>8938480</v>
      </c>
      <c r="E483" s="37" t="n">
        <v>23371882185</v>
      </c>
      <c r="F483" s="37" t="n">
        <v>4239284</v>
      </c>
      <c r="G483" s="37" t="n">
        <v>12516010567</v>
      </c>
      <c r="H483" s="37" t="n">
        <v>1523707</v>
      </c>
      <c r="I483" s="37" t="n">
        <v>4871619417</v>
      </c>
      <c r="J483" s="37" t="n">
        <v>888428</v>
      </c>
      <c r="K483" s="37" t="n">
        <v>3668065516</v>
      </c>
      <c r="L483" s="37" t="n">
        <v>330789</v>
      </c>
      <c r="M483" s="37" t="n">
        <v>1223377857</v>
      </c>
      <c r="N483" s="37" t="n">
        <v>230242</v>
      </c>
      <c r="O483" s="37" t="n">
        <v>1134855622</v>
      </c>
      <c r="P483" s="37" t="n">
        <v>122305</v>
      </c>
      <c r="Q483" s="37" t="n">
        <v>565955676</v>
      </c>
      <c r="R483" s="37" t="n">
        <v>499706</v>
      </c>
      <c r="S483" s="37" t="n">
        <v>3633969888</v>
      </c>
    </row>
    <row r="484">
      <c r="A484" s="37" t="inlineStr">
        <is>
          <t>106年</t>
        </is>
      </c>
      <c r="B484" s="37" t="inlineStr">
        <is>
          <t>03月</t>
        </is>
      </c>
      <c r="C484" s="36" t="inlineStr">
        <is>
          <t>其他</t>
        </is>
      </c>
      <c r="D484" s="37" t="n">
        <v>11261490</v>
      </c>
      <c r="E484" s="37" t="n">
        <v>29991190777</v>
      </c>
      <c r="F484" s="37" t="n">
        <v>5497071</v>
      </c>
      <c r="G484" s="37" t="n">
        <v>16113362169</v>
      </c>
      <c r="H484" s="37" t="n">
        <v>2013262</v>
      </c>
      <c r="I484" s="37" t="n">
        <v>6403843285</v>
      </c>
      <c r="J484" s="37" t="n">
        <v>1195971</v>
      </c>
      <c r="K484" s="37" t="n">
        <v>5069310566</v>
      </c>
      <c r="L484" s="37" t="n">
        <v>434119</v>
      </c>
      <c r="M484" s="37" t="n">
        <v>1565048425</v>
      </c>
      <c r="N484" s="37" t="n">
        <v>356476</v>
      </c>
      <c r="O484" s="37" t="n">
        <v>1570785275</v>
      </c>
      <c r="P484" s="37" t="n">
        <v>172497</v>
      </c>
      <c r="Q484" s="37" t="n">
        <v>769314873</v>
      </c>
      <c r="R484" s="37" t="n">
        <v>675648</v>
      </c>
      <c r="S484" s="37" t="n">
        <v>5375295910</v>
      </c>
    </row>
    <row r="485">
      <c r="A485" s="37" t="inlineStr">
        <is>
          <t>106年</t>
        </is>
      </c>
      <c r="B485" s="37" t="inlineStr">
        <is>
          <t>04月</t>
        </is>
      </c>
      <c r="C485" s="36" t="inlineStr">
        <is>
          <t>其他</t>
        </is>
      </c>
      <c r="D485" s="37" t="n">
        <v>10381012</v>
      </c>
      <c r="E485" s="37" t="n">
        <v>26780513304</v>
      </c>
      <c r="F485" s="37" t="n">
        <v>5043697</v>
      </c>
      <c r="G485" s="37" t="n">
        <v>14615635571</v>
      </c>
      <c r="H485" s="37" t="n">
        <v>1942129</v>
      </c>
      <c r="I485" s="37" t="n">
        <v>5941578603</v>
      </c>
      <c r="J485" s="37" t="n">
        <v>1086437</v>
      </c>
      <c r="K485" s="37" t="n">
        <v>4368311150</v>
      </c>
      <c r="L485" s="37" t="n">
        <v>406410</v>
      </c>
      <c r="M485" s="37" t="n">
        <v>1513412888</v>
      </c>
      <c r="N485" s="37" t="n">
        <v>284347</v>
      </c>
      <c r="O485" s="37" t="n">
        <v>1389195339</v>
      </c>
      <c r="P485" s="37" t="n">
        <v>164275</v>
      </c>
      <c r="Q485" s="37" t="n">
        <v>720019764</v>
      </c>
      <c r="R485" s="37" t="n">
        <v>616658</v>
      </c>
      <c r="S485" s="37" t="n">
        <v>4825769921</v>
      </c>
    </row>
    <row r="486">
      <c r="A486" s="37" t="inlineStr">
        <is>
          <t>106年</t>
        </is>
      </c>
      <c r="B486" s="37" t="inlineStr">
        <is>
          <t>05月</t>
        </is>
      </c>
      <c r="C486" s="36" t="inlineStr">
        <is>
          <t>其他</t>
        </is>
      </c>
      <c r="D486" s="37" t="n">
        <v>10859064</v>
      </c>
      <c r="E486" s="37" t="n">
        <v>38209550157</v>
      </c>
      <c r="F486" s="37" t="n">
        <v>5453248</v>
      </c>
      <c r="G486" s="37" t="n">
        <v>27889123594</v>
      </c>
      <c r="H486" s="37" t="n">
        <v>1954479</v>
      </c>
      <c r="I486" s="37" t="n">
        <v>12926005733</v>
      </c>
      <c r="J486" s="37" t="n">
        <v>1209718</v>
      </c>
      <c r="K486" s="37" t="n">
        <v>10447322913</v>
      </c>
      <c r="L486" s="37" t="n">
        <v>427703</v>
      </c>
      <c r="M486" s="37" t="n">
        <v>4603922824</v>
      </c>
      <c r="N486" s="37" t="n">
        <v>317444</v>
      </c>
      <c r="O486" s="37" t="n">
        <v>4684887569</v>
      </c>
      <c r="P486" s="37" t="n">
        <v>169273</v>
      </c>
      <c r="Q486" s="37" t="n">
        <v>4969748408</v>
      </c>
      <c r="R486" s="37" t="n">
        <v>692433</v>
      </c>
      <c r="S486" s="37" t="n">
        <v>28826810987</v>
      </c>
    </row>
    <row r="487">
      <c r="A487" s="37" t="inlineStr">
        <is>
          <t>106年</t>
        </is>
      </c>
      <c r="B487" s="37" t="inlineStr">
        <is>
          <t>06月</t>
        </is>
      </c>
      <c r="C487" s="36" t="inlineStr">
        <is>
          <t>其他</t>
        </is>
      </c>
      <c r="D487" s="37" t="n">
        <v>9842721</v>
      </c>
      <c r="E487" s="37" t="n">
        <v>27629834447</v>
      </c>
      <c r="F487" s="37" t="n">
        <v>4754740</v>
      </c>
      <c r="G487" s="37" t="n">
        <v>15107868947</v>
      </c>
      <c r="H487" s="37" t="n">
        <v>1613034</v>
      </c>
      <c r="I487" s="37" t="n">
        <v>6195165093</v>
      </c>
      <c r="J487" s="37" t="n">
        <v>1009379</v>
      </c>
      <c r="K487" s="37" t="n">
        <v>5139467728</v>
      </c>
      <c r="L487" s="37" t="n">
        <v>352446</v>
      </c>
      <c r="M487" s="37" t="n">
        <v>1835930482</v>
      </c>
      <c r="N487" s="37" t="n">
        <v>257024</v>
      </c>
      <c r="O487" s="37" t="n">
        <v>1909221818</v>
      </c>
      <c r="P487" s="37" t="n">
        <v>131804</v>
      </c>
      <c r="Q487" s="37" t="n">
        <v>1107770252</v>
      </c>
      <c r="R487" s="37" t="n">
        <v>608809</v>
      </c>
      <c r="S487" s="37" t="n">
        <v>8843221763</v>
      </c>
    </row>
    <row r="488">
      <c r="A488" s="37" t="inlineStr">
        <is>
          <t>106年</t>
        </is>
      </c>
      <c r="B488" s="37" t="inlineStr">
        <is>
          <t>07月</t>
        </is>
      </c>
      <c r="C488" s="36" t="inlineStr">
        <is>
          <t>其他</t>
        </is>
      </c>
      <c r="D488" s="37" t="n">
        <v>10289625</v>
      </c>
      <c r="E488" s="37" t="n">
        <v>27404041598</v>
      </c>
      <c r="F488" s="37" t="n">
        <v>5019558</v>
      </c>
      <c r="G488" s="37" t="n">
        <v>15015229968</v>
      </c>
      <c r="H488" s="37" t="n">
        <v>1732200</v>
      </c>
      <c r="I488" s="37" t="n">
        <v>5871309047</v>
      </c>
      <c r="J488" s="37" t="n">
        <v>1090905</v>
      </c>
      <c r="K488" s="37" t="n">
        <v>4743733298</v>
      </c>
      <c r="L488" s="37" t="n">
        <v>372008</v>
      </c>
      <c r="M488" s="37" t="n">
        <v>1550792230</v>
      </c>
      <c r="N488" s="37" t="n">
        <v>271588</v>
      </c>
      <c r="O488" s="37" t="n">
        <v>1552692458</v>
      </c>
      <c r="P488" s="37" t="n">
        <v>137390</v>
      </c>
      <c r="Q488" s="37" t="n">
        <v>790909751</v>
      </c>
      <c r="R488" s="37" t="n">
        <v>626067</v>
      </c>
      <c r="S488" s="37" t="n">
        <v>6188861510</v>
      </c>
    </row>
    <row r="489">
      <c r="A489" s="37" t="inlineStr">
        <is>
          <t>106年</t>
        </is>
      </c>
      <c r="B489" s="37" t="inlineStr">
        <is>
          <t>08月</t>
        </is>
      </c>
      <c r="C489" s="36" t="inlineStr">
        <is>
          <t>其他</t>
        </is>
      </c>
      <c r="D489" s="37" t="n">
        <v>10461081</v>
      </c>
      <c r="E489" s="37" t="n">
        <v>28272864817</v>
      </c>
      <c r="F489" s="37" t="n">
        <v>5006011</v>
      </c>
      <c r="G489" s="37" t="n">
        <v>15331750241</v>
      </c>
      <c r="H489" s="37" t="n">
        <v>1737264</v>
      </c>
      <c r="I489" s="37" t="n">
        <v>6062546709</v>
      </c>
      <c r="J489" s="37" t="n">
        <v>1063052</v>
      </c>
      <c r="K489" s="37" t="n">
        <v>4918976863</v>
      </c>
      <c r="L489" s="37" t="n">
        <v>390656</v>
      </c>
      <c r="M489" s="37" t="n">
        <v>1619205548</v>
      </c>
      <c r="N489" s="37" t="n">
        <v>273304</v>
      </c>
      <c r="O489" s="37" t="n">
        <v>1595605738</v>
      </c>
      <c r="P489" s="37" t="n">
        <v>142559</v>
      </c>
      <c r="Q489" s="37" t="n">
        <v>811418041</v>
      </c>
      <c r="R489" s="37" t="n">
        <v>618046</v>
      </c>
      <c r="S489" s="37" t="n">
        <v>6851316212</v>
      </c>
    </row>
    <row r="490">
      <c r="A490" s="37" t="inlineStr">
        <is>
          <t>106年</t>
        </is>
      </c>
      <c r="B490" s="37" t="inlineStr">
        <is>
          <t>09月</t>
        </is>
      </c>
      <c r="C490" s="36" t="inlineStr">
        <is>
          <t>其他</t>
        </is>
      </c>
      <c r="D490" s="37" t="n">
        <v>10075230</v>
      </c>
      <c r="E490" s="37" t="n">
        <v>28329787819</v>
      </c>
      <c r="F490" s="37" t="n">
        <v>4839321</v>
      </c>
      <c r="G490" s="37" t="n">
        <v>15254778889</v>
      </c>
      <c r="H490" s="37" t="n">
        <v>1643103</v>
      </c>
      <c r="I490" s="37" t="n">
        <v>5970260296</v>
      </c>
      <c r="J490" s="37" t="n">
        <v>1046080</v>
      </c>
      <c r="K490" s="37" t="n">
        <v>4868533579</v>
      </c>
      <c r="L490" s="37" t="n">
        <v>365601</v>
      </c>
      <c r="M490" s="37" t="n">
        <v>1714737896</v>
      </c>
      <c r="N490" s="37" t="n">
        <v>263501</v>
      </c>
      <c r="O490" s="37" t="n">
        <v>1672591854</v>
      </c>
      <c r="P490" s="37" t="n">
        <v>134797</v>
      </c>
      <c r="Q490" s="37" t="n">
        <v>847233968</v>
      </c>
      <c r="R490" s="37" t="n">
        <v>658744</v>
      </c>
      <c r="S490" s="37" t="n">
        <v>6851290853</v>
      </c>
    </row>
    <row r="491">
      <c r="A491" s="37" t="inlineStr">
        <is>
          <t>106年</t>
        </is>
      </c>
      <c r="B491" s="37" t="inlineStr">
        <is>
          <t>10月</t>
        </is>
      </c>
      <c r="C491" s="36" t="inlineStr">
        <is>
          <t>其他</t>
        </is>
      </c>
      <c r="D491" s="37" t="n">
        <v>10471349</v>
      </c>
      <c r="E491" s="37" t="n">
        <v>26977837748</v>
      </c>
      <c r="F491" s="37" t="n">
        <v>5021740</v>
      </c>
      <c r="G491" s="37" t="n">
        <v>14444982384</v>
      </c>
      <c r="H491" s="37" t="n">
        <v>1710676</v>
      </c>
      <c r="I491" s="37" t="n">
        <v>5645076089</v>
      </c>
      <c r="J491" s="37" t="n">
        <v>1122397</v>
      </c>
      <c r="K491" s="37" t="n">
        <v>4496932441</v>
      </c>
      <c r="L491" s="37" t="n">
        <v>367023</v>
      </c>
      <c r="M491" s="37" t="n">
        <v>1479683601</v>
      </c>
      <c r="N491" s="37" t="n">
        <v>277403</v>
      </c>
      <c r="O491" s="37" t="n">
        <v>1427407489</v>
      </c>
      <c r="P491" s="37" t="n">
        <v>138965</v>
      </c>
      <c r="Q491" s="37" t="n">
        <v>731543846</v>
      </c>
      <c r="R491" s="37" t="n">
        <v>604665</v>
      </c>
      <c r="S491" s="37" t="n">
        <v>5281239954</v>
      </c>
    </row>
    <row r="492">
      <c r="A492" s="37" t="inlineStr">
        <is>
          <t>106年</t>
        </is>
      </c>
      <c r="B492" s="37" t="inlineStr">
        <is>
          <t>11月</t>
        </is>
      </c>
      <c r="C492" s="36" t="inlineStr">
        <is>
          <t>其他</t>
        </is>
      </c>
      <c r="D492" s="37" t="n">
        <v>10999197</v>
      </c>
      <c r="E492" s="37" t="n">
        <v>31121500733</v>
      </c>
      <c r="F492" s="37" t="n">
        <v>5268820</v>
      </c>
      <c r="G492" s="37" t="n">
        <v>17051568711</v>
      </c>
      <c r="H492" s="37" t="n">
        <v>1809322</v>
      </c>
      <c r="I492" s="37" t="n">
        <v>6843902004</v>
      </c>
      <c r="J492" s="37" t="n">
        <v>1180122</v>
      </c>
      <c r="K492" s="37" t="n">
        <v>5436966152</v>
      </c>
      <c r="L492" s="37" t="n">
        <v>392136</v>
      </c>
      <c r="M492" s="37" t="n">
        <v>1814000631</v>
      </c>
      <c r="N492" s="37" t="n">
        <v>296203</v>
      </c>
      <c r="O492" s="37" t="n">
        <v>1777013242</v>
      </c>
      <c r="P492" s="37" t="n">
        <v>150896</v>
      </c>
      <c r="Q492" s="37" t="n">
        <v>916770337</v>
      </c>
      <c r="R492" s="37" t="n">
        <v>653615</v>
      </c>
      <c r="S492" s="37" t="n">
        <v>6888546855</v>
      </c>
    </row>
    <row r="493">
      <c r="A493" s="37" t="inlineStr">
        <is>
          <t>106年</t>
        </is>
      </c>
      <c r="B493" s="37" t="inlineStr">
        <is>
          <t>12月</t>
        </is>
      </c>
      <c r="C493" s="36" t="inlineStr">
        <is>
          <t>其他</t>
        </is>
      </c>
      <c r="D493" s="37" t="n">
        <v>10893578</v>
      </c>
      <c r="E493" s="37" t="n">
        <v>31917353977</v>
      </c>
      <c r="F493" s="37" t="n">
        <v>5142175</v>
      </c>
      <c r="G493" s="37" t="n">
        <v>17435096559</v>
      </c>
      <c r="H493" s="37" t="n">
        <v>1775602</v>
      </c>
      <c r="I493" s="37" t="n">
        <v>7020306452</v>
      </c>
      <c r="J493" s="37" t="n">
        <v>1098433</v>
      </c>
      <c r="K493" s="37" t="n">
        <v>5824318965</v>
      </c>
      <c r="L493" s="37" t="n">
        <v>382080</v>
      </c>
      <c r="M493" s="37" t="n">
        <v>1849263072</v>
      </c>
      <c r="N493" s="37" t="n">
        <v>284223</v>
      </c>
      <c r="O493" s="37" t="n">
        <v>1851720206</v>
      </c>
      <c r="P493" s="37" t="n">
        <v>146955</v>
      </c>
      <c r="Q493" s="37" t="n">
        <v>1008515614</v>
      </c>
      <c r="R493" s="37" t="n">
        <v>627014</v>
      </c>
      <c r="S493" s="37" t="n">
        <v>7055213101</v>
      </c>
    </row>
    <row r="494">
      <c r="A494" s="37" t="inlineStr">
        <is>
          <t>107年</t>
        </is>
      </c>
      <c r="B494" s="37" t="inlineStr">
        <is>
          <t>01月</t>
        </is>
      </c>
      <c r="C494" s="36" t="inlineStr">
        <is>
          <t>其他</t>
        </is>
      </c>
      <c r="D494" s="37" t="n">
        <v>10483250</v>
      </c>
      <c r="E494" s="37" t="n">
        <v>29190461612</v>
      </c>
      <c r="F494" s="37" t="n">
        <v>5036965</v>
      </c>
      <c r="G494" s="37" t="n">
        <v>15943998082</v>
      </c>
      <c r="H494" s="37" t="n">
        <v>1728026</v>
      </c>
      <c r="I494" s="37" t="n">
        <v>6245862173</v>
      </c>
      <c r="J494" s="37" t="n">
        <v>1075420</v>
      </c>
      <c r="K494" s="37" t="n">
        <v>5224845952</v>
      </c>
      <c r="L494" s="37" t="n">
        <v>367760</v>
      </c>
      <c r="M494" s="37" t="n">
        <v>1503315033</v>
      </c>
      <c r="N494" s="37" t="n">
        <v>274320</v>
      </c>
      <c r="O494" s="37" t="n">
        <v>1594711194</v>
      </c>
      <c r="P494" s="37" t="n">
        <v>139712</v>
      </c>
      <c r="Q494" s="37" t="n">
        <v>745576999</v>
      </c>
      <c r="R494" s="37" t="n">
        <v>600162</v>
      </c>
      <c r="S494" s="37" t="n">
        <v>5398172021</v>
      </c>
    </row>
    <row r="495">
      <c r="A495" s="37" t="inlineStr">
        <is>
          <t>107年</t>
        </is>
      </c>
      <c r="B495" s="37" t="inlineStr">
        <is>
          <t>02月</t>
        </is>
      </c>
      <c r="C495" s="36" t="inlineStr">
        <is>
          <t>其他</t>
        </is>
      </c>
      <c r="D495" s="37" t="n">
        <v>9120104</v>
      </c>
      <c r="E495" s="37" t="n">
        <v>23867836010</v>
      </c>
      <c r="F495" s="37" t="n">
        <v>4225079</v>
      </c>
      <c r="G495" s="37" t="n">
        <v>12878963842</v>
      </c>
      <c r="H495" s="37" t="n">
        <v>1469300</v>
      </c>
      <c r="I495" s="37" t="n">
        <v>5095202290</v>
      </c>
      <c r="J495" s="37" t="n">
        <v>894312</v>
      </c>
      <c r="K495" s="37" t="n">
        <v>4122995008</v>
      </c>
      <c r="L495" s="37" t="n">
        <v>318081</v>
      </c>
      <c r="M495" s="37" t="n">
        <v>1359888493</v>
      </c>
      <c r="N495" s="37" t="n">
        <v>232403</v>
      </c>
      <c r="O495" s="37" t="n">
        <v>1427711067</v>
      </c>
      <c r="P495" s="37" t="n">
        <v>121537</v>
      </c>
      <c r="Q495" s="37" t="n">
        <v>686035654</v>
      </c>
      <c r="R495" s="37" t="n">
        <v>511339</v>
      </c>
      <c r="S495" s="37" t="n">
        <v>4851741063</v>
      </c>
    </row>
    <row r="496">
      <c r="A496" s="37" t="inlineStr">
        <is>
          <t>107年</t>
        </is>
      </c>
      <c r="B496" s="37" t="inlineStr">
        <is>
          <t>03月</t>
        </is>
      </c>
      <c r="C496" s="36" t="inlineStr">
        <is>
          <t>其他</t>
        </is>
      </c>
      <c r="D496" s="37" t="n">
        <v>11253749</v>
      </c>
      <c r="E496" s="37" t="n">
        <v>31029009572</v>
      </c>
      <c r="F496" s="37" t="n">
        <v>5336221</v>
      </c>
      <c r="G496" s="37" t="n">
        <v>17214551556</v>
      </c>
      <c r="H496" s="37" t="n">
        <v>1832735</v>
      </c>
      <c r="I496" s="37" t="n">
        <v>6768327280</v>
      </c>
      <c r="J496" s="37" t="n">
        <v>1144241</v>
      </c>
      <c r="K496" s="37" t="n">
        <v>5776876683</v>
      </c>
      <c r="L496" s="37" t="n">
        <v>398769</v>
      </c>
      <c r="M496" s="37" t="n">
        <v>1754026546</v>
      </c>
      <c r="N496" s="37" t="n">
        <v>299798</v>
      </c>
      <c r="O496" s="37" t="n">
        <v>1781209328</v>
      </c>
      <c r="P496" s="37" t="n">
        <v>153972</v>
      </c>
      <c r="Q496" s="37" t="n">
        <v>882496769</v>
      </c>
      <c r="R496" s="37" t="n">
        <v>666092</v>
      </c>
      <c r="S496" s="37" t="n">
        <v>6716158841</v>
      </c>
    </row>
    <row r="497">
      <c r="A497" s="37" t="inlineStr">
        <is>
          <t>107年</t>
        </is>
      </c>
      <c r="B497" s="37" t="inlineStr">
        <is>
          <t>04月</t>
        </is>
      </c>
      <c r="C497" s="36" t="inlineStr">
        <is>
          <t>其他</t>
        </is>
      </c>
      <c r="D497" s="37" t="n">
        <v>11008758</v>
      </c>
      <c r="E497" s="37" t="n">
        <v>30606183614</v>
      </c>
      <c r="F497" s="37" t="n">
        <v>5240096</v>
      </c>
      <c r="G497" s="37" t="n">
        <v>16291218938</v>
      </c>
      <c r="H497" s="37" t="n">
        <v>1843879</v>
      </c>
      <c r="I497" s="37" t="n">
        <v>6495332926</v>
      </c>
      <c r="J497" s="37" t="n">
        <v>1122143</v>
      </c>
      <c r="K497" s="37" t="n">
        <v>5209840226</v>
      </c>
      <c r="L497" s="37" t="n">
        <v>399911</v>
      </c>
      <c r="M497" s="37" t="n">
        <v>1690199232</v>
      </c>
      <c r="N497" s="37" t="n">
        <v>304876</v>
      </c>
      <c r="O497" s="37" t="n">
        <v>1777715792</v>
      </c>
      <c r="P497" s="37" t="n">
        <v>156879</v>
      </c>
      <c r="Q497" s="37" t="n">
        <v>848554085</v>
      </c>
      <c r="R497" s="37" t="n">
        <v>663410</v>
      </c>
      <c r="S497" s="37" t="n">
        <v>5890120804</v>
      </c>
    </row>
    <row r="498">
      <c r="A498" s="37" t="inlineStr">
        <is>
          <t>107年</t>
        </is>
      </c>
      <c r="B498" s="37" t="inlineStr">
        <is>
          <t>05月</t>
        </is>
      </c>
      <c r="C498" s="36" t="inlineStr">
        <is>
          <t>其他</t>
        </is>
      </c>
      <c r="D498" s="37" t="n">
        <v>14105086</v>
      </c>
      <c r="E498" s="37" t="n">
        <v>72385805651</v>
      </c>
      <c r="F498" s="37" t="n">
        <v>6937178</v>
      </c>
      <c r="G498" s="37" t="n">
        <v>59708685402</v>
      </c>
      <c r="H498" s="37" t="n">
        <v>2568442</v>
      </c>
      <c r="I498" s="37" t="n">
        <v>27661454635</v>
      </c>
      <c r="J498" s="37" t="n">
        <v>1549332</v>
      </c>
      <c r="K498" s="37" t="n">
        <v>24836399550</v>
      </c>
      <c r="L498" s="37" t="n">
        <v>591164</v>
      </c>
      <c r="M498" s="37" t="n">
        <v>12452617984</v>
      </c>
      <c r="N498" s="37" t="n">
        <v>460453</v>
      </c>
      <c r="O498" s="37" t="n">
        <v>13455013466</v>
      </c>
      <c r="P498" s="37" t="n">
        <v>247507</v>
      </c>
      <c r="Q498" s="37" t="n">
        <v>15237261734</v>
      </c>
      <c r="R498" s="37" t="n">
        <v>1047590</v>
      </c>
      <c r="S498" s="37" t="n">
        <v>93697671444</v>
      </c>
    </row>
    <row r="499">
      <c r="A499" s="37" t="inlineStr">
        <is>
          <t>107年</t>
        </is>
      </c>
      <c r="B499" s="37" t="inlineStr">
        <is>
          <t>06月</t>
        </is>
      </c>
      <c r="C499" s="36" t="inlineStr">
        <is>
          <t>其他</t>
        </is>
      </c>
      <c r="D499" s="37" t="n">
        <v>12089234</v>
      </c>
      <c r="E499" s="37" t="n">
        <v>34094212789</v>
      </c>
      <c r="F499" s="37" t="n">
        <v>5479299</v>
      </c>
      <c r="G499" s="37" t="n">
        <v>16699330771</v>
      </c>
      <c r="H499" s="37" t="n">
        <v>1950816</v>
      </c>
      <c r="I499" s="37" t="n">
        <v>6966296350</v>
      </c>
      <c r="J499" s="37" t="n">
        <v>1169920</v>
      </c>
      <c r="K499" s="37" t="n">
        <v>5379004365</v>
      </c>
      <c r="L499" s="37" t="n">
        <v>438312</v>
      </c>
      <c r="M499" s="37" t="n">
        <v>2124780126</v>
      </c>
      <c r="N499" s="37" t="n">
        <v>340578</v>
      </c>
      <c r="O499" s="37" t="n">
        <v>2285862127</v>
      </c>
      <c r="P499" s="37" t="n">
        <v>182310</v>
      </c>
      <c r="Q499" s="37" t="n">
        <v>1270552142</v>
      </c>
      <c r="R499" s="37" t="n">
        <v>742359</v>
      </c>
      <c r="S499" s="37" t="n">
        <v>8675871263</v>
      </c>
    </row>
    <row r="500">
      <c r="A500" s="37" t="inlineStr">
        <is>
          <t>107年</t>
        </is>
      </c>
      <c r="B500" s="37" t="inlineStr">
        <is>
          <t>07月</t>
        </is>
      </c>
      <c r="C500" s="36" t="inlineStr">
        <is>
          <t>其他</t>
        </is>
      </c>
      <c r="D500" s="37" t="n">
        <v>12962622</v>
      </c>
      <c r="E500" s="37" t="n">
        <v>35207330742</v>
      </c>
      <c r="F500" s="37" t="n">
        <v>5989912</v>
      </c>
      <c r="G500" s="37" t="n">
        <v>18006448212</v>
      </c>
      <c r="H500" s="37" t="n">
        <v>2129149</v>
      </c>
      <c r="I500" s="37" t="n">
        <v>7339555849</v>
      </c>
      <c r="J500" s="37" t="n">
        <v>1276669</v>
      </c>
      <c r="K500" s="37" t="n">
        <v>5842706261</v>
      </c>
      <c r="L500" s="37" t="n">
        <v>474154</v>
      </c>
      <c r="M500" s="37" t="n">
        <v>2086669815</v>
      </c>
      <c r="N500" s="37" t="n">
        <v>367581</v>
      </c>
      <c r="O500" s="37" t="n">
        <v>2378716541</v>
      </c>
      <c r="P500" s="37" t="n">
        <v>191595</v>
      </c>
      <c r="Q500" s="37" t="n">
        <v>1171753552</v>
      </c>
      <c r="R500" s="37" t="n">
        <v>801323</v>
      </c>
      <c r="S500" s="37" t="n">
        <v>8570021003</v>
      </c>
    </row>
    <row r="501">
      <c r="A501" s="37" t="inlineStr">
        <is>
          <t>107年</t>
        </is>
      </c>
      <c r="B501" s="37" t="inlineStr">
        <is>
          <t>08月</t>
        </is>
      </c>
      <c r="C501" s="36" t="inlineStr">
        <is>
          <t>其他</t>
        </is>
      </c>
      <c r="D501" s="37" t="n">
        <v>11876168</v>
      </c>
      <c r="E501" s="37" t="n">
        <v>33314422193</v>
      </c>
      <c r="F501" s="37" t="n">
        <v>5473402</v>
      </c>
      <c r="G501" s="37" t="n">
        <v>16889665472</v>
      </c>
      <c r="H501" s="37" t="n">
        <v>1958259</v>
      </c>
      <c r="I501" s="37" t="n">
        <v>6818350303</v>
      </c>
      <c r="J501" s="37" t="n">
        <v>1165534</v>
      </c>
      <c r="K501" s="37" t="n">
        <v>5471569580</v>
      </c>
      <c r="L501" s="37" t="n">
        <v>440221</v>
      </c>
      <c r="M501" s="37" t="n">
        <v>2062704445</v>
      </c>
      <c r="N501" s="37" t="n">
        <v>340083</v>
      </c>
      <c r="O501" s="37" t="n">
        <v>2210573150</v>
      </c>
      <c r="P501" s="37" t="n">
        <v>176488</v>
      </c>
      <c r="Q501" s="37" t="n">
        <v>1125032438</v>
      </c>
      <c r="R501" s="37" t="n">
        <v>743148</v>
      </c>
      <c r="S501" s="37" t="n">
        <v>9181735362</v>
      </c>
    </row>
    <row r="502">
      <c r="A502" s="37" t="inlineStr">
        <is>
          <t>107年</t>
        </is>
      </c>
      <c r="B502" s="37" t="inlineStr">
        <is>
          <t>09月</t>
        </is>
      </c>
      <c r="C502" s="36" t="inlineStr">
        <is>
          <t>其他</t>
        </is>
      </c>
      <c r="D502" s="37" t="n">
        <v>11544554</v>
      </c>
      <c r="E502" s="37" t="n">
        <v>31564193152</v>
      </c>
      <c r="F502" s="37" t="n">
        <v>5308444</v>
      </c>
      <c r="G502" s="37" t="n">
        <v>16679038430</v>
      </c>
      <c r="H502" s="37" t="n">
        <v>1883986</v>
      </c>
      <c r="I502" s="37" t="n">
        <v>6486493105</v>
      </c>
      <c r="J502" s="37" t="n">
        <v>1119827</v>
      </c>
      <c r="K502" s="37" t="n">
        <v>5097428771</v>
      </c>
      <c r="L502" s="37" t="n">
        <v>423623</v>
      </c>
      <c r="M502" s="37" t="n">
        <v>1903702256</v>
      </c>
      <c r="N502" s="37" t="n">
        <v>326574</v>
      </c>
      <c r="O502" s="37" t="n">
        <v>2004489811</v>
      </c>
      <c r="P502" s="37" t="n">
        <v>168919</v>
      </c>
      <c r="Q502" s="37" t="n">
        <v>1024888923</v>
      </c>
      <c r="R502" s="37" t="n">
        <v>706409</v>
      </c>
      <c r="S502" s="37" t="n">
        <v>8251058640</v>
      </c>
    </row>
    <row r="503">
      <c r="A503" s="37" t="inlineStr">
        <is>
          <t>107年</t>
        </is>
      </c>
      <c r="B503" s="37" t="inlineStr">
        <is>
          <t>10月</t>
        </is>
      </c>
      <c r="C503" s="36" t="inlineStr">
        <is>
          <t>其他</t>
        </is>
      </c>
      <c r="D503" s="37" t="n">
        <v>12055562</v>
      </c>
      <c r="E503" s="37" t="n">
        <v>33463072743</v>
      </c>
      <c r="F503" s="37" t="n">
        <v>5553414</v>
      </c>
      <c r="G503" s="37" t="n">
        <v>16793360480</v>
      </c>
      <c r="H503" s="37" t="n">
        <v>1976092</v>
      </c>
      <c r="I503" s="37" t="n">
        <v>6882327364</v>
      </c>
      <c r="J503" s="37" t="n">
        <v>1176728</v>
      </c>
      <c r="K503" s="37" t="n">
        <v>5222272732</v>
      </c>
      <c r="L503" s="37" t="n">
        <v>440824</v>
      </c>
      <c r="M503" s="37" t="n">
        <v>2092641321</v>
      </c>
      <c r="N503" s="37" t="n">
        <v>345457</v>
      </c>
      <c r="O503" s="37" t="n">
        <v>2399226214</v>
      </c>
      <c r="P503" s="37" t="n">
        <v>178180</v>
      </c>
      <c r="Q503" s="37" t="n">
        <v>1178474926</v>
      </c>
      <c r="R503" s="37" t="n">
        <v>751346</v>
      </c>
      <c r="S503" s="37" t="n">
        <v>8784591386</v>
      </c>
    </row>
    <row r="504">
      <c r="A504" s="37" t="inlineStr">
        <is>
          <t>107年</t>
        </is>
      </c>
      <c r="B504" s="37" t="inlineStr">
        <is>
          <t>11月</t>
        </is>
      </c>
      <c r="C504" s="36" t="inlineStr">
        <is>
          <t>其他</t>
        </is>
      </c>
      <c r="D504" s="37" t="n">
        <v>12942920</v>
      </c>
      <c r="E504" s="37" t="n">
        <v>36098793408</v>
      </c>
      <c r="F504" s="37" t="n">
        <v>5996125</v>
      </c>
      <c r="G504" s="37" t="n">
        <v>18476373279</v>
      </c>
      <c r="H504" s="37" t="n">
        <v>2141631</v>
      </c>
      <c r="I504" s="37" t="n">
        <v>7576738200</v>
      </c>
      <c r="J504" s="37" t="n">
        <v>1267269</v>
      </c>
      <c r="K504" s="37" t="n">
        <v>6201868961</v>
      </c>
      <c r="L504" s="37" t="n">
        <v>478494</v>
      </c>
      <c r="M504" s="37" t="n">
        <v>2235878480</v>
      </c>
      <c r="N504" s="37" t="n">
        <v>369939</v>
      </c>
      <c r="O504" s="37" t="n">
        <v>2493557840</v>
      </c>
      <c r="P504" s="37" t="n">
        <v>193616</v>
      </c>
      <c r="Q504" s="37" t="n">
        <v>1239759090</v>
      </c>
      <c r="R504" s="37" t="n">
        <v>802202</v>
      </c>
      <c r="S504" s="37" t="n">
        <v>9338176474</v>
      </c>
    </row>
    <row r="505">
      <c r="A505" s="37" t="inlineStr">
        <is>
          <t>107年</t>
        </is>
      </c>
      <c r="B505" s="37" t="inlineStr">
        <is>
          <t>12月</t>
        </is>
      </c>
      <c r="C505" s="36" t="inlineStr">
        <is>
          <t>其他</t>
        </is>
      </c>
      <c r="D505" s="37" t="n">
        <v>13334032</v>
      </c>
      <c r="E505" s="37" t="n">
        <v>41413818002</v>
      </c>
      <c r="F505" s="37" t="n">
        <v>6061559</v>
      </c>
      <c r="G505" s="37" t="n">
        <v>20656382837</v>
      </c>
      <c r="H505" s="37" t="n">
        <v>2170212</v>
      </c>
      <c r="I505" s="37" t="n">
        <v>8665255261</v>
      </c>
      <c r="J505" s="37" t="n">
        <v>1288071</v>
      </c>
      <c r="K505" s="37" t="n">
        <v>6836333299</v>
      </c>
      <c r="L505" s="37" t="n">
        <v>487788</v>
      </c>
      <c r="M505" s="37" t="n">
        <v>2747745323</v>
      </c>
      <c r="N505" s="37" t="n">
        <v>380520</v>
      </c>
      <c r="O505" s="37" t="n">
        <v>3284443601</v>
      </c>
      <c r="P505" s="37" t="n">
        <v>198842</v>
      </c>
      <c r="Q505" s="37" t="n">
        <v>1618776907</v>
      </c>
      <c r="R505" s="37" t="n">
        <v>835077</v>
      </c>
      <c r="S505" s="37" t="n">
        <v>11605962116</v>
      </c>
    </row>
    <row r="506">
      <c r="A506" s="37" t="inlineStr">
        <is>
          <t>108年</t>
        </is>
      </c>
      <c r="B506" s="37" t="inlineStr">
        <is>
          <t>01月</t>
        </is>
      </c>
      <c r="C506" s="36" t="inlineStr">
        <is>
          <t>其他</t>
        </is>
      </c>
      <c r="D506" s="37" t="n">
        <v>13219393</v>
      </c>
      <c r="E506" s="37" t="n">
        <v>38204922817</v>
      </c>
      <c r="F506" s="37" t="n">
        <v>6163278</v>
      </c>
      <c r="G506" s="37" t="n">
        <v>20508522634</v>
      </c>
      <c r="H506" s="37" t="n">
        <v>2193238</v>
      </c>
      <c r="I506" s="37" t="n">
        <v>8288669003</v>
      </c>
      <c r="J506" s="37" t="n">
        <v>1307055</v>
      </c>
      <c r="K506" s="37" t="n">
        <v>6880293250</v>
      </c>
      <c r="L506" s="37" t="n">
        <v>492228</v>
      </c>
      <c r="M506" s="37" t="n">
        <v>2427496104</v>
      </c>
      <c r="N506" s="37" t="n">
        <v>384333</v>
      </c>
      <c r="O506" s="37" t="n">
        <v>3055161236</v>
      </c>
      <c r="P506" s="37" t="n">
        <v>200123</v>
      </c>
      <c r="Q506" s="37" t="n">
        <v>1331305351</v>
      </c>
      <c r="R506" s="37" t="n">
        <v>847696</v>
      </c>
      <c r="S506" s="37" t="n">
        <v>11128790743</v>
      </c>
    </row>
    <row r="507">
      <c r="A507" s="37" t="inlineStr">
        <is>
          <t>108年</t>
        </is>
      </c>
      <c r="B507" s="37" t="inlineStr">
        <is>
          <t>02月</t>
        </is>
      </c>
      <c r="C507" s="36" t="inlineStr">
        <is>
          <t>其他</t>
        </is>
      </c>
      <c r="D507" s="37" t="n">
        <v>10318594</v>
      </c>
      <c r="E507" s="37" t="n">
        <v>26486294615</v>
      </c>
      <c r="F507" s="37" t="n">
        <v>4863117</v>
      </c>
      <c r="G507" s="37" t="n">
        <v>14312403341</v>
      </c>
      <c r="H507" s="37" t="n">
        <v>1734694</v>
      </c>
      <c r="I507" s="37" t="n">
        <v>5702510043</v>
      </c>
      <c r="J507" s="37" t="n">
        <v>1025348</v>
      </c>
      <c r="K507" s="37" t="n">
        <v>4755013139</v>
      </c>
      <c r="L507" s="37" t="n">
        <v>384512</v>
      </c>
      <c r="M507" s="37" t="n">
        <v>1740531703</v>
      </c>
      <c r="N507" s="37" t="n">
        <v>300784</v>
      </c>
      <c r="O507" s="37" t="n">
        <v>2093292481</v>
      </c>
      <c r="P507" s="37" t="n">
        <v>156498</v>
      </c>
      <c r="Q507" s="37" t="n">
        <v>998887521</v>
      </c>
      <c r="R507" s="37" t="n">
        <v>662769</v>
      </c>
      <c r="S507" s="37" t="n">
        <v>7311364326</v>
      </c>
    </row>
    <row r="508">
      <c r="A508" s="37" t="inlineStr">
        <is>
          <t>108年</t>
        </is>
      </c>
      <c r="B508" s="37" t="inlineStr">
        <is>
          <t>03月</t>
        </is>
      </c>
      <c r="C508" s="36" t="inlineStr">
        <is>
          <t>其他</t>
        </is>
      </c>
      <c r="D508" s="37" t="n">
        <v>13103087</v>
      </c>
      <c r="E508" s="37" t="n">
        <v>36330636845</v>
      </c>
      <c r="F508" s="37" t="n">
        <v>6014743</v>
      </c>
      <c r="G508" s="37" t="n">
        <v>18975704240</v>
      </c>
      <c r="H508" s="37" t="n">
        <v>2151230</v>
      </c>
      <c r="I508" s="37" t="n">
        <v>7606674389</v>
      </c>
      <c r="J508" s="37" t="n">
        <v>1271052</v>
      </c>
      <c r="K508" s="37" t="n">
        <v>6000110283</v>
      </c>
      <c r="L508" s="37" t="n">
        <v>484770</v>
      </c>
      <c r="M508" s="37" t="n">
        <v>2441257445</v>
      </c>
      <c r="N508" s="37" t="n">
        <v>382221</v>
      </c>
      <c r="O508" s="37" t="n">
        <v>2923476477</v>
      </c>
      <c r="P508" s="37" t="n">
        <v>199731</v>
      </c>
      <c r="Q508" s="37" t="n">
        <v>1360050750</v>
      </c>
      <c r="R508" s="37" t="n">
        <v>853136</v>
      </c>
      <c r="S508" s="37" t="n">
        <v>11315960731</v>
      </c>
    </row>
    <row r="509">
      <c r="A509" s="37" t="inlineStr">
        <is>
          <t>108年</t>
        </is>
      </c>
      <c r="B509" s="37" t="inlineStr">
        <is>
          <t>04月</t>
        </is>
      </c>
      <c r="C509" s="36" t="inlineStr">
        <is>
          <t>其他</t>
        </is>
      </c>
      <c r="D509" s="37" t="n">
        <v>12601379</v>
      </c>
      <c r="E509" s="37" t="n">
        <v>36216812196</v>
      </c>
      <c r="F509" s="37" t="n">
        <v>5769992</v>
      </c>
      <c r="G509" s="37" t="n">
        <v>19528756961</v>
      </c>
      <c r="H509" s="37" t="n">
        <v>2103484</v>
      </c>
      <c r="I509" s="37" t="n">
        <v>8015971010</v>
      </c>
      <c r="J509" s="37" t="n">
        <v>1245583</v>
      </c>
      <c r="K509" s="37" t="n">
        <v>6034605678</v>
      </c>
      <c r="L509" s="37" t="n">
        <v>481983</v>
      </c>
      <c r="M509" s="37" t="n">
        <v>2358887854</v>
      </c>
      <c r="N509" s="37" t="n">
        <v>380079</v>
      </c>
      <c r="O509" s="37" t="n">
        <v>2869050103</v>
      </c>
      <c r="P509" s="37" t="n">
        <v>201222</v>
      </c>
      <c r="Q509" s="37" t="n">
        <v>1386658823</v>
      </c>
      <c r="R509" s="37" t="n">
        <v>865495</v>
      </c>
      <c r="S509" s="37" t="n">
        <v>11751186212</v>
      </c>
    </row>
    <row r="510">
      <c r="A510" s="37" t="inlineStr">
        <is>
          <t>108年</t>
        </is>
      </c>
      <c r="B510" s="37" t="inlineStr">
        <is>
          <t>05月</t>
        </is>
      </c>
      <c r="C510" s="36" t="inlineStr">
        <is>
          <t>其他</t>
        </is>
      </c>
      <c r="D510" s="37" t="n">
        <v>12901671</v>
      </c>
      <c r="E510" s="37" t="n">
        <v>42305510356</v>
      </c>
      <c r="F510" s="37" t="n">
        <v>6040474</v>
      </c>
      <c r="G510" s="37" t="n">
        <v>26893821430</v>
      </c>
      <c r="H510" s="37" t="n">
        <v>2242090</v>
      </c>
      <c r="I510" s="37" t="n">
        <v>11856425626</v>
      </c>
      <c r="J510" s="37" t="n">
        <v>1323312</v>
      </c>
      <c r="K510" s="37" t="n">
        <v>10927475241</v>
      </c>
      <c r="L510" s="37" t="n">
        <v>522866</v>
      </c>
      <c r="M510" s="37" t="n">
        <v>4784210964</v>
      </c>
      <c r="N510" s="37" t="n">
        <v>412425</v>
      </c>
      <c r="O510" s="37" t="n">
        <v>5251393337</v>
      </c>
      <c r="P510" s="37" t="n">
        <v>223294</v>
      </c>
      <c r="Q510" s="37" t="n">
        <v>4498318072</v>
      </c>
      <c r="R510" s="37" t="n">
        <v>955912</v>
      </c>
      <c r="S510" s="37" t="n">
        <v>31896829710</v>
      </c>
    </row>
    <row r="511">
      <c r="A511" s="37" t="inlineStr">
        <is>
          <t>108年</t>
        </is>
      </c>
      <c r="B511" s="37" t="inlineStr">
        <is>
          <t>06月</t>
        </is>
      </c>
      <c r="C511" s="36" t="inlineStr">
        <is>
          <t>其他</t>
        </is>
      </c>
      <c r="D511" s="37" t="n">
        <v>12108211</v>
      </c>
      <c r="E511" s="37" t="n">
        <v>29920466429</v>
      </c>
      <c r="F511" s="37" t="n">
        <v>5578453</v>
      </c>
      <c r="G511" s="37" t="n">
        <v>16115571060</v>
      </c>
      <c r="H511" s="37" t="n">
        <v>2047876</v>
      </c>
      <c r="I511" s="37" t="n">
        <v>6638644221</v>
      </c>
      <c r="J511" s="37" t="n">
        <v>1195341</v>
      </c>
      <c r="K511" s="37" t="n">
        <v>4910251052</v>
      </c>
      <c r="L511" s="37" t="n">
        <v>474263</v>
      </c>
      <c r="M511" s="37" t="n">
        <v>2089265754</v>
      </c>
      <c r="N511" s="37" t="n">
        <v>368215</v>
      </c>
      <c r="O511" s="37" t="n">
        <v>2274980694</v>
      </c>
      <c r="P511" s="37" t="n">
        <v>199526</v>
      </c>
      <c r="Q511" s="37" t="n">
        <v>1233145422</v>
      </c>
      <c r="R511" s="37" t="n">
        <v>841422</v>
      </c>
      <c r="S511" s="37" t="n">
        <v>10833073821</v>
      </c>
    </row>
    <row r="512">
      <c r="A512" s="37" t="inlineStr">
        <is>
          <t>108年</t>
        </is>
      </c>
      <c r="B512" s="37" t="inlineStr">
        <is>
          <t>07月</t>
        </is>
      </c>
      <c r="C512" s="36" t="inlineStr">
        <is>
          <t>其他</t>
        </is>
      </c>
      <c r="D512" s="37" t="n">
        <v>14752155</v>
      </c>
      <c r="E512" s="37" t="n">
        <v>38315699344</v>
      </c>
      <c r="F512" s="37" t="n">
        <v>6860931</v>
      </c>
      <c r="G512" s="37" t="n">
        <v>20385718001</v>
      </c>
      <c r="H512" s="37" t="n">
        <v>2504810</v>
      </c>
      <c r="I512" s="37" t="n">
        <v>8324640560</v>
      </c>
      <c r="J512" s="37" t="n">
        <v>1456963</v>
      </c>
      <c r="K512" s="37" t="n">
        <v>6572519320</v>
      </c>
      <c r="L512" s="37" t="n">
        <v>576000</v>
      </c>
      <c r="M512" s="37" t="n">
        <v>2613792619</v>
      </c>
      <c r="N512" s="37" t="n">
        <v>451942</v>
      </c>
      <c r="O512" s="37" t="n">
        <v>2884933383</v>
      </c>
      <c r="P512" s="37" t="n">
        <v>242779</v>
      </c>
      <c r="Q512" s="37" t="n">
        <v>1573391146</v>
      </c>
      <c r="R512" s="37" t="n">
        <v>1037265</v>
      </c>
      <c r="S512" s="37" t="n">
        <v>15559819614</v>
      </c>
    </row>
    <row r="513">
      <c r="A513" s="37" t="inlineStr">
        <is>
          <t>108年</t>
        </is>
      </c>
      <c r="B513" s="37" t="inlineStr">
        <is>
          <t>08月</t>
        </is>
      </c>
      <c r="C513" s="36" t="inlineStr">
        <is>
          <t>其他</t>
        </is>
      </c>
      <c r="D513" s="37" t="n">
        <v>13533598</v>
      </c>
      <c r="E513" s="37" t="n">
        <v>32880832920</v>
      </c>
      <c r="F513" s="37" t="n">
        <v>6312037</v>
      </c>
      <c r="G513" s="37" t="n">
        <v>18135740657</v>
      </c>
      <c r="H513" s="37" t="n">
        <v>2303388</v>
      </c>
      <c r="I513" s="37" t="n">
        <v>7396697911</v>
      </c>
      <c r="J513" s="37" t="n">
        <v>1319662</v>
      </c>
      <c r="K513" s="37" t="n">
        <v>5859960595</v>
      </c>
      <c r="L513" s="37" t="n">
        <v>529110</v>
      </c>
      <c r="M513" s="37" t="n">
        <v>2267982288</v>
      </c>
      <c r="N513" s="37" t="n">
        <v>405873</v>
      </c>
      <c r="O513" s="37" t="n">
        <v>2446360451</v>
      </c>
      <c r="P513" s="37" t="n">
        <v>221722</v>
      </c>
      <c r="Q513" s="37" t="n">
        <v>1277371169</v>
      </c>
      <c r="R513" s="37" t="n">
        <v>920126</v>
      </c>
      <c r="S513" s="37" t="n">
        <v>12885745342</v>
      </c>
    </row>
    <row r="514">
      <c r="A514" s="37" t="inlineStr">
        <is>
          <t>108年</t>
        </is>
      </c>
      <c r="B514" s="37" t="inlineStr">
        <is>
          <t>09月</t>
        </is>
      </c>
      <c r="C514" s="36" t="inlineStr">
        <is>
          <t>其他</t>
        </is>
      </c>
      <c r="D514" s="37" t="n">
        <v>12469205</v>
      </c>
      <c r="E514" s="37" t="n">
        <v>31168690690</v>
      </c>
      <c r="F514" s="37" t="n">
        <v>5763455</v>
      </c>
      <c r="G514" s="37" t="n">
        <v>17006023607</v>
      </c>
      <c r="H514" s="37" t="n">
        <v>2108119</v>
      </c>
      <c r="I514" s="37" t="n">
        <v>6779420247</v>
      </c>
      <c r="J514" s="37" t="n">
        <v>1207918</v>
      </c>
      <c r="K514" s="37" t="n">
        <v>5148402102</v>
      </c>
      <c r="L514" s="37" t="n">
        <v>488770</v>
      </c>
      <c r="M514" s="37" t="n">
        <v>2031895796</v>
      </c>
      <c r="N514" s="37" t="n">
        <v>374120</v>
      </c>
      <c r="O514" s="37" t="n">
        <v>2221142056</v>
      </c>
      <c r="P514" s="37" t="n">
        <v>204051</v>
      </c>
      <c r="Q514" s="37" t="n">
        <v>1247685277</v>
      </c>
      <c r="R514" s="37" t="n">
        <v>852581</v>
      </c>
      <c r="S514" s="37" t="n">
        <v>12833446648</v>
      </c>
    </row>
    <row r="515">
      <c r="A515" s="37" t="inlineStr">
        <is>
          <t>108年</t>
        </is>
      </c>
      <c r="B515" s="37" t="inlineStr">
        <is>
          <t>10月</t>
        </is>
      </c>
      <c r="C515" s="36" t="inlineStr">
        <is>
          <t>其他</t>
        </is>
      </c>
      <c r="D515" s="37" t="n">
        <v>13934668</v>
      </c>
      <c r="E515" s="37" t="n">
        <v>35378889465</v>
      </c>
      <c r="F515" s="37" t="n">
        <v>6294253</v>
      </c>
      <c r="G515" s="37" t="n">
        <v>18525760248</v>
      </c>
      <c r="H515" s="37" t="n">
        <v>2319401</v>
      </c>
      <c r="I515" s="37" t="n">
        <v>7506939196</v>
      </c>
      <c r="J515" s="37" t="n">
        <v>1345397</v>
      </c>
      <c r="K515" s="37" t="n">
        <v>5641310699</v>
      </c>
      <c r="L515" s="37" t="n">
        <v>547532</v>
      </c>
      <c r="M515" s="37" t="n">
        <v>2357664656</v>
      </c>
      <c r="N515" s="37" t="n">
        <v>429487</v>
      </c>
      <c r="O515" s="37" t="n">
        <v>2696171591</v>
      </c>
      <c r="P515" s="37" t="n">
        <v>232204</v>
      </c>
      <c r="Q515" s="37" t="n">
        <v>1459546259</v>
      </c>
      <c r="R515" s="37" t="n">
        <v>995911</v>
      </c>
      <c r="S515" s="37" t="n">
        <v>11959381238</v>
      </c>
    </row>
    <row r="516">
      <c r="A516" s="37" t="inlineStr">
        <is>
          <t>108年</t>
        </is>
      </c>
      <c r="B516" s="37" t="inlineStr">
        <is>
          <t>11月</t>
        </is>
      </c>
      <c r="C516" s="36" t="inlineStr">
        <is>
          <t>其他</t>
        </is>
      </c>
      <c r="D516" s="37" t="n">
        <v>13997155</v>
      </c>
      <c r="E516" s="37" t="n">
        <v>36015228840</v>
      </c>
      <c r="F516" s="37" t="n">
        <v>6261965</v>
      </c>
      <c r="G516" s="37" t="n">
        <v>18836847846</v>
      </c>
      <c r="H516" s="37" t="n">
        <v>2324877</v>
      </c>
      <c r="I516" s="37" t="n">
        <v>7832957131</v>
      </c>
      <c r="J516" s="37" t="n">
        <v>1339813</v>
      </c>
      <c r="K516" s="37" t="n">
        <v>5901713190</v>
      </c>
      <c r="L516" s="37" t="n">
        <v>556934</v>
      </c>
      <c r="M516" s="37" t="n">
        <v>2610083847</v>
      </c>
      <c r="N516" s="37" t="n">
        <v>431350</v>
      </c>
      <c r="O516" s="37" t="n">
        <v>2781284080</v>
      </c>
      <c r="P516" s="37" t="n">
        <v>235525</v>
      </c>
      <c r="Q516" s="37" t="n">
        <v>1445813369</v>
      </c>
      <c r="R516" s="37" t="n">
        <v>1000709</v>
      </c>
      <c r="S516" s="37" t="n">
        <v>12234891821</v>
      </c>
    </row>
    <row r="517">
      <c r="A517" s="37" t="inlineStr">
        <is>
          <t>108年</t>
        </is>
      </c>
      <c r="B517" s="37" t="inlineStr">
        <is>
          <t>12月</t>
        </is>
      </c>
      <c r="C517" s="36" t="inlineStr">
        <is>
          <t>其他</t>
        </is>
      </c>
      <c r="D517" s="37" t="n">
        <v>14707495</v>
      </c>
      <c r="E517" s="37" t="n">
        <v>40539523019</v>
      </c>
      <c r="F517" s="37" t="n">
        <v>6578826</v>
      </c>
      <c r="G517" s="37" t="n">
        <v>22445222559</v>
      </c>
      <c r="H517" s="37" t="n">
        <v>2424225</v>
      </c>
      <c r="I517" s="37" t="n">
        <v>9273107278</v>
      </c>
      <c r="J517" s="37" t="n">
        <v>1395933</v>
      </c>
      <c r="K517" s="37" t="n">
        <v>6908142225</v>
      </c>
      <c r="L517" s="37" t="n">
        <v>571544</v>
      </c>
      <c r="M517" s="37" t="n">
        <v>2876286697</v>
      </c>
      <c r="N517" s="37" t="n">
        <v>446580</v>
      </c>
      <c r="O517" s="37" t="n">
        <v>3308197995</v>
      </c>
      <c r="P517" s="37" t="n">
        <v>241529</v>
      </c>
      <c r="Q517" s="37" t="n">
        <v>1711831117</v>
      </c>
      <c r="R517" s="37" t="n">
        <v>1027566</v>
      </c>
      <c r="S517" s="37" t="n">
        <v>14398622425</v>
      </c>
    </row>
    <row r="518">
      <c r="A518" s="37" t="inlineStr">
        <is>
          <t>109年</t>
        </is>
      </c>
      <c r="B518" s="37" t="inlineStr">
        <is>
          <t>01月</t>
        </is>
      </c>
      <c r="C518" s="36" t="inlineStr">
        <is>
          <t>其他</t>
        </is>
      </c>
      <c r="D518" s="37" t="n">
        <v>13573161</v>
      </c>
      <c r="E518" s="37" t="n">
        <v>32019595817</v>
      </c>
      <c r="F518" s="37" t="n">
        <v>6082857</v>
      </c>
      <c r="G518" s="37" t="n">
        <v>17254945863</v>
      </c>
      <c r="H518" s="37" t="n">
        <v>2249509</v>
      </c>
      <c r="I518" s="37" t="n">
        <v>7133155092</v>
      </c>
      <c r="J518" s="37" t="n">
        <v>1282145</v>
      </c>
      <c r="K518" s="37" t="n">
        <v>5209060609</v>
      </c>
      <c r="L518" s="37" t="n">
        <v>529618</v>
      </c>
      <c r="M518" s="37" t="n">
        <v>2127257878</v>
      </c>
      <c r="N518" s="37" t="n">
        <v>409830</v>
      </c>
      <c r="O518" s="37" t="n">
        <v>2310140209</v>
      </c>
      <c r="P518" s="37" t="n">
        <v>224226</v>
      </c>
      <c r="Q518" s="37" t="n">
        <v>1279694862</v>
      </c>
      <c r="R518" s="37" t="n">
        <v>941789</v>
      </c>
      <c r="S518" s="37" t="n">
        <v>11287623949</v>
      </c>
    </row>
    <row r="519">
      <c r="A519" s="37" t="inlineStr">
        <is>
          <t>109年</t>
        </is>
      </c>
      <c r="B519" s="37" t="inlineStr">
        <is>
          <t>02月</t>
        </is>
      </c>
      <c r="C519" s="36" t="inlineStr">
        <is>
          <t>其他</t>
        </is>
      </c>
      <c r="D519" s="37" t="n">
        <v>13907857</v>
      </c>
      <c r="E519" s="37" t="n">
        <v>31447893071</v>
      </c>
      <c r="F519" s="37" t="n">
        <v>6126311</v>
      </c>
      <c r="G519" s="37" t="n">
        <v>16532388369</v>
      </c>
      <c r="H519" s="37" t="n">
        <v>2265558</v>
      </c>
      <c r="I519" s="37" t="n">
        <v>6807862616</v>
      </c>
      <c r="J519" s="37" t="n">
        <v>1301673</v>
      </c>
      <c r="K519" s="37" t="n">
        <v>4816093273</v>
      </c>
      <c r="L519" s="37" t="n">
        <v>537220</v>
      </c>
      <c r="M519" s="37" t="n">
        <v>2078976452</v>
      </c>
      <c r="N519" s="37" t="n">
        <v>418094</v>
      </c>
      <c r="O519" s="37" t="n">
        <v>2152831226</v>
      </c>
      <c r="P519" s="37" t="n">
        <v>229000</v>
      </c>
      <c r="Q519" s="37" t="n">
        <v>1169643826</v>
      </c>
      <c r="R519" s="37" t="n">
        <v>965390</v>
      </c>
      <c r="S519" s="37" t="n">
        <v>9017072197</v>
      </c>
    </row>
  </sheetData>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Q152"/>
  <sheetViews>
    <sheetView zoomScale="115" zoomScaleNormal="115" workbookViewId="0">
      <selection activeCell="A1" sqref="A1"/>
    </sheetView>
  </sheetViews>
  <sheetFormatPr baseColWidth="8" defaultColWidth="8.453125" defaultRowHeight="17"/>
  <cols>
    <col width="18" customWidth="1" style="142" min="1" max="1"/>
    <col width="19.90625" customWidth="1" style="142" min="2" max="2"/>
    <col width="14.90625" customWidth="1" style="142" min="3" max="16"/>
  </cols>
  <sheetData>
    <row r="1">
      <c r="A1" s="141" t="inlineStr">
        <is>
          <t xml:space="preserve">信用卡　　　　</t>
        </is>
      </c>
      <c r="C1" s="64" t="inlineStr">
        <is>
          <t>95年</t>
        </is>
      </c>
      <c r="D1" s="64" t="inlineStr">
        <is>
          <t>96年</t>
        </is>
      </c>
      <c r="E1" s="64" t="inlineStr">
        <is>
          <t>97年</t>
        </is>
      </c>
      <c r="F1" s="64" t="inlineStr">
        <is>
          <t>98年</t>
        </is>
      </c>
      <c r="G1" s="64" t="inlineStr">
        <is>
          <t>99年</t>
        </is>
      </c>
      <c r="H1" s="64" t="inlineStr">
        <is>
          <t>100年</t>
        </is>
      </c>
      <c r="I1" s="64" t="inlineStr">
        <is>
          <t>101年</t>
        </is>
      </c>
      <c r="J1" s="64" t="inlineStr">
        <is>
          <t>102年</t>
        </is>
      </c>
      <c r="K1" s="64" t="inlineStr">
        <is>
          <t>103年</t>
        </is>
      </c>
      <c r="L1" s="64" t="inlineStr">
        <is>
          <t>104年</t>
        </is>
      </c>
      <c r="M1" s="64" t="inlineStr">
        <is>
          <t>105年</t>
        </is>
      </c>
      <c r="N1" s="64" t="inlineStr">
        <is>
          <t>106年</t>
        </is>
      </c>
      <c r="O1" s="64" t="inlineStr">
        <is>
          <t>107年</t>
        </is>
      </c>
      <c r="P1" s="64" t="inlineStr">
        <is>
          <t>108年</t>
        </is>
      </c>
      <c r="Q1" s="36" t="inlineStr">
        <is>
          <t>單位：新臺幣百萬元</t>
        </is>
      </c>
    </row>
    <row r="2">
      <c r="A2" s="36" t="inlineStr">
        <is>
          <t>流通卡數(張)</t>
        </is>
      </c>
      <c r="B2" s="36" t="inlineStr">
        <is>
          <t>總計</t>
        </is>
      </c>
      <c r="C2" s="201" t="n">
        <v>38323706</v>
      </c>
      <c r="D2" s="201" t="n">
        <v>36437097</v>
      </c>
      <c r="E2" s="201" t="n">
        <v>33950436</v>
      </c>
      <c r="F2" s="201" t="n">
        <v>30566700</v>
      </c>
      <c r="G2" s="201" t="n">
        <v>30705583</v>
      </c>
      <c r="H2" s="201" t="n">
        <v>32854677</v>
      </c>
      <c r="I2" s="201" t="n">
        <v>34076153</v>
      </c>
      <c r="J2" s="201" t="n">
        <v>35945865</v>
      </c>
      <c r="K2" s="201" t="n">
        <v>37389298</v>
      </c>
      <c r="L2" s="201" t="n">
        <v>38518206</v>
      </c>
      <c r="M2" s="201" t="n">
        <v>40701606</v>
      </c>
      <c r="N2" s="201" t="n">
        <v>41729994</v>
      </c>
      <c r="O2" s="201" t="n">
        <v>44031472</v>
      </c>
      <c r="P2" s="201" t="n">
        <v>47392036</v>
      </c>
    </row>
    <row r="3">
      <c r="B3" s="36" t="inlineStr">
        <is>
          <t>台北富邦銀行</t>
        </is>
      </c>
      <c r="C3" s="201" t="n">
        <v>2292391</v>
      </c>
      <c r="D3" s="201" t="n">
        <v>2391390</v>
      </c>
      <c r="E3" s="201" t="n">
        <v>2187774</v>
      </c>
      <c r="F3" s="201" t="n">
        <v>1924327</v>
      </c>
      <c r="G3" s="201" t="n">
        <v>2119294</v>
      </c>
      <c r="H3" s="201" t="n">
        <v>2062066</v>
      </c>
      <c r="I3" s="201" t="n">
        <v>2128030</v>
      </c>
      <c r="J3" s="201" t="n">
        <v>2297851</v>
      </c>
      <c r="K3" s="201" t="n">
        <v>2367995</v>
      </c>
      <c r="L3" s="201" t="n">
        <v>2251364</v>
      </c>
      <c r="M3" s="201" t="n">
        <v>2392960</v>
      </c>
      <c r="N3" s="201" t="n">
        <v>2371653</v>
      </c>
      <c r="O3" s="201" t="n">
        <v>2483835</v>
      </c>
      <c r="P3" s="201" t="n">
        <v>3288239</v>
      </c>
    </row>
    <row r="4">
      <c r="B4" s="36" t="inlineStr">
        <is>
          <t>國泰世華商業銀行</t>
        </is>
      </c>
      <c r="C4" s="201" t="n">
        <v>3413173</v>
      </c>
      <c r="D4" s="201" t="n">
        <v>3456083</v>
      </c>
      <c r="E4" s="201" t="n">
        <v>3332108</v>
      </c>
      <c r="F4" s="201" t="n">
        <v>2960709</v>
      </c>
      <c r="G4" s="201" t="n">
        <v>3045079</v>
      </c>
      <c r="H4" s="201" t="n">
        <v>3258327</v>
      </c>
      <c r="I4" s="201" t="n">
        <v>3443084</v>
      </c>
      <c r="J4" s="201" t="n">
        <v>4290249</v>
      </c>
      <c r="K4" s="201" t="n">
        <v>4762856</v>
      </c>
      <c r="L4" s="201" t="n">
        <v>5153580</v>
      </c>
      <c r="M4" s="201" t="n">
        <v>5889738</v>
      </c>
      <c r="N4" s="201" t="n">
        <v>6053831</v>
      </c>
      <c r="O4" s="201" t="n">
        <v>6351621</v>
      </c>
      <c r="P4" s="201" t="n">
        <v>6734229</v>
      </c>
    </row>
    <row r="5">
      <c r="B5" s="36" t="inlineStr">
        <is>
          <t>花旗(臺灣)商業銀行</t>
        </is>
      </c>
      <c r="C5" s="201" t="n">
        <v>790322</v>
      </c>
      <c r="D5" s="201" t="n">
        <v>776912</v>
      </c>
      <c r="E5" s="201" t="n">
        <v>434856</v>
      </c>
      <c r="F5" s="201" t="n">
        <v>2388479</v>
      </c>
      <c r="G5" s="201" t="n">
        <v>2397372</v>
      </c>
      <c r="H5" s="201" t="n">
        <v>2518423</v>
      </c>
      <c r="I5" s="201" t="n">
        <v>2655739</v>
      </c>
      <c r="J5" s="201" t="n">
        <v>2753613</v>
      </c>
      <c r="K5" s="201" t="n">
        <v>2908755</v>
      </c>
      <c r="L5" s="201" t="n">
        <v>2913583</v>
      </c>
      <c r="M5" s="201" t="n">
        <v>2883733</v>
      </c>
      <c r="N5" s="201" t="n">
        <v>2898529</v>
      </c>
      <c r="O5" s="201" t="n">
        <v>2902421</v>
      </c>
      <c r="P5" s="201" t="n">
        <v>2897671</v>
      </c>
    </row>
    <row r="6">
      <c r="B6" s="36" t="inlineStr">
        <is>
          <t>聯邦商業銀行</t>
        </is>
      </c>
      <c r="C6" s="201" t="n">
        <v>2932337</v>
      </c>
      <c r="D6" s="201" t="n">
        <v>2852622</v>
      </c>
      <c r="E6" s="201" t="n">
        <v>2842672</v>
      </c>
      <c r="F6" s="201" t="n">
        <v>2041647</v>
      </c>
      <c r="G6" s="201" t="n">
        <v>1680984</v>
      </c>
      <c r="H6" s="201" t="n">
        <v>2068118</v>
      </c>
      <c r="I6" s="201" t="n">
        <v>1875580</v>
      </c>
      <c r="J6" s="201" t="n">
        <v>1827104</v>
      </c>
      <c r="K6" s="201" t="n">
        <v>1770774</v>
      </c>
      <c r="L6" s="201" t="n">
        <v>1825288</v>
      </c>
      <c r="M6" s="201" t="n">
        <v>2015520</v>
      </c>
      <c r="N6" s="201" t="n">
        <v>2036860</v>
      </c>
      <c r="O6" s="201" t="n">
        <v>2126989</v>
      </c>
      <c r="P6" s="201" t="n">
        <v>2162706</v>
      </c>
    </row>
    <row r="7">
      <c r="B7" s="36" t="inlineStr">
        <is>
          <t>遠東國際商業銀行</t>
        </is>
      </c>
      <c r="C7" s="201" t="n">
        <v>815104</v>
      </c>
      <c r="D7" s="201" t="n">
        <v>932608</v>
      </c>
      <c r="E7" s="201" t="n">
        <v>1028118</v>
      </c>
      <c r="F7" s="201" t="n">
        <v>1200905</v>
      </c>
      <c r="G7" s="201" t="n">
        <v>1191531</v>
      </c>
      <c r="H7" s="201" t="n">
        <v>1285576</v>
      </c>
      <c r="I7" s="201" t="n">
        <v>1435506</v>
      </c>
      <c r="J7" s="201" t="n">
        <v>1417036</v>
      </c>
      <c r="K7" s="201" t="n">
        <v>1487776</v>
      </c>
      <c r="L7" s="201" t="n">
        <v>1498301</v>
      </c>
      <c r="M7" s="201" t="n">
        <v>1790432</v>
      </c>
      <c r="N7" s="201" t="n">
        <v>1481903</v>
      </c>
      <c r="O7" s="201" t="n">
        <v>1501790</v>
      </c>
      <c r="P7" s="201" t="n">
        <v>1587131</v>
      </c>
    </row>
    <row r="8">
      <c r="B8" s="36" t="inlineStr">
        <is>
          <t>永豐商業銀行</t>
        </is>
      </c>
      <c r="C8" s="174" t="inlineStr">
        <is>
          <t>－</t>
        </is>
      </c>
      <c r="D8" s="174" t="inlineStr">
        <is>
          <t>－</t>
        </is>
      </c>
      <c r="E8" s="174" t="inlineStr">
        <is>
          <t>－</t>
        </is>
      </c>
      <c r="F8" s="201" t="n">
        <v>1359037</v>
      </c>
      <c r="G8" s="201" t="n">
        <v>1433176</v>
      </c>
      <c r="H8" s="201" t="n">
        <v>2178989</v>
      </c>
      <c r="I8" s="201" t="n">
        <v>2247996</v>
      </c>
      <c r="J8" s="201" t="n">
        <v>2137494</v>
      </c>
      <c r="K8" s="201" t="n">
        <v>2178171</v>
      </c>
      <c r="L8" s="201" t="n">
        <v>2144920</v>
      </c>
      <c r="M8" s="201" t="n">
        <v>1935059</v>
      </c>
      <c r="N8" s="201" t="n">
        <v>1784613</v>
      </c>
      <c r="O8" s="201" t="n">
        <v>1826196</v>
      </c>
      <c r="P8" s="201" t="n">
        <v>1986502</v>
      </c>
    </row>
    <row r="9">
      <c r="B9" s="36" t="inlineStr">
        <is>
          <t>玉山商業銀行</t>
        </is>
      </c>
      <c r="C9" s="201" t="n">
        <v>2231385</v>
      </c>
      <c r="D9" s="201" t="n">
        <v>2312493</v>
      </c>
      <c r="E9" s="201" t="n">
        <v>2471563</v>
      </c>
      <c r="F9" s="201" t="n">
        <v>2474966</v>
      </c>
      <c r="G9" s="201" t="n">
        <v>2621712</v>
      </c>
      <c r="H9" s="201" t="n">
        <v>2837753</v>
      </c>
      <c r="I9" s="201" t="n">
        <v>3162599</v>
      </c>
      <c r="J9" s="201" t="n">
        <v>3477314</v>
      </c>
      <c r="K9" s="201" t="n">
        <v>3694268</v>
      </c>
      <c r="L9" s="201" t="n">
        <v>3950889</v>
      </c>
      <c r="M9" s="201" t="n">
        <v>4293887</v>
      </c>
      <c r="N9" s="201" t="n">
        <v>4573228</v>
      </c>
      <c r="O9" s="201" t="n">
        <v>4869490</v>
      </c>
      <c r="P9" s="201" t="n">
        <v>5824072</v>
      </c>
    </row>
    <row r="10">
      <c r="B10" s="36" t="inlineStr">
        <is>
          <t>台新國際商業銀行</t>
        </is>
      </c>
      <c r="C10" s="201" t="n">
        <v>3393882</v>
      </c>
      <c r="D10" s="201" t="n">
        <v>2993175</v>
      </c>
      <c r="E10" s="201" t="n">
        <v>2624094</v>
      </c>
      <c r="F10" s="201" t="n">
        <v>2318085</v>
      </c>
      <c r="G10" s="201" t="n">
        <v>3002853</v>
      </c>
      <c r="H10" s="201" t="n">
        <v>2960949</v>
      </c>
      <c r="I10" s="201" t="n">
        <v>3146559</v>
      </c>
      <c r="J10" s="201" t="n">
        <v>3450814</v>
      </c>
      <c r="K10" s="201" t="n">
        <v>3497227</v>
      </c>
      <c r="L10" s="201" t="n">
        <v>3550799</v>
      </c>
      <c r="M10" s="201" t="n">
        <v>3776524</v>
      </c>
      <c r="N10" s="201" t="n">
        <v>4119324</v>
      </c>
      <c r="O10" s="201" t="n">
        <v>4644710</v>
      </c>
      <c r="P10" s="201" t="n">
        <v>5353487</v>
      </c>
    </row>
    <row r="11">
      <c r="A11" s="65" t="n"/>
      <c r="B11" s="66" t="inlineStr">
        <is>
          <t>中國信託商業銀行</t>
        </is>
      </c>
      <c r="C11" s="204" t="n">
        <v>6010831</v>
      </c>
      <c r="D11" s="204" t="n">
        <v>5631569</v>
      </c>
      <c r="E11" s="204" t="n">
        <v>5117509</v>
      </c>
      <c r="F11" s="204" t="n">
        <v>4957310</v>
      </c>
      <c r="G11" s="204" t="n">
        <v>5166407</v>
      </c>
      <c r="H11" s="204" t="n">
        <v>5382359</v>
      </c>
      <c r="I11" s="204" t="n">
        <v>5402703</v>
      </c>
      <c r="J11" s="204" t="n">
        <v>5643285</v>
      </c>
      <c r="K11" s="204" t="n">
        <v>5765205</v>
      </c>
      <c r="L11" s="204" t="n">
        <v>5858730</v>
      </c>
      <c r="M11" s="204" t="n">
        <v>5984594</v>
      </c>
      <c r="N11" s="204" t="n">
        <v>6361648</v>
      </c>
      <c r="O11" s="204" t="n">
        <v>6835717</v>
      </c>
      <c r="P11" s="204" t="n">
        <v>6872801</v>
      </c>
    </row>
    <row r="12">
      <c r="A12" s="36" t="inlineStr">
        <is>
          <t>有效卡數(張)</t>
        </is>
      </c>
      <c r="B12" s="36" t="inlineStr">
        <is>
          <t>總計</t>
        </is>
      </c>
      <c r="C12" s="201" t="n">
        <v>20406353</v>
      </c>
      <c r="D12" s="201" t="n">
        <v>19764978</v>
      </c>
      <c r="E12" s="201" t="n">
        <v>19455242</v>
      </c>
      <c r="F12" s="201" t="n">
        <v>18827666</v>
      </c>
      <c r="G12" s="201" t="n">
        <v>19527730</v>
      </c>
      <c r="H12" s="201" t="n">
        <v>20759561</v>
      </c>
      <c r="I12" s="201" t="n">
        <v>21497916</v>
      </c>
      <c r="J12" s="201" t="n">
        <v>22564423</v>
      </c>
      <c r="K12" s="201" t="n">
        <v>24365955</v>
      </c>
      <c r="L12" s="201" t="n">
        <v>25357316</v>
      </c>
      <c r="M12" s="201" t="n">
        <v>27023826</v>
      </c>
      <c r="N12" s="201" t="n">
        <v>28034710</v>
      </c>
      <c r="O12" s="201" t="n">
        <v>29573988</v>
      </c>
      <c r="P12" s="201" t="n">
        <v>31922289</v>
      </c>
    </row>
    <row r="13">
      <c r="B13" s="36" t="inlineStr">
        <is>
          <t>台北富邦銀行</t>
        </is>
      </c>
      <c r="C13" s="201" t="n">
        <v>1570934</v>
      </c>
      <c r="D13" s="201" t="n">
        <v>1571312</v>
      </c>
      <c r="E13" s="201" t="n">
        <v>1461751</v>
      </c>
      <c r="F13" s="201" t="n">
        <v>1421374</v>
      </c>
      <c r="G13" s="201" t="n">
        <v>1578521</v>
      </c>
      <c r="H13" s="201" t="n">
        <v>1431196</v>
      </c>
      <c r="I13" s="201" t="n">
        <v>1437501</v>
      </c>
      <c r="J13" s="201" t="n">
        <v>1545651</v>
      </c>
      <c r="K13" s="201" t="n">
        <v>1612886</v>
      </c>
      <c r="L13" s="201" t="n">
        <v>1628623</v>
      </c>
      <c r="M13" s="201" t="n">
        <v>1745168</v>
      </c>
      <c r="N13" s="201" t="n">
        <v>1742111</v>
      </c>
      <c r="O13" s="201" t="n">
        <v>1779209</v>
      </c>
      <c r="P13" s="201" t="n">
        <v>2102023</v>
      </c>
    </row>
    <row r="14">
      <c r="B14" s="36" t="inlineStr">
        <is>
          <t>國泰世華商業銀行</t>
        </is>
      </c>
      <c r="C14" s="201" t="n">
        <v>1918421</v>
      </c>
      <c r="D14" s="201" t="n">
        <v>2013898</v>
      </c>
      <c r="E14" s="201" t="n">
        <v>2000323</v>
      </c>
      <c r="F14" s="201" t="n">
        <v>1914136</v>
      </c>
      <c r="G14" s="201" t="n">
        <v>2055552</v>
      </c>
      <c r="H14" s="201" t="n">
        <v>2250354</v>
      </c>
      <c r="I14" s="201" t="n">
        <v>2391378</v>
      </c>
      <c r="J14" s="201" t="n">
        <v>2942089</v>
      </c>
      <c r="K14" s="201" t="n">
        <v>3366147</v>
      </c>
      <c r="L14" s="201" t="n">
        <v>3625066</v>
      </c>
      <c r="M14" s="201" t="n">
        <v>4170575</v>
      </c>
      <c r="N14" s="201" t="n">
        <v>4356648</v>
      </c>
      <c r="O14" s="201" t="n">
        <v>4666053</v>
      </c>
      <c r="P14" s="201" t="n">
        <v>4974594</v>
      </c>
    </row>
    <row r="15">
      <c r="B15" s="36" t="inlineStr">
        <is>
          <t>花旗(臺灣)商業銀行</t>
        </is>
      </c>
      <c r="C15" s="201" t="n">
        <v>324551</v>
      </c>
      <c r="D15" s="201" t="n">
        <v>305111</v>
      </c>
      <c r="E15" s="201" t="n">
        <v>257750</v>
      </c>
      <c r="F15" s="201" t="n">
        <v>1852826</v>
      </c>
      <c r="G15" s="201" t="n">
        <v>1967871</v>
      </c>
      <c r="H15" s="201" t="n">
        <v>2100104</v>
      </c>
      <c r="I15" s="201" t="n">
        <v>2271777</v>
      </c>
      <c r="J15" s="201" t="n">
        <v>2402793</v>
      </c>
      <c r="K15" s="201" t="n">
        <v>2490900</v>
      </c>
      <c r="L15" s="201" t="n">
        <v>2482087</v>
      </c>
      <c r="M15" s="201" t="n">
        <v>2445067</v>
      </c>
      <c r="N15" s="201" t="n">
        <v>2467008</v>
      </c>
      <c r="O15" s="201" t="n">
        <v>2429395</v>
      </c>
      <c r="P15" s="201" t="n">
        <v>2317987</v>
      </c>
    </row>
    <row r="16">
      <c r="B16" s="36" t="inlineStr">
        <is>
          <t>聯邦商業銀行</t>
        </is>
      </c>
      <c r="C16" s="201" t="n">
        <v>1268849</v>
      </c>
      <c r="D16" s="201" t="n">
        <v>1231184</v>
      </c>
      <c r="E16" s="201" t="n">
        <v>1178477</v>
      </c>
      <c r="F16" s="201" t="n">
        <v>1078194</v>
      </c>
      <c r="G16" s="201" t="n">
        <v>974536</v>
      </c>
      <c r="H16" s="201" t="n">
        <v>981561</v>
      </c>
      <c r="I16" s="201" t="n">
        <v>791746</v>
      </c>
      <c r="J16" s="201" t="n">
        <v>787833</v>
      </c>
      <c r="K16" s="201" t="n">
        <v>789016</v>
      </c>
      <c r="L16" s="201" t="n">
        <v>812939</v>
      </c>
      <c r="M16" s="201" t="n">
        <v>1083892</v>
      </c>
      <c r="N16" s="201" t="n">
        <v>1152629</v>
      </c>
      <c r="O16" s="201" t="n">
        <v>1174896</v>
      </c>
      <c r="P16" s="201" t="n">
        <v>1266940</v>
      </c>
    </row>
    <row r="17">
      <c r="B17" s="36" t="inlineStr">
        <is>
          <t>遠東國際商業銀行</t>
        </is>
      </c>
      <c r="C17" s="201" t="n">
        <v>382463</v>
      </c>
      <c r="D17" s="201" t="n">
        <v>550988</v>
      </c>
      <c r="E17" s="201" t="n">
        <v>623455</v>
      </c>
      <c r="F17" s="201" t="n">
        <v>739063</v>
      </c>
      <c r="G17" s="201" t="n">
        <v>727843</v>
      </c>
      <c r="H17" s="201" t="n">
        <v>788445</v>
      </c>
      <c r="I17" s="201" t="n">
        <v>893346</v>
      </c>
      <c r="J17" s="201" t="n">
        <v>952952</v>
      </c>
      <c r="K17" s="201" t="n">
        <v>1008679</v>
      </c>
      <c r="L17" s="201" t="n">
        <v>1023468</v>
      </c>
      <c r="M17" s="201" t="n">
        <v>1095414</v>
      </c>
      <c r="N17" s="201" t="n">
        <v>980455</v>
      </c>
      <c r="O17" s="201" t="n">
        <v>1017995</v>
      </c>
      <c r="P17" s="201" t="n">
        <v>1052137</v>
      </c>
    </row>
    <row r="18">
      <c r="B18" s="36" t="inlineStr">
        <is>
          <t>永豐商業銀行</t>
        </is>
      </c>
      <c r="C18" s="174" t="inlineStr">
        <is>
          <t>－</t>
        </is>
      </c>
      <c r="D18" s="174" t="inlineStr">
        <is>
          <t>－</t>
        </is>
      </c>
      <c r="E18" s="174" t="inlineStr">
        <is>
          <t>－</t>
        </is>
      </c>
      <c r="F18" s="201" t="n">
        <v>894138</v>
      </c>
      <c r="G18" s="201" t="n">
        <v>886540</v>
      </c>
      <c r="H18" s="201" t="n">
        <v>1344938</v>
      </c>
      <c r="I18" s="201" t="n">
        <v>1323974</v>
      </c>
      <c r="J18" s="201" t="n">
        <v>1308048</v>
      </c>
      <c r="K18" s="201" t="n">
        <v>1325493</v>
      </c>
      <c r="L18" s="201" t="n">
        <v>1323940</v>
      </c>
      <c r="M18" s="201" t="n">
        <v>1273076</v>
      </c>
      <c r="N18" s="201" t="n">
        <v>1030411</v>
      </c>
      <c r="O18" s="201" t="n">
        <v>1015669</v>
      </c>
      <c r="P18" s="201" t="n">
        <v>1015915</v>
      </c>
    </row>
    <row r="19">
      <c r="B19" s="36" t="inlineStr">
        <is>
          <t>玉山商業銀行</t>
        </is>
      </c>
      <c r="C19" s="201" t="n">
        <v>1353647</v>
      </c>
      <c r="D19" s="201" t="n">
        <v>1382314</v>
      </c>
      <c r="E19" s="201" t="n">
        <v>1531266</v>
      </c>
      <c r="F19" s="201" t="n">
        <v>1554341</v>
      </c>
      <c r="G19" s="201" t="n">
        <v>1638228</v>
      </c>
      <c r="H19" s="201" t="n">
        <v>1772391</v>
      </c>
      <c r="I19" s="201" t="n">
        <v>2106291</v>
      </c>
      <c r="J19" s="201" t="n">
        <v>2350835</v>
      </c>
      <c r="K19" s="201" t="n">
        <v>2540538</v>
      </c>
      <c r="L19" s="201" t="n">
        <v>2770051</v>
      </c>
      <c r="M19" s="201" t="n">
        <v>2990512</v>
      </c>
      <c r="N19" s="201" t="n">
        <v>3218922</v>
      </c>
      <c r="O19" s="201" t="n">
        <v>3403851</v>
      </c>
      <c r="P19" s="201" t="n">
        <v>4173821</v>
      </c>
    </row>
    <row r="20">
      <c r="B20" s="36" t="inlineStr">
        <is>
          <t>台新國際商業銀行</t>
        </is>
      </c>
      <c r="C20" s="201" t="n">
        <v>2026778</v>
      </c>
      <c r="D20" s="201" t="n">
        <v>1772328</v>
      </c>
      <c r="E20" s="201" t="n">
        <v>1670689</v>
      </c>
      <c r="F20" s="201" t="n">
        <v>1560270</v>
      </c>
      <c r="G20" s="201" t="n">
        <v>1819643</v>
      </c>
      <c r="H20" s="201" t="n">
        <v>1904510</v>
      </c>
      <c r="I20" s="201" t="n">
        <v>2000967</v>
      </c>
      <c r="J20" s="201" t="n">
        <v>2162241</v>
      </c>
      <c r="K20" s="201" t="n">
        <v>2402513</v>
      </c>
      <c r="L20" s="201" t="n">
        <v>2464211</v>
      </c>
      <c r="M20" s="201" t="n">
        <v>2640499</v>
      </c>
      <c r="N20" s="201" t="n">
        <v>2920177</v>
      </c>
      <c r="O20" s="201" t="n">
        <v>3261631</v>
      </c>
      <c r="P20" s="201" t="n">
        <v>3794049</v>
      </c>
    </row>
    <row r="21">
      <c r="A21" s="65" t="n"/>
      <c r="B21" s="66" t="inlineStr">
        <is>
          <t>中國信託商業銀行</t>
        </is>
      </c>
      <c r="C21" s="204" t="n">
        <v>3844878</v>
      </c>
      <c r="D21" s="204" t="n">
        <v>3834246</v>
      </c>
      <c r="E21" s="204" t="n">
        <v>3538766</v>
      </c>
      <c r="F21" s="204" t="n">
        <v>3411468</v>
      </c>
      <c r="G21" s="204" t="n">
        <v>3525062</v>
      </c>
      <c r="H21" s="204" t="n">
        <v>3679229</v>
      </c>
      <c r="I21" s="204" t="n">
        <v>3610775</v>
      </c>
      <c r="J21" s="204" t="n">
        <v>3296334</v>
      </c>
      <c r="K21" s="204" t="n">
        <v>3734067</v>
      </c>
      <c r="L21" s="204" t="n">
        <v>3837764</v>
      </c>
      <c r="M21" s="204" t="n">
        <v>3853818</v>
      </c>
      <c r="N21" s="204" t="n">
        <v>4106622</v>
      </c>
      <c r="O21" s="204" t="n">
        <v>4476559</v>
      </c>
      <c r="P21" s="204" t="n">
        <v>4669805</v>
      </c>
    </row>
    <row r="22">
      <c r="A22" s="36" t="inlineStr">
        <is>
          <t>本月發卡數(張)</t>
        </is>
      </c>
      <c r="B22" s="36" t="inlineStr">
        <is>
          <t>總計</t>
        </is>
      </c>
      <c r="C22" s="201" t="n">
        <v>4075632</v>
      </c>
      <c r="D22" s="201" t="n">
        <v>3933004</v>
      </c>
      <c r="E22" s="201" t="n">
        <v>4275617</v>
      </c>
      <c r="F22" s="201" t="n">
        <v>3173605</v>
      </c>
      <c r="G22" s="201" t="n">
        <v>3849148</v>
      </c>
      <c r="H22" s="201" t="n">
        <v>6593419</v>
      </c>
      <c r="I22" s="201" t="n">
        <v>4724869</v>
      </c>
      <c r="J22" s="201" t="n">
        <v>6644543</v>
      </c>
      <c r="K22" s="201" t="n">
        <v>5314199</v>
      </c>
      <c r="L22" s="201" t="n">
        <v>5034279</v>
      </c>
      <c r="M22" s="201" t="n">
        <v>6621020</v>
      </c>
      <c r="N22" s="201" t="n">
        <v>5666395</v>
      </c>
      <c r="O22" s="201" t="n">
        <v>5966859</v>
      </c>
      <c r="P22" s="201" t="n">
        <v>7843526</v>
      </c>
    </row>
    <row r="23">
      <c r="B23" s="36" t="inlineStr">
        <is>
          <t>台北富邦銀行</t>
        </is>
      </c>
      <c r="C23" s="201" t="n">
        <v>644531</v>
      </c>
      <c r="D23" s="201" t="n">
        <v>554659</v>
      </c>
      <c r="E23" s="201" t="n">
        <v>321963</v>
      </c>
      <c r="F23" s="201" t="n">
        <v>222342</v>
      </c>
      <c r="G23" s="201" t="n">
        <v>423043</v>
      </c>
      <c r="H23" s="201" t="n">
        <v>625274</v>
      </c>
      <c r="I23" s="201" t="n">
        <v>361873</v>
      </c>
      <c r="J23" s="201" t="n">
        <v>419100</v>
      </c>
      <c r="K23" s="201" t="n">
        <v>343378</v>
      </c>
      <c r="L23" s="201" t="n">
        <v>349630</v>
      </c>
      <c r="M23" s="201" t="n">
        <v>480361</v>
      </c>
      <c r="N23" s="201" t="n">
        <v>299995</v>
      </c>
      <c r="O23" s="201" t="n">
        <v>267235</v>
      </c>
      <c r="P23" s="201" t="n">
        <v>967469</v>
      </c>
    </row>
    <row r="24">
      <c r="B24" s="36" t="inlineStr">
        <is>
          <t>國泰世華商業銀行</t>
        </is>
      </c>
      <c r="C24" s="201" t="n">
        <v>261526</v>
      </c>
      <c r="D24" s="201" t="n">
        <v>384725</v>
      </c>
      <c r="E24" s="201" t="n">
        <v>382936</v>
      </c>
      <c r="F24" s="201" t="n">
        <v>231836</v>
      </c>
      <c r="G24" s="201" t="n">
        <v>346072</v>
      </c>
      <c r="H24" s="201" t="n">
        <v>498454</v>
      </c>
      <c r="I24" s="201" t="n">
        <v>458545</v>
      </c>
      <c r="J24" s="201" t="n">
        <v>1124355</v>
      </c>
      <c r="K24" s="201" t="n">
        <v>794707</v>
      </c>
      <c r="L24" s="201" t="n">
        <v>772517</v>
      </c>
      <c r="M24" s="201" t="n">
        <v>1183592</v>
      </c>
      <c r="N24" s="201" t="n">
        <v>732247</v>
      </c>
      <c r="O24" s="201" t="n">
        <v>788420</v>
      </c>
      <c r="P24" s="201" t="n">
        <v>785554</v>
      </c>
    </row>
    <row r="25">
      <c r="B25" s="36" t="inlineStr">
        <is>
          <t>花旗(臺灣)商業銀行</t>
        </is>
      </c>
      <c r="C25" s="201" t="n">
        <v>73848</v>
      </c>
      <c r="D25" s="201" t="n">
        <v>27592</v>
      </c>
      <c r="E25" s="174" t="inlineStr">
        <is>
          <t>－</t>
        </is>
      </c>
      <c r="F25" s="201" t="n">
        <v>133780</v>
      </c>
      <c r="G25" s="201" t="n">
        <v>337422</v>
      </c>
      <c r="H25" s="201" t="n">
        <v>343010</v>
      </c>
      <c r="I25" s="201" t="n">
        <v>303902</v>
      </c>
      <c r="J25" s="201" t="n">
        <v>307579</v>
      </c>
      <c r="K25" s="201" t="n">
        <v>347492</v>
      </c>
      <c r="L25" s="201" t="n">
        <v>217236</v>
      </c>
      <c r="M25" s="201" t="n">
        <v>199753</v>
      </c>
      <c r="N25" s="201" t="n">
        <v>269693</v>
      </c>
      <c r="O25" s="201" t="n">
        <v>252113</v>
      </c>
      <c r="P25" s="201" t="n">
        <v>243525</v>
      </c>
    </row>
    <row r="26">
      <c r="B26" s="36" t="inlineStr">
        <is>
          <t>聯邦商業銀行</t>
        </is>
      </c>
      <c r="C26" s="201" t="n">
        <v>639466</v>
      </c>
      <c r="D26" s="201" t="n">
        <v>200182</v>
      </c>
      <c r="E26" s="201" t="n">
        <v>206182</v>
      </c>
      <c r="F26" s="201" t="n">
        <v>123975</v>
      </c>
      <c r="G26" s="201" t="n">
        <v>79438</v>
      </c>
      <c r="H26" s="201" t="n">
        <v>709292</v>
      </c>
      <c r="I26" s="201" t="n">
        <v>168973</v>
      </c>
      <c r="J26" s="201" t="n">
        <v>193140</v>
      </c>
      <c r="K26" s="201" t="n">
        <v>167197</v>
      </c>
      <c r="L26" s="201" t="n">
        <v>255916</v>
      </c>
      <c r="M26" s="201" t="n">
        <v>471514</v>
      </c>
      <c r="N26" s="201" t="n">
        <v>300525</v>
      </c>
      <c r="O26" s="201" t="n">
        <v>257072</v>
      </c>
      <c r="P26" s="201" t="n">
        <v>384237</v>
      </c>
    </row>
    <row r="27">
      <c r="B27" s="36" t="inlineStr">
        <is>
          <t>遠東國際商業銀行</t>
        </is>
      </c>
      <c r="C27" s="201" t="n">
        <v>190540</v>
      </c>
      <c r="D27" s="201" t="n">
        <v>209165</v>
      </c>
      <c r="E27" s="201" t="n">
        <v>162778</v>
      </c>
      <c r="F27" s="201" t="n">
        <v>244988</v>
      </c>
      <c r="G27" s="201" t="n">
        <v>78828</v>
      </c>
      <c r="H27" s="201" t="n">
        <v>168165</v>
      </c>
      <c r="I27" s="201" t="n">
        <v>252323</v>
      </c>
      <c r="J27" s="201" t="n">
        <v>133408</v>
      </c>
      <c r="K27" s="201" t="n">
        <v>174077</v>
      </c>
      <c r="L27" s="201" t="n">
        <v>156151</v>
      </c>
      <c r="M27" s="201" t="n">
        <v>549255</v>
      </c>
      <c r="N27" s="201" t="n">
        <v>175846</v>
      </c>
      <c r="O27" s="201" t="n">
        <v>146539</v>
      </c>
      <c r="P27" s="201" t="n">
        <v>163268</v>
      </c>
    </row>
    <row r="28">
      <c r="B28" s="36" t="inlineStr">
        <is>
          <t>永豐商業銀行</t>
        </is>
      </c>
      <c r="C28" s="174" t="inlineStr">
        <is>
          <t>－</t>
        </is>
      </c>
      <c r="D28" s="174" t="inlineStr">
        <is>
          <t>－</t>
        </is>
      </c>
      <c r="E28" s="174" t="inlineStr">
        <is>
          <t>－</t>
        </is>
      </c>
      <c r="F28" s="201" t="n">
        <v>35696</v>
      </c>
      <c r="G28" s="201" t="n">
        <v>169302</v>
      </c>
      <c r="H28" s="201" t="n">
        <v>957722</v>
      </c>
      <c r="I28" s="201" t="n">
        <v>280226</v>
      </c>
      <c r="J28" s="201" t="n">
        <v>254146</v>
      </c>
      <c r="K28" s="201" t="n">
        <v>258768</v>
      </c>
      <c r="L28" s="201" t="n">
        <v>231388</v>
      </c>
      <c r="M28" s="201" t="n">
        <v>459777</v>
      </c>
      <c r="N28" s="201" t="n">
        <v>170412</v>
      </c>
      <c r="O28" s="201" t="n">
        <v>170544</v>
      </c>
      <c r="P28" s="201" t="n">
        <v>546785</v>
      </c>
    </row>
    <row r="29">
      <c r="B29" s="36" t="inlineStr">
        <is>
          <t>玉山商業銀行</t>
        </is>
      </c>
      <c r="C29" s="201" t="n">
        <v>168929</v>
      </c>
      <c r="D29" s="201" t="n">
        <v>186536</v>
      </c>
      <c r="E29" s="201" t="n">
        <v>418099</v>
      </c>
      <c r="F29" s="201" t="n">
        <v>200291</v>
      </c>
      <c r="G29" s="201" t="n">
        <v>442031</v>
      </c>
      <c r="H29" s="201" t="n">
        <v>803694</v>
      </c>
      <c r="I29" s="201" t="n">
        <v>559786</v>
      </c>
      <c r="J29" s="201" t="n">
        <v>582733</v>
      </c>
      <c r="K29" s="201" t="n">
        <v>646158</v>
      </c>
      <c r="L29" s="201" t="n">
        <v>521929</v>
      </c>
      <c r="M29" s="201" t="n">
        <v>618600</v>
      </c>
      <c r="N29" s="201" t="n">
        <v>584989</v>
      </c>
      <c r="O29" s="201" t="n">
        <v>564726</v>
      </c>
      <c r="P29" s="201" t="n">
        <v>1289865</v>
      </c>
    </row>
    <row r="30">
      <c r="B30" s="36" t="inlineStr">
        <is>
          <t>台新國際商業銀行</t>
        </is>
      </c>
      <c r="C30" s="201" t="n">
        <v>214188</v>
      </c>
      <c r="D30" s="201" t="n">
        <v>261230</v>
      </c>
      <c r="E30" s="201" t="n">
        <v>418965</v>
      </c>
      <c r="F30" s="201" t="n">
        <v>266702</v>
      </c>
      <c r="G30" s="201" t="n">
        <v>338313</v>
      </c>
      <c r="H30" s="201" t="n">
        <v>409298</v>
      </c>
      <c r="I30" s="201" t="n">
        <v>546486</v>
      </c>
      <c r="J30" s="201" t="n">
        <v>571125</v>
      </c>
      <c r="K30" s="201" t="n">
        <v>610934</v>
      </c>
      <c r="L30" s="201" t="n">
        <v>400561</v>
      </c>
      <c r="M30" s="201" t="n">
        <v>487740</v>
      </c>
      <c r="N30" s="201" t="n">
        <v>616649</v>
      </c>
      <c r="O30" s="201" t="n">
        <v>781930</v>
      </c>
      <c r="P30" s="201" t="n">
        <v>1054362</v>
      </c>
    </row>
    <row r="31">
      <c r="A31" s="65" t="n"/>
      <c r="B31" s="66" t="inlineStr">
        <is>
          <t>中國信託商業銀行</t>
        </is>
      </c>
      <c r="C31" s="204" t="n">
        <v>612178</v>
      </c>
      <c r="D31" s="204" t="n">
        <v>679498</v>
      </c>
      <c r="E31" s="204" t="n">
        <v>517890</v>
      </c>
      <c r="F31" s="204" t="n">
        <v>533082</v>
      </c>
      <c r="G31" s="204" t="n">
        <v>510419</v>
      </c>
      <c r="H31" s="204" t="n">
        <v>906060</v>
      </c>
      <c r="I31" s="204" t="n">
        <v>553694</v>
      </c>
      <c r="J31" s="204" t="n">
        <v>1838136</v>
      </c>
      <c r="K31" s="204" t="n">
        <v>565606</v>
      </c>
      <c r="L31" s="204" t="n">
        <v>567212</v>
      </c>
      <c r="M31" s="204" t="n">
        <v>612854</v>
      </c>
      <c r="N31" s="204" t="n">
        <v>914255</v>
      </c>
      <c r="O31" s="204" t="n">
        <v>884748</v>
      </c>
      <c r="P31" s="204" t="n">
        <v>854788</v>
      </c>
    </row>
    <row r="32">
      <c r="A32" s="36" t="inlineStr">
        <is>
          <t>本月停卡數(張)</t>
        </is>
      </c>
      <c r="B32" s="36" t="inlineStr">
        <is>
          <t>總計</t>
        </is>
      </c>
      <c r="C32" s="201" t="n">
        <v>10903504</v>
      </c>
      <c r="D32" s="201" t="n">
        <v>5587433</v>
      </c>
      <c r="E32" s="201" t="n">
        <v>6618200</v>
      </c>
      <c r="F32" s="201" t="n">
        <v>6408233</v>
      </c>
      <c r="G32" s="201" t="n">
        <v>3642776</v>
      </c>
      <c r="H32" s="201" t="n">
        <v>4375842</v>
      </c>
      <c r="I32" s="201" t="n">
        <v>3556216</v>
      </c>
      <c r="J32" s="201" t="n">
        <v>4813344</v>
      </c>
      <c r="K32" s="201" t="n">
        <v>3975913</v>
      </c>
      <c r="L32" s="201" t="n">
        <v>3944562</v>
      </c>
      <c r="M32" s="201" t="n">
        <v>4569737</v>
      </c>
      <c r="N32" s="201" t="n">
        <v>4699348</v>
      </c>
      <c r="O32" s="201" t="n">
        <v>3771270</v>
      </c>
      <c r="P32" s="201" t="n">
        <v>4359243</v>
      </c>
    </row>
    <row r="33">
      <c r="B33" s="36" t="inlineStr">
        <is>
          <t>台北富邦銀行</t>
        </is>
      </c>
      <c r="C33" s="201" t="n">
        <v>507803</v>
      </c>
      <c r="D33" s="201" t="n">
        <v>410474</v>
      </c>
      <c r="E33" s="201" t="n">
        <v>525579</v>
      </c>
      <c r="F33" s="201" t="n">
        <v>485789</v>
      </c>
      <c r="G33" s="201" t="n">
        <v>228076</v>
      </c>
      <c r="H33" s="201" t="n">
        <v>682502</v>
      </c>
      <c r="I33" s="201" t="n">
        <v>295909</v>
      </c>
      <c r="J33" s="201" t="n">
        <v>249279</v>
      </c>
      <c r="K33" s="201" t="n">
        <v>273234</v>
      </c>
      <c r="L33" s="201" t="n">
        <v>466261</v>
      </c>
      <c r="M33" s="201" t="n">
        <v>338765</v>
      </c>
      <c r="N33" s="201" t="n">
        <v>321302</v>
      </c>
      <c r="O33" s="201" t="n">
        <v>155053</v>
      </c>
      <c r="P33" s="201" t="n">
        <v>163065</v>
      </c>
    </row>
    <row r="34">
      <c r="B34" s="36" t="inlineStr">
        <is>
          <t>國泰世華商業銀行</t>
        </is>
      </c>
      <c r="C34" s="201" t="n">
        <v>609061</v>
      </c>
      <c r="D34" s="201" t="n">
        <v>341815</v>
      </c>
      <c r="E34" s="201" t="n">
        <v>506911</v>
      </c>
      <c r="F34" s="201" t="n">
        <v>603235</v>
      </c>
      <c r="G34" s="201" t="n">
        <v>261702</v>
      </c>
      <c r="H34" s="201" t="n">
        <v>285206</v>
      </c>
      <c r="I34" s="201" t="n">
        <v>273788</v>
      </c>
      <c r="J34" s="201" t="n">
        <v>277190</v>
      </c>
      <c r="K34" s="201" t="n">
        <v>322100</v>
      </c>
      <c r="L34" s="201" t="n">
        <v>381791</v>
      </c>
      <c r="M34" s="201" t="n">
        <v>447434</v>
      </c>
      <c r="N34" s="201" t="n">
        <v>568155</v>
      </c>
      <c r="O34" s="201" t="n">
        <v>490630</v>
      </c>
      <c r="P34" s="201" t="n">
        <v>402946</v>
      </c>
    </row>
    <row r="35">
      <c r="B35" s="36" t="inlineStr">
        <is>
          <t>花旗(臺灣)商業銀行</t>
        </is>
      </c>
      <c r="C35" s="201" t="n">
        <v>102135</v>
      </c>
      <c r="D35" s="201" t="n">
        <v>46365</v>
      </c>
      <c r="E35" s="201" t="n">
        <v>342056</v>
      </c>
      <c r="F35" s="201" t="n">
        <v>156796</v>
      </c>
      <c r="G35" s="201" t="n">
        <v>405660</v>
      </c>
      <c r="H35" s="201" t="n">
        <v>313157</v>
      </c>
      <c r="I35" s="201" t="n">
        <v>274801</v>
      </c>
      <c r="J35" s="201" t="n">
        <v>295475</v>
      </c>
      <c r="K35" s="201" t="n">
        <v>308773</v>
      </c>
      <c r="L35" s="201" t="n">
        <v>350974</v>
      </c>
      <c r="M35" s="201" t="n">
        <v>358616</v>
      </c>
      <c r="N35" s="201" t="n">
        <v>319771</v>
      </c>
      <c r="O35" s="201" t="n">
        <v>262923</v>
      </c>
      <c r="P35" s="201" t="n">
        <v>254403</v>
      </c>
    </row>
    <row r="36">
      <c r="B36" s="36" t="inlineStr">
        <is>
          <t>聯邦商業銀行</t>
        </is>
      </c>
      <c r="C36" s="201" t="n">
        <v>646781</v>
      </c>
      <c r="D36" s="201" t="n">
        <v>279897</v>
      </c>
      <c r="E36" s="201" t="n">
        <v>216132</v>
      </c>
      <c r="F36" s="201" t="n">
        <v>923487</v>
      </c>
      <c r="G36" s="201" t="n">
        <v>440101</v>
      </c>
      <c r="H36" s="201" t="n">
        <v>322158</v>
      </c>
      <c r="I36" s="201" t="n">
        <v>361511</v>
      </c>
      <c r="J36" s="201" t="n">
        <v>241616</v>
      </c>
      <c r="K36" s="201" t="n">
        <v>223527</v>
      </c>
      <c r="L36" s="201" t="n">
        <v>201402</v>
      </c>
      <c r="M36" s="201" t="n">
        <v>281282</v>
      </c>
      <c r="N36" s="201" t="n">
        <v>278735</v>
      </c>
      <c r="O36" s="201" t="n">
        <v>166943</v>
      </c>
      <c r="P36" s="201" t="n">
        <v>348520</v>
      </c>
    </row>
    <row r="37">
      <c r="B37" s="36" t="inlineStr">
        <is>
          <t>遠東國際商業銀行</t>
        </is>
      </c>
      <c r="C37" s="201" t="n">
        <v>223039</v>
      </c>
      <c r="D37" s="201" t="n">
        <v>95490</v>
      </c>
      <c r="E37" s="201" t="n">
        <v>66572</v>
      </c>
      <c r="F37" s="201" t="n">
        <v>144438</v>
      </c>
      <c r="G37" s="201" t="n">
        <v>88561</v>
      </c>
      <c r="H37" s="201" t="n">
        <v>74648</v>
      </c>
      <c r="I37" s="201" t="n">
        <v>102907</v>
      </c>
      <c r="J37" s="201" t="n">
        <v>152197</v>
      </c>
      <c r="K37" s="201" t="n">
        <v>103666</v>
      </c>
      <c r="L37" s="201" t="n">
        <v>145823</v>
      </c>
      <c r="M37" s="201" t="n">
        <v>257211</v>
      </c>
      <c r="N37" s="201" t="n">
        <v>485018</v>
      </c>
      <c r="O37" s="201" t="n">
        <v>127024</v>
      </c>
      <c r="P37" s="201" t="n">
        <v>78276</v>
      </c>
    </row>
    <row r="38">
      <c r="B38" s="36" t="inlineStr">
        <is>
          <t>永豐商業銀行</t>
        </is>
      </c>
      <c r="C38" s="174" t="inlineStr">
        <is>
          <t>－</t>
        </is>
      </c>
      <c r="D38" s="174" t="inlineStr">
        <is>
          <t>－</t>
        </is>
      </c>
      <c r="E38" s="174" t="inlineStr">
        <is>
          <t>－</t>
        </is>
      </c>
      <c r="F38" s="201" t="n">
        <v>206430</v>
      </c>
      <c r="G38" s="201" t="n">
        <v>95163</v>
      </c>
      <c r="H38" s="201" t="n">
        <v>211909</v>
      </c>
      <c r="I38" s="201" t="n">
        <v>211219</v>
      </c>
      <c r="J38" s="201" t="n">
        <v>364648</v>
      </c>
      <c r="K38" s="201" t="n">
        <v>218091</v>
      </c>
      <c r="L38" s="201" t="n">
        <v>264639</v>
      </c>
      <c r="M38" s="201" t="n">
        <v>669638</v>
      </c>
      <c r="N38" s="201" t="n">
        <v>321425</v>
      </c>
      <c r="O38" s="201" t="n">
        <v>132798</v>
      </c>
      <c r="P38" s="201" t="n">
        <v>388874</v>
      </c>
    </row>
    <row r="39">
      <c r="B39" s="36" t="inlineStr">
        <is>
          <t>玉山商業銀行</t>
        </is>
      </c>
      <c r="C39" s="201" t="n">
        <v>508116</v>
      </c>
      <c r="D39" s="201" t="n">
        <v>105428</v>
      </c>
      <c r="E39" s="201" t="n">
        <v>259029</v>
      </c>
      <c r="F39" s="201" t="n">
        <v>196888</v>
      </c>
      <c r="G39" s="201" t="n">
        <v>295285</v>
      </c>
      <c r="H39" s="201" t="n">
        <v>587653</v>
      </c>
      <c r="I39" s="201" t="n">
        <v>234940</v>
      </c>
      <c r="J39" s="201" t="n">
        <v>268018</v>
      </c>
      <c r="K39" s="201" t="n">
        <v>429204</v>
      </c>
      <c r="L39" s="201" t="n">
        <v>265308</v>
      </c>
      <c r="M39" s="201" t="n">
        <v>275602</v>
      </c>
      <c r="N39" s="201" t="n">
        <v>305648</v>
      </c>
      <c r="O39" s="201" t="n">
        <v>268464</v>
      </c>
      <c r="P39" s="201" t="n">
        <v>335283</v>
      </c>
    </row>
    <row r="40">
      <c r="B40" s="36" t="inlineStr">
        <is>
          <t>台新國際商業銀行</t>
        </is>
      </c>
      <c r="C40" s="201" t="n">
        <v>1697110</v>
      </c>
      <c r="D40" s="201" t="n">
        <v>661937</v>
      </c>
      <c r="E40" s="201" t="n">
        <v>788046</v>
      </c>
      <c r="F40" s="201" t="n">
        <v>572711</v>
      </c>
      <c r="G40" s="201" t="n">
        <v>300635</v>
      </c>
      <c r="H40" s="201" t="n">
        <v>451202</v>
      </c>
      <c r="I40" s="201" t="n">
        <v>360876</v>
      </c>
      <c r="J40" s="201" t="n">
        <v>266870</v>
      </c>
      <c r="K40" s="201" t="n">
        <v>564521</v>
      </c>
      <c r="L40" s="201" t="n">
        <v>346989</v>
      </c>
      <c r="M40" s="201" t="n">
        <v>262015</v>
      </c>
      <c r="N40" s="201" t="n">
        <v>273849</v>
      </c>
      <c r="O40" s="201" t="n">
        <v>256544</v>
      </c>
      <c r="P40" s="201" t="n">
        <v>345585</v>
      </c>
    </row>
    <row r="41">
      <c r="A41" s="65" t="n"/>
      <c r="B41" s="66" t="inlineStr">
        <is>
          <t>中國信託商業銀行</t>
        </is>
      </c>
      <c r="C41" s="204" t="n">
        <v>1692146</v>
      </c>
      <c r="D41" s="204" t="n">
        <v>1082847</v>
      </c>
      <c r="E41" s="204" t="n">
        <v>1056436</v>
      </c>
      <c r="F41" s="204" t="n">
        <v>709291</v>
      </c>
      <c r="G41" s="204" t="n">
        <v>282611</v>
      </c>
      <c r="H41" s="204" t="n">
        <v>490314</v>
      </c>
      <c r="I41" s="204" t="n">
        <v>495310</v>
      </c>
      <c r="J41" s="204" t="n">
        <v>1585140</v>
      </c>
      <c r="K41" s="204" t="n">
        <v>416624</v>
      </c>
      <c r="L41" s="204" t="n">
        <v>442934</v>
      </c>
      <c r="M41" s="204" t="n">
        <v>475423</v>
      </c>
      <c r="N41" s="204" t="n">
        <v>510491</v>
      </c>
      <c r="O41" s="204" t="n">
        <v>415338</v>
      </c>
      <c r="P41" s="204" t="n">
        <v>669287</v>
      </c>
    </row>
    <row r="42">
      <c r="A42" s="36" t="inlineStr">
        <is>
          <t>循環信用餘額</t>
        </is>
      </c>
      <c r="B42" s="36" t="inlineStr">
        <is>
          <t>總計</t>
        </is>
      </c>
      <c r="C42" s="201" t="n">
        <v>350430</v>
      </c>
      <c r="D42" s="201" t="n">
        <v>284700</v>
      </c>
      <c r="E42" s="201" t="n">
        <v>253662</v>
      </c>
      <c r="F42" s="201" t="n">
        <v>208107</v>
      </c>
      <c r="G42" s="201" t="n">
        <v>180980</v>
      </c>
      <c r="H42" s="201" t="n">
        <v>141561</v>
      </c>
      <c r="I42" s="201" t="n">
        <v>131874</v>
      </c>
      <c r="J42" s="201" t="n">
        <v>118471</v>
      </c>
      <c r="K42" s="201" t="n">
        <v>112905</v>
      </c>
      <c r="L42" s="201" t="n">
        <v>107955</v>
      </c>
      <c r="M42" s="201" t="n">
        <v>109084</v>
      </c>
      <c r="N42" s="201" t="n">
        <v>111114</v>
      </c>
      <c r="O42" s="201" t="n">
        <v>113901</v>
      </c>
      <c r="P42" s="201" t="n">
        <v>113947</v>
      </c>
    </row>
    <row r="43">
      <c r="B43" s="36" t="inlineStr">
        <is>
          <t>台北富邦銀行</t>
        </is>
      </c>
      <c r="C43" s="201" t="n">
        <v>21920</v>
      </c>
      <c r="D43" s="201" t="n">
        <v>17774</v>
      </c>
      <c r="E43" s="201" t="n">
        <v>14639</v>
      </c>
      <c r="F43" s="201" t="n">
        <v>11183</v>
      </c>
      <c r="G43" s="201" t="n">
        <v>9605</v>
      </c>
      <c r="H43" s="201" t="n">
        <v>8354</v>
      </c>
      <c r="I43" s="201" t="n">
        <v>7761</v>
      </c>
      <c r="J43" s="201" t="n">
        <v>7284</v>
      </c>
      <c r="K43" s="201" t="n">
        <v>6852</v>
      </c>
      <c r="L43" s="201" t="n">
        <v>6736</v>
      </c>
      <c r="M43" s="201" t="n">
        <v>6195</v>
      </c>
      <c r="N43" s="201" t="n">
        <v>5582</v>
      </c>
      <c r="O43" s="201" t="n">
        <v>5349</v>
      </c>
      <c r="P43" s="201" t="n">
        <v>5446</v>
      </c>
    </row>
    <row r="44">
      <c r="B44" s="36" t="inlineStr">
        <is>
          <t>國泰世華商業銀行</t>
        </is>
      </c>
      <c r="C44" s="201" t="n">
        <v>26323</v>
      </c>
      <c r="D44" s="201" t="n">
        <v>21289</v>
      </c>
      <c r="E44" s="201" t="n">
        <v>18874</v>
      </c>
      <c r="F44" s="201" t="n">
        <v>17141</v>
      </c>
      <c r="G44" s="201" t="n">
        <v>16462</v>
      </c>
      <c r="H44" s="201" t="n">
        <v>15425</v>
      </c>
      <c r="I44" s="201" t="n">
        <v>15151</v>
      </c>
      <c r="J44" s="201" t="n">
        <v>14150</v>
      </c>
      <c r="K44" s="201" t="n">
        <v>14779</v>
      </c>
      <c r="L44" s="201" t="n">
        <v>14293</v>
      </c>
      <c r="M44" s="201" t="n">
        <v>15371</v>
      </c>
      <c r="N44" s="201" t="n">
        <v>16555</v>
      </c>
      <c r="O44" s="201" t="n">
        <v>17791</v>
      </c>
      <c r="P44" s="201" t="n">
        <v>19043</v>
      </c>
    </row>
    <row r="45">
      <c r="B45" s="36" t="inlineStr">
        <is>
          <t>花旗(臺灣)商業銀行</t>
        </is>
      </c>
      <c r="C45" s="201" t="n">
        <v>2840</v>
      </c>
      <c r="D45" s="201" t="n">
        <v>2093</v>
      </c>
      <c r="E45" s="201" t="n">
        <v>2963</v>
      </c>
      <c r="F45" s="201" t="n">
        <v>43826</v>
      </c>
      <c r="G45" s="201" t="n">
        <v>36365</v>
      </c>
      <c r="H45" s="201" t="n">
        <v>21351</v>
      </c>
      <c r="I45" s="201" t="n">
        <v>19851</v>
      </c>
      <c r="J45" s="201" t="n">
        <v>17804</v>
      </c>
      <c r="K45" s="201" t="n">
        <v>17355</v>
      </c>
      <c r="L45" s="201" t="n">
        <v>16417</v>
      </c>
      <c r="M45" s="201" t="n">
        <v>16206</v>
      </c>
      <c r="N45" s="201" t="n">
        <v>16457</v>
      </c>
      <c r="O45" s="201" t="n">
        <v>15832</v>
      </c>
      <c r="P45" s="201" t="n">
        <v>13558</v>
      </c>
    </row>
    <row r="46">
      <c r="B46" s="36" t="inlineStr">
        <is>
          <t>聯邦商業銀行</t>
        </is>
      </c>
      <c r="C46" s="201" t="n">
        <v>22513</v>
      </c>
      <c r="D46" s="201" t="n">
        <v>15697</v>
      </c>
      <c r="E46" s="201" t="n">
        <v>11706</v>
      </c>
      <c r="F46" s="201" t="n">
        <v>9437</v>
      </c>
      <c r="G46" s="201" t="n">
        <v>7879</v>
      </c>
      <c r="H46" s="201" t="n">
        <v>6758</v>
      </c>
      <c r="I46" s="201" t="n">
        <v>6041</v>
      </c>
      <c r="J46" s="201" t="n">
        <v>5453</v>
      </c>
      <c r="K46" s="201" t="n">
        <v>5118</v>
      </c>
      <c r="L46" s="201" t="n">
        <v>4667</v>
      </c>
      <c r="M46" s="201" t="n">
        <v>4908</v>
      </c>
      <c r="N46" s="201" t="n">
        <v>5439</v>
      </c>
      <c r="O46" s="201" t="n">
        <v>5779</v>
      </c>
      <c r="P46" s="201" t="n">
        <v>6080</v>
      </c>
    </row>
    <row r="47">
      <c r="B47" s="36" t="inlineStr">
        <is>
          <t>遠東國際商業銀行</t>
        </is>
      </c>
      <c r="C47" s="201" t="n">
        <v>13925</v>
      </c>
      <c r="D47" s="201" t="n">
        <v>10900</v>
      </c>
      <c r="E47" s="201" t="n">
        <v>9566</v>
      </c>
      <c r="F47" s="201" t="n">
        <v>12621</v>
      </c>
      <c r="G47" s="201" t="n">
        <v>11221</v>
      </c>
      <c r="H47" s="201" t="n">
        <v>7688</v>
      </c>
      <c r="I47" s="201" t="n">
        <v>7106</v>
      </c>
      <c r="J47" s="201" t="n">
        <v>5867</v>
      </c>
      <c r="K47" s="201" t="n">
        <v>5355</v>
      </c>
      <c r="L47" s="201" t="n">
        <v>4925</v>
      </c>
      <c r="M47" s="201" t="n">
        <v>4688</v>
      </c>
      <c r="N47" s="201" t="n">
        <v>4524</v>
      </c>
      <c r="O47" s="201" t="n">
        <v>4561</v>
      </c>
      <c r="P47" s="201" t="n">
        <v>4288</v>
      </c>
    </row>
    <row r="48">
      <c r="B48" s="36" t="inlineStr">
        <is>
          <t>永豐商業銀行</t>
        </is>
      </c>
      <c r="C48" s="174" t="inlineStr">
        <is>
          <t>－</t>
        </is>
      </c>
      <c r="D48" s="174" t="inlineStr">
        <is>
          <t>－</t>
        </is>
      </c>
      <c r="E48" s="174" t="inlineStr">
        <is>
          <t>－</t>
        </is>
      </c>
      <c r="F48" s="201" t="n">
        <v>8105</v>
      </c>
      <c r="G48" s="201" t="n">
        <v>7001</v>
      </c>
      <c r="H48" s="201" t="n">
        <v>5772</v>
      </c>
      <c r="I48" s="201" t="n">
        <v>5911</v>
      </c>
      <c r="J48" s="201" t="n">
        <v>5197</v>
      </c>
      <c r="K48" s="201" t="n">
        <v>4938</v>
      </c>
      <c r="L48" s="201" t="n">
        <v>5017</v>
      </c>
      <c r="M48" s="201" t="n">
        <v>4875</v>
      </c>
      <c r="N48" s="201" t="n">
        <v>4672</v>
      </c>
      <c r="O48" s="201" t="n">
        <v>4484</v>
      </c>
      <c r="P48" s="201" t="n">
        <v>4454</v>
      </c>
    </row>
    <row r="49">
      <c r="B49" s="36" t="inlineStr">
        <is>
          <t>玉山商業銀行</t>
        </is>
      </c>
      <c r="C49" s="201" t="n">
        <v>22062</v>
      </c>
      <c r="D49" s="201" t="n">
        <v>18904</v>
      </c>
      <c r="E49" s="201" t="n">
        <v>19991</v>
      </c>
      <c r="F49" s="201" t="n">
        <v>17999</v>
      </c>
      <c r="G49" s="201" t="n">
        <v>17718</v>
      </c>
      <c r="H49" s="201" t="n">
        <v>13132</v>
      </c>
      <c r="I49" s="201" t="n">
        <v>12365</v>
      </c>
      <c r="J49" s="201" t="n">
        <v>11154</v>
      </c>
      <c r="K49" s="201" t="n">
        <v>10625</v>
      </c>
      <c r="L49" s="201" t="n">
        <v>10448</v>
      </c>
      <c r="M49" s="201" t="n">
        <v>11476</v>
      </c>
      <c r="N49" s="201" t="n">
        <v>12211</v>
      </c>
      <c r="O49" s="201" t="n">
        <v>12817</v>
      </c>
      <c r="P49" s="201" t="n">
        <v>13498</v>
      </c>
    </row>
    <row r="50">
      <c r="B50" s="36" t="inlineStr">
        <is>
          <t>台新國際商業銀行</t>
        </is>
      </c>
      <c r="C50" s="201" t="n">
        <v>11973</v>
      </c>
      <c r="D50" s="201" t="n">
        <v>9148</v>
      </c>
      <c r="E50" s="201" t="n">
        <v>11940</v>
      </c>
      <c r="F50" s="201" t="n">
        <v>13186</v>
      </c>
      <c r="G50" s="201" t="n">
        <v>13365</v>
      </c>
      <c r="H50" s="201" t="n">
        <v>12643</v>
      </c>
      <c r="I50" s="201" t="n">
        <v>11702</v>
      </c>
      <c r="J50" s="201" t="n">
        <v>10580</v>
      </c>
      <c r="K50" s="201" t="n">
        <v>10451</v>
      </c>
      <c r="L50" s="201" t="n">
        <v>10441</v>
      </c>
      <c r="M50" s="201" t="n">
        <v>10158</v>
      </c>
      <c r="N50" s="201" t="n">
        <v>10305</v>
      </c>
      <c r="O50" s="201" t="n">
        <v>10731</v>
      </c>
      <c r="P50" s="201" t="n">
        <v>11120</v>
      </c>
    </row>
    <row r="51">
      <c r="A51" s="65" t="n"/>
      <c r="B51" s="66" t="inlineStr">
        <is>
          <t>中國信託商業銀行</t>
        </is>
      </c>
      <c r="C51" s="204" t="n">
        <v>40786</v>
      </c>
      <c r="D51" s="204" t="n">
        <v>32630</v>
      </c>
      <c r="E51" s="204" t="n">
        <v>23640</v>
      </c>
      <c r="F51" s="204" t="n">
        <v>22046</v>
      </c>
      <c r="G51" s="204" t="n">
        <v>20332</v>
      </c>
      <c r="H51" s="204" t="n">
        <v>17796</v>
      </c>
      <c r="I51" s="204" t="n">
        <v>16983</v>
      </c>
      <c r="J51" s="204" t="n">
        <v>16242</v>
      </c>
      <c r="K51" s="204" t="n">
        <v>15348</v>
      </c>
      <c r="L51" s="204" t="n">
        <v>14273</v>
      </c>
      <c r="M51" s="204" t="n">
        <v>14930</v>
      </c>
      <c r="N51" s="204" t="n">
        <v>16500</v>
      </c>
      <c r="O51" s="204" t="n">
        <v>17724</v>
      </c>
      <c r="P51" s="204" t="n">
        <v>17915</v>
      </c>
    </row>
    <row r="52">
      <c r="A52" s="36" t="inlineStr">
        <is>
          <t>本月簽帳金額</t>
        </is>
      </c>
      <c r="B52" s="36" t="inlineStr">
        <is>
          <t>總計</t>
        </is>
      </c>
      <c r="C52" s="201" t="n">
        <v>1380462</v>
      </c>
      <c r="D52" s="201" t="n">
        <v>1413455</v>
      </c>
      <c r="E52" s="201" t="n">
        <v>1394057</v>
      </c>
      <c r="F52" s="201" t="n">
        <v>1365434</v>
      </c>
      <c r="G52" s="201" t="n">
        <v>1538923</v>
      </c>
      <c r="H52" s="201" t="n">
        <v>1669139</v>
      </c>
      <c r="I52" s="201" t="n">
        <v>1762752</v>
      </c>
      <c r="J52" s="201" t="n">
        <v>1913264</v>
      </c>
      <c r="K52" s="201" t="n">
        <v>2068336</v>
      </c>
      <c r="L52" s="201" t="n">
        <v>2231797</v>
      </c>
      <c r="M52" s="201" t="n">
        <v>2422232</v>
      </c>
      <c r="N52" s="201" t="n">
        <v>2623159</v>
      </c>
      <c r="O52" s="201" t="n">
        <v>2883634</v>
      </c>
      <c r="P52" s="201" t="n">
        <v>3223000</v>
      </c>
    </row>
    <row r="53">
      <c r="B53" s="36" t="inlineStr">
        <is>
          <t>台北富邦銀行</t>
        </is>
      </c>
      <c r="C53" s="201" t="n">
        <v>111379</v>
      </c>
      <c r="D53" s="201" t="n">
        <v>116843</v>
      </c>
      <c r="E53" s="201" t="n">
        <v>100736</v>
      </c>
      <c r="F53" s="201" t="n">
        <v>95834</v>
      </c>
      <c r="G53" s="201" t="n">
        <v>125302</v>
      </c>
      <c r="H53" s="201" t="n">
        <v>128275</v>
      </c>
      <c r="I53" s="201" t="n">
        <v>124752</v>
      </c>
      <c r="J53" s="201" t="n">
        <v>140717</v>
      </c>
      <c r="K53" s="201" t="n">
        <v>155846</v>
      </c>
      <c r="L53" s="201" t="n">
        <v>174023</v>
      </c>
      <c r="M53" s="201" t="n">
        <v>201367</v>
      </c>
      <c r="N53" s="201" t="n">
        <v>215597</v>
      </c>
      <c r="O53" s="201" t="n">
        <v>221320</v>
      </c>
      <c r="P53" s="201" t="n">
        <v>268608</v>
      </c>
    </row>
    <row r="54">
      <c r="B54" s="36" t="inlineStr">
        <is>
          <t>國泰世華商業銀行</t>
        </is>
      </c>
      <c r="C54" s="201" t="n">
        <v>135140</v>
      </c>
      <c r="D54" s="201" t="n">
        <v>150166</v>
      </c>
      <c r="E54" s="201" t="n">
        <v>155384</v>
      </c>
      <c r="F54" s="201" t="n">
        <v>158527</v>
      </c>
      <c r="G54" s="201" t="n">
        <v>180175</v>
      </c>
      <c r="H54" s="201" t="n">
        <v>197370</v>
      </c>
      <c r="I54" s="201" t="n">
        <v>204906</v>
      </c>
      <c r="J54" s="201" t="n">
        <v>235430</v>
      </c>
      <c r="K54" s="201" t="n">
        <v>305910</v>
      </c>
      <c r="L54" s="201" t="n">
        <v>340806</v>
      </c>
      <c r="M54" s="201" t="n">
        <v>392948</v>
      </c>
      <c r="N54" s="201" t="n">
        <v>441591</v>
      </c>
      <c r="O54" s="201" t="n">
        <v>489518</v>
      </c>
      <c r="P54" s="201" t="n">
        <v>543275</v>
      </c>
    </row>
    <row r="55">
      <c r="B55" s="36" t="inlineStr">
        <is>
          <t>花旗(臺灣)商業銀行</t>
        </is>
      </c>
      <c r="C55" s="201" t="n">
        <v>25369</v>
      </c>
      <c r="D55" s="201" t="n">
        <v>24045</v>
      </c>
      <c r="E55" s="201" t="n">
        <v>18053</v>
      </c>
      <c r="F55" s="201" t="n">
        <v>81824</v>
      </c>
      <c r="G55" s="201" t="n">
        <v>189819</v>
      </c>
      <c r="H55" s="201" t="n">
        <v>206936</v>
      </c>
      <c r="I55" s="201" t="n">
        <v>213382</v>
      </c>
      <c r="J55" s="201" t="n">
        <v>225061</v>
      </c>
      <c r="K55" s="201" t="n">
        <v>236690</v>
      </c>
      <c r="L55" s="201" t="n">
        <v>238302</v>
      </c>
      <c r="M55" s="201" t="n">
        <v>239645</v>
      </c>
      <c r="N55" s="201" t="n">
        <v>240169</v>
      </c>
      <c r="O55" s="201" t="n">
        <v>233576</v>
      </c>
      <c r="P55" s="201" t="n">
        <v>226856</v>
      </c>
    </row>
    <row r="56">
      <c r="B56" s="36" t="inlineStr">
        <is>
          <t>聯邦商業銀行</t>
        </is>
      </c>
      <c r="C56" s="201" t="n">
        <v>64263</v>
      </c>
      <c r="D56" s="201" t="n">
        <v>65088</v>
      </c>
      <c r="E56" s="201" t="n">
        <v>59955</v>
      </c>
      <c r="F56" s="201" t="n">
        <v>51811</v>
      </c>
      <c r="G56" s="201" t="n">
        <v>50672</v>
      </c>
      <c r="H56" s="201" t="n">
        <v>48952</v>
      </c>
      <c r="I56" s="201" t="n">
        <v>44540</v>
      </c>
      <c r="J56" s="201" t="n">
        <v>47941</v>
      </c>
      <c r="K56" s="201" t="n">
        <v>55924</v>
      </c>
      <c r="L56" s="201" t="n">
        <v>65416</v>
      </c>
      <c r="M56" s="201" t="n">
        <v>76984</v>
      </c>
      <c r="N56" s="201" t="n">
        <v>85760</v>
      </c>
      <c r="O56" s="201" t="n">
        <v>89452</v>
      </c>
      <c r="P56" s="201" t="n">
        <v>91785</v>
      </c>
    </row>
    <row r="57">
      <c r="B57" s="36" t="inlineStr">
        <is>
          <t>遠東國際商業銀行</t>
        </is>
      </c>
      <c r="C57" s="201" t="n">
        <v>20020</v>
      </c>
      <c r="D57" s="201" t="n">
        <v>29158</v>
      </c>
      <c r="E57" s="201" t="n">
        <v>30187</v>
      </c>
      <c r="F57" s="201" t="n">
        <v>35981</v>
      </c>
      <c r="G57" s="201" t="n">
        <v>49462</v>
      </c>
      <c r="H57" s="201" t="n">
        <v>52685</v>
      </c>
      <c r="I57" s="201" t="n">
        <v>57936</v>
      </c>
      <c r="J57" s="201" t="n">
        <v>61331</v>
      </c>
      <c r="K57" s="201" t="n">
        <v>61498</v>
      </c>
      <c r="L57" s="201" t="n">
        <v>58087</v>
      </c>
      <c r="M57" s="201" t="n">
        <v>55906</v>
      </c>
      <c r="N57" s="201" t="n">
        <v>52809</v>
      </c>
      <c r="O57" s="201" t="n">
        <v>52896</v>
      </c>
      <c r="P57" s="201" t="n">
        <v>54291</v>
      </c>
    </row>
    <row r="58">
      <c r="B58" s="36" t="inlineStr">
        <is>
          <t>永豐商業銀行</t>
        </is>
      </c>
      <c r="C58" s="174" t="inlineStr">
        <is>
          <t>－</t>
        </is>
      </c>
      <c r="D58" s="174" t="inlineStr">
        <is>
          <t>－</t>
        </is>
      </c>
      <c r="E58" s="174" t="inlineStr">
        <is>
          <t>－</t>
        </is>
      </c>
      <c r="F58" s="201" t="n">
        <v>39104</v>
      </c>
      <c r="G58" s="201" t="n">
        <v>66284</v>
      </c>
      <c r="H58" s="201" t="n">
        <v>80177</v>
      </c>
      <c r="I58" s="201" t="n">
        <v>88451</v>
      </c>
      <c r="J58" s="201" t="n">
        <v>90042</v>
      </c>
      <c r="K58" s="201" t="n">
        <v>91371</v>
      </c>
      <c r="L58" s="201" t="n">
        <v>89430</v>
      </c>
      <c r="M58" s="201" t="n">
        <v>87232</v>
      </c>
      <c r="N58" s="201" t="n">
        <v>80931</v>
      </c>
      <c r="O58" s="201" t="n">
        <v>83569</v>
      </c>
      <c r="P58" s="201" t="n">
        <v>98453</v>
      </c>
    </row>
    <row r="59">
      <c r="B59" s="36" t="inlineStr">
        <is>
          <t>玉山商業銀行</t>
        </is>
      </c>
      <c r="C59" s="201" t="n">
        <v>59227</v>
      </c>
      <c r="D59" s="201" t="n">
        <v>61989</v>
      </c>
      <c r="E59" s="201" t="n">
        <v>71101</v>
      </c>
      <c r="F59" s="201" t="n">
        <v>91724</v>
      </c>
      <c r="G59" s="201" t="n">
        <v>113230</v>
      </c>
      <c r="H59" s="201" t="n">
        <v>135035</v>
      </c>
      <c r="I59" s="201" t="n">
        <v>167542</v>
      </c>
      <c r="J59" s="201" t="n">
        <v>191173</v>
      </c>
      <c r="K59" s="201" t="n">
        <v>209166</v>
      </c>
      <c r="L59" s="201" t="n">
        <v>251027</v>
      </c>
      <c r="M59" s="201" t="n">
        <v>298258</v>
      </c>
      <c r="N59" s="201" t="n">
        <v>316076</v>
      </c>
      <c r="O59" s="201" t="n">
        <v>336665</v>
      </c>
      <c r="P59" s="201" t="n">
        <v>427007</v>
      </c>
    </row>
    <row r="60">
      <c r="B60" s="36" t="inlineStr">
        <is>
          <t>台新國際商業銀行</t>
        </is>
      </c>
      <c r="C60" s="201" t="n">
        <v>102459</v>
      </c>
      <c r="D60" s="201" t="n">
        <v>81277</v>
      </c>
      <c r="E60" s="201" t="n">
        <v>83386</v>
      </c>
      <c r="F60" s="201" t="n">
        <v>108458</v>
      </c>
      <c r="G60" s="201" t="n">
        <v>136998</v>
      </c>
      <c r="H60" s="201" t="n">
        <v>147604</v>
      </c>
      <c r="I60" s="201" t="n">
        <v>152699</v>
      </c>
      <c r="J60" s="201" t="n">
        <v>166194</v>
      </c>
      <c r="K60" s="201" t="n">
        <v>175481</v>
      </c>
      <c r="L60" s="201" t="n">
        <v>186595</v>
      </c>
      <c r="M60" s="201" t="n">
        <v>210271</v>
      </c>
      <c r="N60" s="201" t="n">
        <v>242423</v>
      </c>
      <c r="O60" s="201" t="n">
        <v>289198</v>
      </c>
      <c r="P60" s="201" t="n">
        <v>354709</v>
      </c>
    </row>
    <row r="61">
      <c r="A61" s="65" t="n"/>
      <c r="B61" s="66" t="inlineStr">
        <is>
          <t>中國信託商業銀行</t>
        </is>
      </c>
      <c r="C61" s="204" t="n">
        <v>278223</v>
      </c>
      <c r="D61" s="204" t="n">
        <v>281670</v>
      </c>
      <c r="E61" s="204" t="n">
        <v>265629</v>
      </c>
      <c r="F61" s="204" t="n">
        <v>249374</v>
      </c>
      <c r="G61" s="204" t="n">
        <v>278260</v>
      </c>
      <c r="H61" s="204" t="n">
        <v>293143</v>
      </c>
      <c r="I61" s="204" t="n">
        <v>307156</v>
      </c>
      <c r="J61" s="204" t="n">
        <v>326068</v>
      </c>
      <c r="K61" s="204" t="n">
        <v>325429</v>
      </c>
      <c r="L61" s="204" t="n">
        <v>333935</v>
      </c>
      <c r="M61" s="204" t="n">
        <v>335340</v>
      </c>
      <c r="N61" s="204" t="n">
        <v>389798</v>
      </c>
      <c r="O61" s="204" t="n">
        <v>488330</v>
      </c>
      <c r="P61" s="204" t="n">
        <v>500580</v>
      </c>
    </row>
    <row r="62">
      <c r="A62" s="36" t="inlineStr">
        <is>
          <t>本月預借現金金額</t>
        </is>
      </c>
      <c r="B62" s="36" t="inlineStr">
        <is>
          <t>總計</t>
        </is>
      </c>
      <c r="C62" s="201" t="n">
        <v>88000</v>
      </c>
      <c r="D62" s="201" t="n">
        <v>77905</v>
      </c>
      <c r="E62" s="201" t="n">
        <v>86854</v>
      </c>
      <c r="F62" s="201" t="n">
        <v>35637</v>
      </c>
      <c r="G62" s="201" t="n">
        <v>32650</v>
      </c>
      <c r="H62" s="201" t="n">
        <v>30124</v>
      </c>
      <c r="I62" s="201" t="n">
        <v>27752</v>
      </c>
      <c r="J62" s="201" t="n">
        <v>26657</v>
      </c>
      <c r="K62" s="201" t="n">
        <v>26719</v>
      </c>
      <c r="L62" s="201" t="n">
        <v>27200</v>
      </c>
      <c r="M62" s="201" t="n">
        <v>25445</v>
      </c>
      <c r="N62" s="201" t="n">
        <v>25548</v>
      </c>
      <c r="O62" s="201" t="n">
        <v>26842</v>
      </c>
      <c r="P62" s="201" t="n">
        <v>25465</v>
      </c>
    </row>
    <row r="63">
      <c r="B63" s="36" t="inlineStr">
        <is>
          <t>台北富邦銀行</t>
        </is>
      </c>
      <c r="C63" s="201" t="n">
        <v>5724</v>
      </c>
      <c r="D63" s="201" t="n">
        <v>2777</v>
      </c>
      <c r="E63" s="201" t="n">
        <v>2736</v>
      </c>
      <c r="F63" s="201" t="n">
        <v>1330</v>
      </c>
      <c r="G63" s="201" t="n">
        <v>1300</v>
      </c>
      <c r="H63" s="201" t="n">
        <v>1062</v>
      </c>
      <c r="I63" s="201" t="n">
        <v>1040</v>
      </c>
      <c r="J63" s="201" t="n">
        <v>988</v>
      </c>
      <c r="K63" s="201" t="n">
        <v>966</v>
      </c>
      <c r="L63" s="201" t="n">
        <v>1164</v>
      </c>
      <c r="M63" s="201" t="n">
        <v>650</v>
      </c>
      <c r="N63" s="201" t="n">
        <v>636</v>
      </c>
      <c r="O63" s="201" t="n">
        <v>927</v>
      </c>
      <c r="P63" s="201" t="n">
        <v>1055</v>
      </c>
    </row>
    <row r="64">
      <c r="B64" s="36" t="inlineStr">
        <is>
          <t>國泰世華商業銀行</t>
        </is>
      </c>
      <c r="C64" s="201" t="n">
        <v>5356</v>
      </c>
      <c r="D64" s="201" t="n">
        <v>2613</v>
      </c>
      <c r="E64" s="201" t="n">
        <v>2731</v>
      </c>
      <c r="F64" s="201" t="n">
        <v>1964</v>
      </c>
      <c r="G64" s="201" t="n">
        <v>1788</v>
      </c>
      <c r="H64" s="201" t="n">
        <v>2069</v>
      </c>
      <c r="I64" s="201" t="n">
        <v>2867</v>
      </c>
      <c r="J64" s="201" t="n">
        <v>3020</v>
      </c>
      <c r="K64" s="201" t="n">
        <v>3185</v>
      </c>
      <c r="L64" s="201" t="n">
        <v>2863</v>
      </c>
      <c r="M64" s="201" t="n">
        <v>2490</v>
      </c>
      <c r="N64" s="201" t="n">
        <v>2575</v>
      </c>
      <c r="O64" s="201" t="n">
        <v>2931</v>
      </c>
      <c r="P64" s="201" t="n">
        <v>2964</v>
      </c>
    </row>
    <row r="65">
      <c r="B65" s="36" t="inlineStr">
        <is>
          <t>花旗(臺灣)商業銀行</t>
        </is>
      </c>
      <c r="C65" s="201" t="n">
        <v>1012</v>
      </c>
      <c r="D65" s="201" t="n">
        <v>765</v>
      </c>
      <c r="E65" s="201" t="n">
        <v>1492</v>
      </c>
      <c r="F65" s="201" t="n">
        <v>3750</v>
      </c>
      <c r="G65" s="201" t="n">
        <v>6179</v>
      </c>
      <c r="H65" s="201" t="n">
        <v>4275</v>
      </c>
      <c r="I65" s="201" t="n">
        <v>3080</v>
      </c>
      <c r="J65" s="201" t="n">
        <v>2200</v>
      </c>
      <c r="K65" s="201" t="n">
        <v>2116</v>
      </c>
      <c r="L65" s="201" t="n">
        <v>2309</v>
      </c>
      <c r="M65" s="201" t="n">
        <v>2425</v>
      </c>
      <c r="N65" s="201" t="n">
        <v>2174</v>
      </c>
      <c r="O65" s="201" t="n">
        <v>2173</v>
      </c>
      <c r="P65" s="201" t="n">
        <v>2260</v>
      </c>
    </row>
    <row r="66">
      <c r="B66" s="36" t="inlineStr">
        <is>
          <t>聯邦商業銀行</t>
        </is>
      </c>
      <c r="C66" s="201" t="n">
        <v>6422</v>
      </c>
      <c r="D66" s="201" t="n">
        <v>4439</v>
      </c>
      <c r="E66" s="201" t="n">
        <v>3321</v>
      </c>
      <c r="F66" s="201" t="n">
        <v>1799</v>
      </c>
      <c r="G66" s="201" t="n">
        <v>2009</v>
      </c>
      <c r="H66" s="201" t="n">
        <v>1504</v>
      </c>
      <c r="I66" s="201" t="n">
        <v>1326</v>
      </c>
      <c r="J66" s="201" t="n">
        <v>1712</v>
      </c>
      <c r="K66" s="201" t="n">
        <v>1957</v>
      </c>
      <c r="L66" s="201" t="n">
        <v>1906</v>
      </c>
      <c r="M66" s="201" t="n">
        <v>1299</v>
      </c>
      <c r="N66" s="201" t="n">
        <v>805</v>
      </c>
      <c r="O66" s="201" t="n">
        <v>860</v>
      </c>
      <c r="P66" s="201" t="n">
        <v>770</v>
      </c>
    </row>
    <row r="67">
      <c r="B67" s="36" t="inlineStr">
        <is>
          <t>遠東國際商業銀行</t>
        </is>
      </c>
      <c r="C67" s="201" t="n">
        <v>744</v>
      </c>
      <c r="D67" s="201" t="n">
        <v>332</v>
      </c>
      <c r="E67" s="201" t="n">
        <v>419</v>
      </c>
      <c r="F67" s="201" t="n">
        <v>262</v>
      </c>
      <c r="G67" s="201" t="n">
        <v>1817</v>
      </c>
      <c r="H67" s="201" t="n">
        <v>2429</v>
      </c>
      <c r="I67" s="201" t="n">
        <v>2385</v>
      </c>
      <c r="J67" s="201" t="n">
        <v>2592</v>
      </c>
      <c r="K67" s="201" t="n">
        <v>2387</v>
      </c>
      <c r="L67" s="201" t="n">
        <v>2666</v>
      </c>
      <c r="M67" s="201" t="n">
        <v>2483</v>
      </c>
      <c r="N67" s="201" t="n">
        <v>2393</v>
      </c>
      <c r="O67" s="201" t="n">
        <v>2213</v>
      </c>
      <c r="P67" s="201" t="n">
        <v>1862</v>
      </c>
    </row>
    <row r="68">
      <c r="B68" s="36" t="inlineStr">
        <is>
          <t>永豐商業銀行</t>
        </is>
      </c>
      <c r="C68" s="174" t="inlineStr">
        <is>
          <t>－</t>
        </is>
      </c>
      <c r="D68" s="174" t="inlineStr">
        <is>
          <t>－</t>
        </is>
      </c>
      <c r="E68" s="174" t="inlineStr">
        <is>
          <t>－</t>
        </is>
      </c>
      <c r="F68" s="201" t="n">
        <v>1231</v>
      </c>
      <c r="G68" s="201" t="n">
        <v>2200</v>
      </c>
      <c r="H68" s="201" t="n">
        <v>1657</v>
      </c>
      <c r="I68" s="201" t="n">
        <v>1422</v>
      </c>
      <c r="J68" s="201" t="n">
        <v>1298</v>
      </c>
      <c r="K68" s="201" t="n">
        <v>1533</v>
      </c>
      <c r="L68" s="201" t="n">
        <v>1479</v>
      </c>
      <c r="M68" s="201" t="n">
        <v>1353</v>
      </c>
      <c r="N68" s="201" t="n">
        <v>1182</v>
      </c>
      <c r="O68" s="201" t="n">
        <v>1221</v>
      </c>
      <c r="P68" s="201" t="n">
        <v>1125</v>
      </c>
    </row>
    <row r="69">
      <c r="B69" s="36" t="inlineStr">
        <is>
          <t>玉山商業銀行</t>
        </is>
      </c>
      <c r="C69" s="201" t="n">
        <v>4182</v>
      </c>
      <c r="D69" s="201" t="n">
        <v>3904</v>
      </c>
      <c r="E69" s="201" t="n">
        <v>7446</v>
      </c>
      <c r="F69" s="201" t="n">
        <v>2653</v>
      </c>
      <c r="G69" s="201" t="n">
        <v>2338</v>
      </c>
      <c r="H69" s="201" t="n">
        <v>2985</v>
      </c>
      <c r="I69" s="201" t="n">
        <v>2660</v>
      </c>
      <c r="J69" s="201" t="n">
        <v>1946</v>
      </c>
      <c r="K69" s="201" t="n">
        <v>1988</v>
      </c>
      <c r="L69" s="201" t="n">
        <v>1354</v>
      </c>
      <c r="M69" s="201" t="n">
        <v>1876</v>
      </c>
      <c r="N69" s="201" t="n">
        <v>2909</v>
      </c>
      <c r="O69" s="201" t="n">
        <v>3496</v>
      </c>
      <c r="P69" s="201" t="n">
        <v>3515</v>
      </c>
    </row>
    <row r="70">
      <c r="B70" s="36" t="inlineStr">
        <is>
          <t>台新國際商業銀行</t>
        </is>
      </c>
      <c r="C70" s="201" t="n">
        <v>2640</v>
      </c>
      <c r="D70" s="201" t="n">
        <v>746</v>
      </c>
      <c r="E70" s="201" t="n">
        <v>3146</v>
      </c>
      <c r="F70" s="201" t="n">
        <v>1397</v>
      </c>
      <c r="G70" s="201" t="n">
        <v>1011</v>
      </c>
      <c r="H70" s="201" t="n">
        <v>1331</v>
      </c>
      <c r="I70" s="201" t="n">
        <v>1247</v>
      </c>
      <c r="J70" s="201" t="n">
        <v>1418</v>
      </c>
      <c r="K70" s="201" t="n">
        <v>1678</v>
      </c>
      <c r="L70" s="201" t="n">
        <v>1959</v>
      </c>
      <c r="M70" s="201" t="n">
        <v>1746</v>
      </c>
      <c r="N70" s="201" t="n">
        <v>2485</v>
      </c>
      <c r="O70" s="201" t="n">
        <v>3111</v>
      </c>
      <c r="P70" s="201" t="n">
        <v>2886</v>
      </c>
    </row>
    <row r="71">
      <c r="A71" s="65" t="n"/>
      <c r="B71" s="66" t="inlineStr">
        <is>
          <t>中國信託商業銀行</t>
        </is>
      </c>
      <c r="C71" s="204" t="n">
        <v>14774</v>
      </c>
      <c r="D71" s="204" t="n">
        <v>19271</v>
      </c>
      <c r="E71" s="204" t="n">
        <v>23522</v>
      </c>
      <c r="F71" s="204" t="n">
        <v>10034</v>
      </c>
      <c r="G71" s="204" t="n">
        <v>9237</v>
      </c>
      <c r="H71" s="204" t="n">
        <v>7842</v>
      </c>
      <c r="I71" s="204" t="n">
        <v>7637</v>
      </c>
      <c r="J71" s="204" t="n">
        <v>8003</v>
      </c>
      <c r="K71" s="204" t="n">
        <v>7818</v>
      </c>
      <c r="L71" s="204" t="n">
        <v>8456</v>
      </c>
      <c r="M71" s="204" t="n">
        <v>8298</v>
      </c>
      <c r="N71" s="204" t="n">
        <v>8067</v>
      </c>
      <c r="O71" s="204" t="n">
        <v>7972</v>
      </c>
      <c r="P71" s="204" t="n">
        <v>7332</v>
      </c>
    </row>
    <row r="72">
      <c r="A72" s="36" t="inlineStr">
        <is>
          <t>逾期帳款比率(%)</t>
        </is>
      </c>
      <c r="B72" s="36" t="inlineStr">
        <is>
          <t>總計</t>
        </is>
      </c>
      <c r="C72" s="205" t="n">
        <v>2.27</v>
      </c>
      <c r="D72" s="205" t="n">
        <v>1.89</v>
      </c>
      <c r="E72" s="205" t="n">
        <v>1.59</v>
      </c>
      <c r="F72" s="205" t="n">
        <v>0.96</v>
      </c>
      <c r="G72" s="205" t="n">
        <v>0.45</v>
      </c>
      <c r="H72" s="205" t="n">
        <v>0.31</v>
      </c>
      <c r="I72" s="205" t="n">
        <v>0.32</v>
      </c>
      <c r="J72" s="205" t="n">
        <v>0.29</v>
      </c>
      <c r="K72" s="205" t="n">
        <v>0.27</v>
      </c>
      <c r="L72" s="205" t="n">
        <v>0.27</v>
      </c>
      <c r="M72" s="205" t="n">
        <v>0.27</v>
      </c>
      <c r="N72" s="205" t="n">
        <v>0.23</v>
      </c>
      <c r="O72" s="205" t="n">
        <v>0.22</v>
      </c>
      <c r="P72" s="205" t="n">
        <v>0.21</v>
      </c>
    </row>
    <row r="73">
      <c r="B73" s="36" t="inlineStr">
        <is>
          <t>台北富邦銀行</t>
        </is>
      </c>
      <c r="C73" s="205" t="n">
        <v>1.09</v>
      </c>
      <c r="D73" s="205" t="n">
        <v>1.02</v>
      </c>
      <c r="E73" s="205" t="n">
        <v>0.89</v>
      </c>
      <c r="F73" s="205" t="n">
        <v>0.49</v>
      </c>
      <c r="G73" s="205" t="n">
        <v>0.14</v>
      </c>
      <c r="H73" s="205" t="n">
        <v>0.08</v>
      </c>
      <c r="I73" s="205" t="n">
        <v>0.1</v>
      </c>
      <c r="J73" s="205" t="n">
        <v>0.23</v>
      </c>
      <c r="K73" s="205" t="n">
        <v>0.19</v>
      </c>
      <c r="L73" s="205" t="n">
        <v>0.17</v>
      </c>
      <c r="M73" s="205" t="n">
        <v>0.14</v>
      </c>
      <c r="N73" s="205" t="n">
        <v>0.11</v>
      </c>
      <c r="O73" s="205" t="n">
        <v>0.1</v>
      </c>
      <c r="P73" s="205" t="n">
        <v>0.1</v>
      </c>
    </row>
    <row r="74">
      <c r="B74" s="36" t="inlineStr">
        <is>
          <t>國泰世華商業銀行</t>
        </is>
      </c>
      <c r="C74" s="205" t="n">
        <v>2.01</v>
      </c>
      <c r="D74" s="205" t="n">
        <v>2.24</v>
      </c>
      <c r="E74" s="205" t="n">
        <v>1.24</v>
      </c>
      <c r="F74" s="205" t="n">
        <v>0.36</v>
      </c>
      <c r="G74" s="205" t="n">
        <v>0.19</v>
      </c>
      <c r="H74" s="205" t="n">
        <v>0.14</v>
      </c>
      <c r="I74" s="205" t="n">
        <v>0.17</v>
      </c>
      <c r="J74" s="205" t="n">
        <v>0.13</v>
      </c>
      <c r="K74" s="205" t="n">
        <v>0.13</v>
      </c>
      <c r="L74" s="205" t="n">
        <v>0.13</v>
      </c>
      <c r="M74" s="205" t="n">
        <v>0.12</v>
      </c>
      <c r="N74" s="205" t="n">
        <v>0.13</v>
      </c>
      <c r="O74" s="205" t="n">
        <v>0.15</v>
      </c>
      <c r="P74" s="205" t="n">
        <v>0.15</v>
      </c>
    </row>
    <row r="75">
      <c r="B75" s="36" t="inlineStr">
        <is>
          <t>花旗(臺灣)商業銀行</t>
        </is>
      </c>
      <c r="C75" s="205" t="n">
        <v>1.72</v>
      </c>
      <c r="D75" s="205" t="n">
        <v>2.12</v>
      </c>
      <c r="E75" s="205" t="n">
        <v>1.79</v>
      </c>
      <c r="F75" s="205" t="n">
        <v>0.93</v>
      </c>
      <c r="G75" s="205" t="n">
        <v>0.67</v>
      </c>
      <c r="H75" s="205" t="n">
        <v>0.62</v>
      </c>
      <c r="I75" s="205" t="n">
        <v>0.66</v>
      </c>
      <c r="J75" s="205" t="n">
        <v>0.61</v>
      </c>
      <c r="K75" s="205" t="n">
        <v>0.61</v>
      </c>
      <c r="L75" s="205" t="n">
        <v>0.66</v>
      </c>
      <c r="M75" s="205" t="n">
        <v>0.67</v>
      </c>
      <c r="N75" s="205" t="n">
        <v>0.57</v>
      </c>
      <c r="O75" s="205" t="n">
        <v>0.66</v>
      </c>
      <c r="P75" s="205" t="n">
        <v>0.57</v>
      </c>
    </row>
    <row r="76">
      <c r="B76" s="36" t="inlineStr">
        <is>
          <t>聯邦商業銀行</t>
        </is>
      </c>
      <c r="C76" s="205" t="n">
        <v>2.72</v>
      </c>
      <c r="D76" s="205" t="n">
        <v>2.36</v>
      </c>
      <c r="E76" s="205" t="n">
        <v>2.82</v>
      </c>
      <c r="F76" s="205" t="n">
        <v>1.82</v>
      </c>
      <c r="G76" s="205" t="n">
        <v>0.65</v>
      </c>
      <c r="H76" s="205" t="n">
        <v>0.27</v>
      </c>
      <c r="I76" s="205" t="n">
        <v>0.36</v>
      </c>
      <c r="J76" s="205" t="n">
        <v>0.35</v>
      </c>
      <c r="K76" s="205" t="n">
        <v>0.27</v>
      </c>
      <c r="L76" s="205" t="n">
        <v>0.31</v>
      </c>
      <c r="M76" s="205" t="n">
        <v>0.29</v>
      </c>
      <c r="N76" s="205" t="n">
        <v>0.29</v>
      </c>
      <c r="O76" s="205" t="n">
        <v>0.27</v>
      </c>
      <c r="P76" s="205" t="n">
        <v>0.23</v>
      </c>
    </row>
    <row r="77">
      <c r="B77" s="36" t="inlineStr">
        <is>
          <t>遠東國際商業銀行</t>
        </is>
      </c>
      <c r="C77" s="205" t="n">
        <v>2.52</v>
      </c>
      <c r="D77" s="205" t="n">
        <v>2.59</v>
      </c>
      <c r="E77" s="205" t="n">
        <v>1.7</v>
      </c>
      <c r="F77" s="205" t="n">
        <v>1.47</v>
      </c>
      <c r="G77" s="205" t="n">
        <v>0.48</v>
      </c>
      <c r="H77" s="205" t="n">
        <v>0.22</v>
      </c>
      <c r="I77" s="205" t="n">
        <v>0.4</v>
      </c>
      <c r="J77" s="205" t="n">
        <v>0.25</v>
      </c>
      <c r="K77" s="205" t="n">
        <v>0.27</v>
      </c>
      <c r="L77" s="205" t="n">
        <v>0.29</v>
      </c>
      <c r="M77" s="205" t="n">
        <v>0.36</v>
      </c>
      <c r="N77" s="205" t="n">
        <v>0.31</v>
      </c>
      <c r="O77" s="205" t="n">
        <v>0.3</v>
      </c>
      <c r="P77" s="205" t="n">
        <v>0.31</v>
      </c>
    </row>
    <row r="78">
      <c r="B78" s="36" t="inlineStr">
        <is>
          <t>永豐商業銀行</t>
        </is>
      </c>
      <c r="C78" s="206" t="inlineStr">
        <is>
          <t>－</t>
        </is>
      </c>
      <c r="D78" s="206" t="inlineStr">
        <is>
          <t>－</t>
        </is>
      </c>
      <c r="E78" s="206" t="inlineStr">
        <is>
          <t>－</t>
        </is>
      </c>
      <c r="F78" s="205" t="n">
        <v>1.04</v>
      </c>
      <c r="G78" s="205" t="n">
        <v>0.65</v>
      </c>
      <c r="H78" s="205" t="n">
        <v>0.39</v>
      </c>
      <c r="I78" s="205" t="n">
        <v>0.45</v>
      </c>
      <c r="J78" s="205" t="n">
        <v>0.33</v>
      </c>
      <c r="K78" s="205" t="n">
        <v>0.29</v>
      </c>
      <c r="L78" s="205" t="n">
        <v>0.31</v>
      </c>
      <c r="M78" s="205" t="n">
        <v>0.38</v>
      </c>
      <c r="N78" s="205" t="n">
        <v>0.23</v>
      </c>
      <c r="O78" s="205" t="n">
        <v>0.16</v>
      </c>
      <c r="P78" s="205" t="n">
        <v>0.27</v>
      </c>
    </row>
    <row r="79">
      <c r="B79" s="36" t="inlineStr">
        <is>
          <t>玉山商業銀行</t>
        </is>
      </c>
      <c r="C79" s="205" t="n">
        <v>2.02</v>
      </c>
      <c r="D79" s="205" t="n">
        <v>2.02</v>
      </c>
      <c r="E79" s="205" t="n">
        <v>1.66</v>
      </c>
      <c r="F79" s="205" t="n">
        <v>1.44</v>
      </c>
      <c r="G79" s="205" t="n">
        <v>0.36</v>
      </c>
      <c r="H79" s="205" t="n">
        <v>0.23</v>
      </c>
      <c r="I79" s="205" t="n">
        <v>0.22</v>
      </c>
      <c r="J79" s="205" t="n">
        <v>0.23</v>
      </c>
      <c r="K79" s="205" t="n">
        <v>0.23</v>
      </c>
      <c r="L79" s="205" t="n">
        <v>0.23</v>
      </c>
      <c r="M79" s="205" t="n">
        <v>0.26</v>
      </c>
      <c r="N79" s="205" t="n">
        <v>0.24</v>
      </c>
      <c r="O79" s="205" t="n">
        <v>0.23</v>
      </c>
      <c r="P79" s="205" t="n">
        <v>0.2</v>
      </c>
    </row>
    <row r="80">
      <c r="B80" s="36" t="inlineStr">
        <is>
          <t>台新國際商業銀行</t>
        </is>
      </c>
      <c r="C80" s="205" t="n">
        <v>2.98</v>
      </c>
      <c r="D80" s="205" t="n">
        <v>2.57</v>
      </c>
      <c r="E80" s="205" t="n">
        <v>2.59</v>
      </c>
      <c r="F80" s="205" t="n">
        <v>0.76</v>
      </c>
      <c r="G80" s="205" t="n">
        <v>0.41</v>
      </c>
      <c r="H80" s="205" t="n">
        <v>0.28</v>
      </c>
      <c r="I80" s="205" t="n">
        <v>0.29</v>
      </c>
      <c r="J80" s="205" t="n">
        <v>0.26</v>
      </c>
      <c r="K80" s="205" t="n">
        <v>0.23</v>
      </c>
      <c r="L80" s="205" t="n">
        <v>0.25</v>
      </c>
      <c r="M80" s="205" t="n">
        <v>0.23</v>
      </c>
      <c r="N80" s="205" t="n">
        <v>0.2</v>
      </c>
      <c r="O80" s="205" t="n">
        <v>0.17</v>
      </c>
      <c r="P80" s="205" t="n">
        <v>0.17</v>
      </c>
    </row>
    <row r="81">
      <c r="A81" s="65" t="n"/>
      <c r="B81" s="66" t="inlineStr">
        <is>
          <t>中國信託商業銀行</t>
        </is>
      </c>
      <c r="C81" s="207" t="n">
        <v>2.81</v>
      </c>
      <c r="D81" s="207" t="n">
        <v>1.46</v>
      </c>
      <c r="E81" s="207" t="n">
        <v>1.23</v>
      </c>
      <c r="F81" s="207" t="n">
        <v>0.8100000000000001</v>
      </c>
      <c r="G81" s="207" t="n">
        <v>0.53</v>
      </c>
      <c r="H81" s="207" t="n">
        <v>0.29</v>
      </c>
      <c r="I81" s="207" t="n">
        <v>0.23</v>
      </c>
      <c r="J81" s="207" t="n">
        <v>0.19</v>
      </c>
      <c r="K81" s="207" t="n">
        <v>0.15</v>
      </c>
      <c r="L81" s="207" t="n">
        <v>0.15</v>
      </c>
      <c r="M81" s="207" t="n">
        <v>0.16</v>
      </c>
      <c r="N81" s="207" t="n">
        <v>0.13</v>
      </c>
      <c r="O81" s="207" t="n">
        <v>0.11</v>
      </c>
      <c r="P81" s="207" t="n">
        <v>0.13</v>
      </c>
    </row>
    <row r="82">
      <c r="A82" s="36" t="inlineStr">
        <is>
          <t>備抵呆帳提足率(%)</t>
        </is>
      </c>
      <c r="B82" s="36" t="inlineStr">
        <is>
          <t>總計</t>
        </is>
      </c>
      <c r="C82" s="201" t="n">
        <v>355.62</v>
      </c>
      <c r="D82" s="201" t="n">
        <v>331.79</v>
      </c>
      <c r="E82" s="201" t="n">
        <v>368.59</v>
      </c>
      <c r="F82" s="201" t="n">
        <v>700.0599999999999</v>
      </c>
      <c r="G82" s="201" t="n">
        <v>598.49</v>
      </c>
      <c r="H82" s="201" t="n">
        <v>932.38</v>
      </c>
      <c r="I82" s="201" t="n">
        <v>792.5</v>
      </c>
      <c r="J82" s="201" t="n">
        <v>733.3</v>
      </c>
      <c r="K82" s="201" t="n">
        <v>680.01</v>
      </c>
      <c r="L82" s="201" t="n">
        <v>592.7</v>
      </c>
      <c r="M82" s="201" t="n">
        <v>572.27</v>
      </c>
      <c r="N82" s="201" t="n">
        <v>579.9400000000001</v>
      </c>
      <c r="O82" s="201" t="n">
        <v>603.79</v>
      </c>
      <c r="P82" s="201" t="n">
        <v>489.98</v>
      </c>
    </row>
    <row r="83">
      <c r="B83" s="36" t="inlineStr">
        <is>
          <t>台北富邦銀行</t>
        </is>
      </c>
      <c r="C83" s="201" t="n">
        <v>405.11</v>
      </c>
      <c r="D83" s="201" t="n">
        <v>752.3</v>
      </c>
      <c r="E83" s="201" t="n">
        <v>732.97</v>
      </c>
      <c r="F83" s="201" t="n">
        <v>1704.31</v>
      </c>
      <c r="G83" s="201" t="n">
        <v>1803.45</v>
      </c>
      <c r="H83" s="201" t="n">
        <v>2144.11</v>
      </c>
      <c r="I83" s="201" t="n">
        <v>1841.01</v>
      </c>
      <c r="J83" s="201" t="n">
        <v>919.1799999999999</v>
      </c>
      <c r="K83" s="201" t="n">
        <v>782.42</v>
      </c>
      <c r="L83" s="201" t="n">
        <v>741.02</v>
      </c>
      <c r="M83" s="201" t="n">
        <v>818.58</v>
      </c>
      <c r="N83" s="201" t="n">
        <v>896.83</v>
      </c>
      <c r="O83" s="201" t="n">
        <v>1469.55</v>
      </c>
      <c r="P83" s="201" t="n">
        <v>1246.46</v>
      </c>
    </row>
    <row r="84">
      <c r="B84" s="36" t="inlineStr">
        <is>
          <t>國泰世華商業銀行</t>
        </is>
      </c>
      <c r="C84" s="201" t="n">
        <v>459.97</v>
      </c>
      <c r="D84" s="201" t="n">
        <v>829.4400000000001</v>
      </c>
      <c r="E84" s="201" t="n">
        <v>1266.11</v>
      </c>
      <c r="F84" s="201" t="n">
        <v>2944.72</v>
      </c>
      <c r="G84" s="201" t="n">
        <v>1007.04</v>
      </c>
      <c r="H84" s="201" t="n">
        <v>1985.13</v>
      </c>
      <c r="I84" s="201" t="n">
        <v>1844.19</v>
      </c>
      <c r="J84" s="201" t="n">
        <v>2034.74</v>
      </c>
      <c r="K84" s="201" t="n">
        <v>2176.97</v>
      </c>
      <c r="L84" s="201" t="n">
        <v>2270.15</v>
      </c>
      <c r="M84" s="201" t="n">
        <v>2459.95</v>
      </c>
      <c r="N84" s="201" t="n">
        <v>2607.8</v>
      </c>
      <c r="O84" s="201" t="n">
        <v>2429.31</v>
      </c>
      <c r="P84" s="201" t="n">
        <v>1254.71</v>
      </c>
    </row>
    <row r="85">
      <c r="B85" s="36" t="inlineStr">
        <is>
          <t>花旗(臺灣)商業銀行</t>
        </is>
      </c>
      <c r="C85" s="201" t="n">
        <v>101.92</v>
      </c>
      <c r="D85" s="201" t="n">
        <v>100.45</v>
      </c>
      <c r="E85" s="201" t="n">
        <v>322.88</v>
      </c>
      <c r="F85" s="201" t="n">
        <v>331.08</v>
      </c>
      <c r="G85" s="201" t="n">
        <v>479.65</v>
      </c>
      <c r="H85" s="201" t="n">
        <v>1614.61</v>
      </c>
      <c r="I85" s="201" t="n">
        <v>1228.46</v>
      </c>
      <c r="J85" s="201" t="n">
        <v>688.95</v>
      </c>
      <c r="K85" s="201" t="n">
        <v>585.1799999999999</v>
      </c>
      <c r="L85" s="201" t="n">
        <v>513.3099999999999</v>
      </c>
      <c r="M85" s="201" t="n">
        <v>481.58</v>
      </c>
      <c r="N85" s="201" t="n">
        <v>497.79</v>
      </c>
      <c r="O85" s="201" t="n">
        <v>419.01</v>
      </c>
      <c r="P85" s="201" t="n">
        <v>417.98</v>
      </c>
    </row>
    <row r="86">
      <c r="B86" s="36" t="inlineStr">
        <is>
          <t>聯邦商業銀行</t>
        </is>
      </c>
      <c r="C86" s="201" t="n">
        <v>215.69</v>
      </c>
      <c r="D86" s="201" t="n">
        <v>355.87</v>
      </c>
      <c r="E86" s="201" t="n">
        <v>147.4</v>
      </c>
      <c r="F86" s="201" t="n">
        <v>189.8</v>
      </c>
      <c r="G86" s="201" t="n">
        <v>138.14</v>
      </c>
      <c r="H86" s="201" t="n">
        <v>222.6</v>
      </c>
      <c r="I86" s="201" t="n">
        <v>126.28</v>
      </c>
      <c r="J86" s="201" t="n">
        <v>121.84</v>
      </c>
      <c r="K86" s="201" t="n">
        <v>129.07</v>
      </c>
      <c r="L86" s="201" t="n">
        <v>117.38</v>
      </c>
      <c r="M86" s="201" t="n">
        <v>119.71</v>
      </c>
      <c r="N86" s="201" t="n">
        <v>118.36</v>
      </c>
      <c r="O86" s="201" t="n">
        <v>156.82</v>
      </c>
      <c r="P86" s="201" t="n">
        <v>149.87</v>
      </c>
    </row>
    <row r="87">
      <c r="B87" s="36" t="inlineStr">
        <is>
          <t>遠東國際商業銀行</t>
        </is>
      </c>
      <c r="C87" s="201" t="n">
        <v>109.15</v>
      </c>
      <c r="D87" s="201" t="n">
        <v>100.82</v>
      </c>
      <c r="E87" s="201" t="n">
        <v>108.88</v>
      </c>
      <c r="F87" s="201" t="n">
        <v>1437.3</v>
      </c>
      <c r="G87" s="201" t="n">
        <v>228.66</v>
      </c>
      <c r="H87" s="201" t="n">
        <v>107.22</v>
      </c>
      <c r="I87" s="201" t="n">
        <v>102.78</v>
      </c>
      <c r="J87" s="201" t="n">
        <v>100.48</v>
      </c>
      <c r="K87" s="201" t="n">
        <v>100.55</v>
      </c>
      <c r="L87" s="201" t="n">
        <v>100.89</v>
      </c>
      <c r="M87" s="201" t="n">
        <v>100.35</v>
      </c>
      <c r="N87" s="201" t="n">
        <v>101</v>
      </c>
      <c r="O87" s="201" t="n">
        <v>100.57</v>
      </c>
      <c r="P87" s="201" t="n">
        <v>100.68</v>
      </c>
    </row>
    <row r="88">
      <c r="B88" s="36" t="inlineStr">
        <is>
          <t>永豐商業銀行</t>
        </is>
      </c>
      <c r="C88" s="174" t="inlineStr">
        <is>
          <t>－</t>
        </is>
      </c>
      <c r="D88" s="174" t="inlineStr">
        <is>
          <t>－</t>
        </is>
      </c>
      <c r="E88" s="174" t="inlineStr">
        <is>
          <t>－</t>
        </is>
      </c>
      <c r="F88" s="201" t="n">
        <v>401.01</v>
      </c>
      <c r="G88" s="201" t="n">
        <v>1117.4</v>
      </c>
      <c r="H88" s="201" t="n">
        <v>886.47</v>
      </c>
      <c r="I88" s="201" t="n">
        <v>801.74</v>
      </c>
      <c r="J88" s="201" t="n">
        <v>1126.47</v>
      </c>
      <c r="K88" s="201" t="n">
        <v>1261.51</v>
      </c>
      <c r="L88" s="201" t="n">
        <v>771.2</v>
      </c>
      <c r="M88" s="201" t="n">
        <v>569.72</v>
      </c>
      <c r="N88" s="201" t="n">
        <v>806</v>
      </c>
      <c r="O88" s="201" t="n">
        <v>982.5</v>
      </c>
      <c r="P88" s="201" t="n">
        <v>602.83</v>
      </c>
    </row>
    <row r="89">
      <c r="B89" s="36" t="inlineStr">
        <is>
          <t>玉山商業銀行</t>
        </is>
      </c>
      <c r="C89" s="201" t="n">
        <v>123.39</v>
      </c>
      <c r="D89" s="201" t="n">
        <v>101.03</v>
      </c>
      <c r="E89" s="201" t="n">
        <v>163.76</v>
      </c>
      <c r="F89" s="201" t="n">
        <v>178.11</v>
      </c>
      <c r="G89" s="201" t="n">
        <v>508.98</v>
      </c>
      <c r="H89" s="201" t="n">
        <v>1688.45</v>
      </c>
      <c r="I89" s="201" t="n">
        <v>2319.09</v>
      </c>
      <c r="J89" s="201" t="n">
        <v>2746.83</v>
      </c>
      <c r="K89" s="201" t="n">
        <v>2563.28</v>
      </c>
      <c r="L89" s="201" t="n">
        <v>1390.75</v>
      </c>
      <c r="M89" s="201" t="n">
        <v>928.52</v>
      </c>
      <c r="N89" s="201" t="n">
        <v>726.9299999999999</v>
      </c>
      <c r="O89" s="201" t="n">
        <v>613.27</v>
      </c>
      <c r="P89" s="201" t="n">
        <v>558.87</v>
      </c>
    </row>
    <row r="90">
      <c r="B90" s="36" t="inlineStr">
        <is>
          <t>台新國際商業銀行</t>
        </is>
      </c>
      <c r="C90" s="201" t="n">
        <v>189.52</v>
      </c>
      <c r="D90" s="201" t="n">
        <v>175.32</v>
      </c>
      <c r="E90" s="201" t="n">
        <v>269.47</v>
      </c>
      <c r="F90" s="201" t="n">
        <v>527.51</v>
      </c>
      <c r="G90" s="201" t="n">
        <v>627.23</v>
      </c>
      <c r="H90" s="201" t="n">
        <v>624.78</v>
      </c>
      <c r="I90" s="201" t="n">
        <v>594.26</v>
      </c>
      <c r="J90" s="201" t="n">
        <v>920.62</v>
      </c>
      <c r="K90" s="201" t="n">
        <v>633.01</v>
      </c>
      <c r="L90" s="201" t="n">
        <v>557.74</v>
      </c>
      <c r="M90" s="201" t="n">
        <v>606.05</v>
      </c>
      <c r="N90" s="201" t="n">
        <v>686.16</v>
      </c>
      <c r="O90" s="201" t="n">
        <v>833.99</v>
      </c>
      <c r="P90" s="201" t="n">
        <v>916.36</v>
      </c>
    </row>
    <row r="91">
      <c r="A91" s="65" t="n"/>
      <c r="B91" s="66" t="inlineStr">
        <is>
          <t>中國信託商業銀行</t>
        </is>
      </c>
      <c r="C91" s="204" t="n">
        <v>322.14</v>
      </c>
      <c r="D91" s="204" t="n">
        <v>188.96</v>
      </c>
      <c r="E91" s="204" t="n">
        <v>221.32</v>
      </c>
      <c r="F91" s="204" t="n">
        <v>322.99</v>
      </c>
      <c r="G91" s="204" t="n">
        <v>468.46</v>
      </c>
      <c r="H91" s="204" t="n">
        <v>1135.03</v>
      </c>
      <c r="I91" s="204" t="n">
        <v>840.58</v>
      </c>
      <c r="J91" s="204" t="n">
        <v>810.28</v>
      </c>
      <c r="K91" s="204" t="n">
        <v>766.78</v>
      </c>
      <c r="L91" s="204" t="n">
        <v>672.58</v>
      </c>
      <c r="M91" s="204" t="n">
        <v>603.99</v>
      </c>
      <c r="N91" s="204" t="n">
        <v>567.6799999999999</v>
      </c>
      <c r="O91" s="204" t="n">
        <v>563.71</v>
      </c>
      <c r="P91" s="204" t="n">
        <v>493.55</v>
      </c>
    </row>
    <row r="92">
      <c r="A92" s="36" t="inlineStr">
        <is>
          <t>本月轉銷呆帳金額</t>
        </is>
      </c>
      <c r="B92" s="36" t="inlineStr">
        <is>
          <t>總計</t>
        </is>
      </c>
      <c r="C92" s="201" t="n">
        <v>116517</v>
      </c>
      <c r="D92" s="201" t="n">
        <v>64256</v>
      </c>
      <c r="E92" s="201" t="n">
        <v>38505</v>
      </c>
      <c r="F92" s="201" t="n">
        <v>23221</v>
      </c>
      <c r="G92" s="201" t="n">
        <v>11508</v>
      </c>
      <c r="H92" s="201" t="n">
        <v>6275</v>
      </c>
      <c r="I92" s="201" t="n">
        <v>5007</v>
      </c>
      <c r="J92" s="201" t="n">
        <v>5001</v>
      </c>
      <c r="K92" s="201" t="n">
        <v>4264</v>
      </c>
      <c r="L92" s="201" t="n">
        <v>4312</v>
      </c>
      <c r="M92" s="201" t="n">
        <v>4541</v>
      </c>
      <c r="N92" s="201" t="n">
        <v>4691</v>
      </c>
      <c r="O92" s="201" t="n">
        <v>4695</v>
      </c>
      <c r="P92" s="201" t="n">
        <v>4336</v>
      </c>
    </row>
    <row r="93">
      <c r="B93" s="36" t="inlineStr">
        <is>
          <t>台北富邦銀行</t>
        </is>
      </c>
      <c r="C93" s="201" t="n">
        <v>8302</v>
      </c>
      <c r="D93" s="201" t="n">
        <v>4029</v>
      </c>
      <c r="E93" s="201" t="n">
        <v>2786</v>
      </c>
      <c r="F93" s="201" t="n">
        <v>1728</v>
      </c>
      <c r="G93" s="201" t="n">
        <v>694</v>
      </c>
      <c r="H93" s="201" t="n">
        <v>355</v>
      </c>
      <c r="I93" s="201" t="n">
        <v>279</v>
      </c>
      <c r="J93" s="201" t="n">
        <v>274</v>
      </c>
      <c r="K93" s="201" t="n">
        <v>299</v>
      </c>
      <c r="L93" s="201" t="n">
        <v>284</v>
      </c>
      <c r="M93" s="201" t="n">
        <v>284</v>
      </c>
      <c r="N93" s="201" t="n">
        <v>271</v>
      </c>
      <c r="O93" s="201" t="n">
        <v>254</v>
      </c>
      <c r="P93" s="201" t="n">
        <v>236</v>
      </c>
    </row>
    <row r="94">
      <c r="B94" s="36" t="inlineStr">
        <is>
          <t>國泰世華商業銀行</t>
        </is>
      </c>
      <c r="C94" s="201" t="n">
        <v>11141</v>
      </c>
      <c r="D94" s="201" t="n">
        <v>4264</v>
      </c>
      <c r="E94" s="201" t="n">
        <v>2896</v>
      </c>
      <c r="F94" s="201" t="n">
        <v>1488</v>
      </c>
      <c r="G94" s="201" t="n">
        <v>600</v>
      </c>
      <c r="H94" s="201" t="n">
        <v>366</v>
      </c>
      <c r="I94" s="201" t="n">
        <v>303</v>
      </c>
      <c r="J94" s="201" t="n">
        <v>302</v>
      </c>
      <c r="K94" s="201" t="n">
        <v>300</v>
      </c>
      <c r="L94" s="201" t="n">
        <v>320</v>
      </c>
      <c r="M94" s="201" t="n">
        <v>361</v>
      </c>
      <c r="N94" s="201" t="n">
        <v>391</v>
      </c>
      <c r="O94" s="201" t="n">
        <v>442</v>
      </c>
      <c r="P94" s="201" t="n">
        <v>484</v>
      </c>
    </row>
    <row r="95">
      <c r="B95" s="36" t="inlineStr">
        <is>
          <t>花旗(臺灣)商業銀行</t>
        </is>
      </c>
      <c r="C95" s="201" t="n">
        <v>236</v>
      </c>
      <c r="D95" s="201" t="n">
        <v>904</v>
      </c>
      <c r="E95" s="201" t="n">
        <v>399</v>
      </c>
      <c r="F95" s="201" t="n">
        <v>1485</v>
      </c>
      <c r="G95" s="201" t="n">
        <v>1865</v>
      </c>
      <c r="H95" s="201" t="n">
        <v>932</v>
      </c>
      <c r="I95" s="201" t="n">
        <v>911</v>
      </c>
      <c r="J95" s="201" t="n">
        <v>846</v>
      </c>
      <c r="K95" s="201" t="n">
        <v>655</v>
      </c>
      <c r="L95" s="201" t="n">
        <v>655</v>
      </c>
      <c r="M95" s="201" t="n">
        <v>714</v>
      </c>
      <c r="N95" s="201" t="n">
        <v>685</v>
      </c>
      <c r="O95" s="201" t="n">
        <v>674</v>
      </c>
      <c r="P95" s="201" t="n">
        <v>596</v>
      </c>
    </row>
    <row r="96">
      <c r="B96" s="36" t="inlineStr">
        <is>
          <t>聯邦商業銀行</t>
        </is>
      </c>
      <c r="C96" s="201" t="n">
        <v>4186</v>
      </c>
      <c r="D96" s="201" t="n">
        <v>4615</v>
      </c>
      <c r="E96" s="201" t="n">
        <v>3265</v>
      </c>
      <c r="F96" s="201" t="n">
        <v>1299</v>
      </c>
      <c r="G96" s="201" t="n">
        <v>617</v>
      </c>
      <c r="H96" s="201" t="n">
        <v>296</v>
      </c>
      <c r="I96" s="201" t="n">
        <v>193</v>
      </c>
      <c r="J96" s="201" t="n">
        <v>194</v>
      </c>
      <c r="K96" s="201" t="n">
        <v>158</v>
      </c>
      <c r="L96" s="201" t="n">
        <v>158</v>
      </c>
      <c r="M96" s="201" t="n">
        <v>171</v>
      </c>
      <c r="N96" s="201" t="n">
        <v>187</v>
      </c>
      <c r="O96" s="201" t="n">
        <v>214</v>
      </c>
      <c r="P96" s="201" t="n">
        <v>201</v>
      </c>
    </row>
    <row r="97">
      <c r="B97" s="36" t="inlineStr">
        <is>
          <t>遠東國際商業銀行</t>
        </is>
      </c>
      <c r="C97" s="201" t="n">
        <v>6612</v>
      </c>
      <c r="D97" s="201" t="n">
        <v>2681</v>
      </c>
      <c r="E97" s="201" t="n">
        <v>1615</v>
      </c>
      <c r="F97" s="201" t="n">
        <v>1135</v>
      </c>
      <c r="G97" s="201" t="n">
        <v>682</v>
      </c>
      <c r="H97" s="201" t="n">
        <v>305</v>
      </c>
      <c r="I97" s="201" t="n">
        <v>258</v>
      </c>
      <c r="J97" s="201" t="n">
        <v>249</v>
      </c>
      <c r="K97" s="201" t="n">
        <v>188</v>
      </c>
      <c r="L97" s="201" t="n">
        <v>177</v>
      </c>
      <c r="M97" s="201" t="n">
        <v>199</v>
      </c>
      <c r="N97" s="201" t="n">
        <v>206</v>
      </c>
      <c r="O97" s="201" t="n">
        <v>189</v>
      </c>
      <c r="P97" s="201" t="n">
        <v>166</v>
      </c>
    </row>
    <row r="98">
      <c r="B98" s="36" t="inlineStr">
        <is>
          <t>永豐商業銀行</t>
        </is>
      </c>
      <c r="C98" s="174" t="inlineStr">
        <is>
          <t>－</t>
        </is>
      </c>
      <c r="D98" s="174" t="inlineStr">
        <is>
          <t>－</t>
        </is>
      </c>
      <c r="E98" s="174" t="inlineStr">
        <is>
          <t>－</t>
        </is>
      </c>
      <c r="F98" s="201" t="n">
        <v>413</v>
      </c>
      <c r="G98" s="201" t="n">
        <v>347</v>
      </c>
      <c r="H98" s="201" t="n">
        <v>211</v>
      </c>
      <c r="I98" s="201" t="n">
        <v>176</v>
      </c>
      <c r="J98" s="201" t="n">
        <v>181</v>
      </c>
      <c r="K98" s="201" t="n">
        <v>154</v>
      </c>
      <c r="L98" s="201" t="n">
        <v>192</v>
      </c>
      <c r="M98" s="201" t="n">
        <v>178</v>
      </c>
      <c r="N98" s="201" t="n">
        <v>202</v>
      </c>
      <c r="O98" s="201" t="n">
        <v>172</v>
      </c>
      <c r="P98" s="201" t="n">
        <v>128</v>
      </c>
    </row>
    <row r="99">
      <c r="B99" s="36" t="inlineStr">
        <is>
          <t>玉山商業銀行</t>
        </is>
      </c>
      <c r="C99" s="201" t="n">
        <v>3034</v>
      </c>
      <c r="D99" s="201" t="n">
        <v>1720</v>
      </c>
      <c r="E99" s="201" t="n">
        <v>1423</v>
      </c>
      <c r="F99" s="201" t="n">
        <v>1336</v>
      </c>
      <c r="G99" s="201" t="n">
        <v>2031</v>
      </c>
      <c r="H99" s="201" t="n">
        <v>725</v>
      </c>
      <c r="I99" s="201" t="n">
        <v>422</v>
      </c>
      <c r="J99" s="201" t="n">
        <v>421</v>
      </c>
      <c r="K99" s="201" t="n">
        <v>422</v>
      </c>
      <c r="L99" s="201" t="n">
        <v>441</v>
      </c>
      <c r="M99" s="201" t="n">
        <v>463</v>
      </c>
      <c r="N99" s="201" t="n">
        <v>519</v>
      </c>
      <c r="O99" s="201" t="n">
        <v>523</v>
      </c>
      <c r="P99" s="201" t="n">
        <v>520</v>
      </c>
    </row>
    <row r="100">
      <c r="B100" s="36" t="inlineStr">
        <is>
          <t>台新國際商業銀行</t>
        </is>
      </c>
      <c r="C100" s="201" t="n">
        <v>7579</v>
      </c>
      <c r="D100" s="201" t="n">
        <v>3520</v>
      </c>
      <c r="E100" s="201" t="n">
        <v>1126</v>
      </c>
      <c r="F100" s="201" t="n">
        <v>1162</v>
      </c>
      <c r="G100" s="201" t="n">
        <v>908</v>
      </c>
      <c r="H100" s="201" t="n">
        <v>359</v>
      </c>
      <c r="I100" s="201" t="n">
        <v>259</v>
      </c>
      <c r="J100" s="201" t="n">
        <v>264</v>
      </c>
      <c r="K100" s="201" t="n">
        <v>256</v>
      </c>
      <c r="L100" s="201" t="n">
        <v>256</v>
      </c>
      <c r="M100" s="201" t="n">
        <v>275</v>
      </c>
      <c r="N100" s="201" t="n">
        <v>295</v>
      </c>
      <c r="O100" s="201" t="n">
        <v>310</v>
      </c>
      <c r="P100" s="201" t="n">
        <v>294</v>
      </c>
    </row>
    <row r="101">
      <c r="A101" s="65" t="n"/>
      <c r="B101" s="66" t="inlineStr">
        <is>
          <t>中國信託商業銀行</t>
        </is>
      </c>
      <c r="C101" s="204" t="n">
        <v>17047</v>
      </c>
      <c r="D101" s="204" t="n">
        <v>6814</v>
      </c>
      <c r="E101" s="204" t="n">
        <v>3958</v>
      </c>
      <c r="F101" s="204" t="n">
        <v>2301</v>
      </c>
      <c r="G101" s="204" t="n">
        <v>1215</v>
      </c>
      <c r="H101" s="204" t="n">
        <v>1054</v>
      </c>
      <c r="I101" s="204" t="n">
        <v>788</v>
      </c>
      <c r="J101" s="204" t="n">
        <v>743</v>
      </c>
      <c r="K101" s="204" t="n">
        <v>739</v>
      </c>
      <c r="L101" s="204" t="n">
        <v>746</v>
      </c>
      <c r="M101" s="204" t="n">
        <v>739</v>
      </c>
      <c r="N101" s="204" t="n">
        <v>751</v>
      </c>
      <c r="O101" s="204" t="n">
        <v>784</v>
      </c>
      <c r="P101" s="204" t="n">
        <v>728</v>
      </c>
    </row>
    <row r="102">
      <c r="A102" s="36" t="inlineStr">
        <is>
          <t>循環信用利息收入</t>
        </is>
      </c>
      <c r="B102" s="36" t="inlineStr">
        <is>
          <t>總計</t>
        </is>
      </c>
      <c r="C102" s="201" t="n">
        <v>58995</v>
      </c>
      <c r="D102" s="201" t="n">
        <v>41129</v>
      </c>
      <c r="E102" s="201" t="n">
        <v>36829</v>
      </c>
      <c r="F102" s="201" t="n">
        <v>28929</v>
      </c>
      <c r="G102" s="201" t="n">
        <v>24829</v>
      </c>
      <c r="H102" s="201" t="n">
        <v>22247</v>
      </c>
      <c r="I102" s="201" t="n">
        <v>20157</v>
      </c>
      <c r="J102" s="201" t="n">
        <v>18241</v>
      </c>
      <c r="K102" s="201" t="n">
        <v>17331</v>
      </c>
      <c r="L102" s="201" t="n">
        <v>15860</v>
      </c>
      <c r="M102" s="201" t="n">
        <v>14626</v>
      </c>
      <c r="N102" s="201" t="n">
        <v>14934</v>
      </c>
      <c r="O102" s="201" t="n">
        <v>15381</v>
      </c>
      <c r="P102" s="201" t="n">
        <v>15528</v>
      </c>
    </row>
    <row r="103">
      <c r="B103" s="36" t="inlineStr">
        <is>
          <t>台北富邦銀行</t>
        </is>
      </c>
      <c r="C103" s="201" t="n">
        <v>4071</v>
      </c>
      <c r="D103" s="201" t="n">
        <v>2882</v>
      </c>
      <c r="E103" s="201" t="n">
        <v>2548</v>
      </c>
      <c r="F103" s="201" t="n">
        <v>1824</v>
      </c>
      <c r="G103" s="201" t="n">
        <v>1405</v>
      </c>
      <c r="H103" s="201" t="n">
        <v>1230</v>
      </c>
      <c r="I103" s="201" t="n">
        <v>1099</v>
      </c>
      <c r="J103" s="201" t="n">
        <v>1043</v>
      </c>
      <c r="K103" s="201" t="n">
        <v>1057</v>
      </c>
      <c r="L103" s="201" t="n">
        <v>982</v>
      </c>
      <c r="M103" s="201" t="n">
        <v>836</v>
      </c>
      <c r="N103" s="201" t="n">
        <v>757</v>
      </c>
      <c r="O103" s="201" t="n">
        <v>693</v>
      </c>
      <c r="P103" s="201" t="n">
        <v>682</v>
      </c>
    </row>
    <row r="104">
      <c r="B104" s="36" t="inlineStr">
        <is>
          <t>國泰世華商業銀行</t>
        </is>
      </c>
      <c r="C104" s="201" t="n">
        <v>4167</v>
      </c>
      <c r="D104" s="201" t="n">
        <v>3116</v>
      </c>
      <c r="E104" s="201" t="n">
        <v>2818</v>
      </c>
      <c r="F104" s="201" t="n">
        <v>2476</v>
      </c>
      <c r="G104" s="201" t="n">
        <v>2363</v>
      </c>
      <c r="H104" s="201" t="n">
        <v>2250</v>
      </c>
      <c r="I104" s="201" t="n">
        <v>2119</v>
      </c>
      <c r="J104" s="201" t="n">
        <v>2077</v>
      </c>
      <c r="K104" s="201" t="n">
        <v>2160</v>
      </c>
      <c r="L104" s="201" t="n">
        <v>2081</v>
      </c>
      <c r="M104" s="201" t="n">
        <v>1998</v>
      </c>
      <c r="N104" s="201" t="n">
        <v>2138</v>
      </c>
      <c r="O104" s="201" t="n">
        <v>2249</v>
      </c>
      <c r="P104" s="201" t="n">
        <v>2340</v>
      </c>
    </row>
    <row r="105">
      <c r="B105" s="36" t="inlineStr">
        <is>
          <t>花旗(臺灣)商業銀行</t>
        </is>
      </c>
      <c r="C105" s="201" t="n">
        <v>382</v>
      </c>
      <c r="D105" s="201" t="n">
        <v>325</v>
      </c>
      <c r="E105" s="201" t="n">
        <v>326</v>
      </c>
      <c r="F105" s="201" t="n">
        <v>2650</v>
      </c>
      <c r="G105" s="201" t="n">
        <v>4974</v>
      </c>
      <c r="H105" s="201" t="n">
        <v>4324</v>
      </c>
      <c r="I105" s="201" t="n">
        <v>3403</v>
      </c>
      <c r="J105" s="201" t="n">
        <v>2968</v>
      </c>
      <c r="K105" s="201" t="n">
        <v>2803</v>
      </c>
      <c r="L105" s="201" t="n">
        <v>2501</v>
      </c>
      <c r="M105" s="201" t="n">
        <v>2300</v>
      </c>
      <c r="N105" s="201" t="n">
        <v>2211</v>
      </c>
      <c r="O105" s="201" t="n">
        <v>2057</v>
      </c>
      <c r="P105" s="201" t="n">
        <v>1869</v>
      </c>
    </row>
    <row r="106">
      <c r="B106" s="36" t="inlineStr">
        <is>
          <t>聯邦商業銀行</t>
        </is>
      </c>
      <c r="C106" s="201" t="n">
        <v>4209</v>
      </c>
      <c r="D106" s="201" t="n">
        <v>2625</v>
      </c>
      <c r="E106" s="201" t="n">
        <v>2010</v>
      </c>
      <c r="F106" s="201" t="n">
        <v>1397</v>
      </c>
      <c r="G106" s="201" t="n">
        <v>1107</v>
      </c>
      <c r="H106" s="201" t="n">
        <v>813</v>
      </c>
      <c r="I106" s="201" t="n">
        <v>814</v>
      </c>
      <c r="J106" s="201" t="n">
        <v>691</v>
      </c>
      <c r="K106" s="201" t="n">
        <v>633</v>
      </c>
      <c r="L106" s="201" t="n">
        <v>553</v>
      </c>
      <c r="M106" s="201" t="n">
        <v>486</v>
      </c>
      <c r="N106" s="201" t="n">
        <v>554</v>
      </c>
      <c r="O106" s="201" t="n">
        <v>629</v>
      </c>
      <c r="P106" s="201" t="n">
        <v>671</v>
      </c>
    </row>
    <row r="107">
      <c r="B107" s="36" t="inlineStr">
        <is>
          <t>遠東國際商業銀行</t>
        </is>
      </c>
      <c r="C107" s="201" t="n">
        <v>2121</v>
      </c>
      <c r="D107" s="201" t="n">
        <v>1386</v>
      </c>
      <c r="E107" s="201" t="n">
        <v>1183</v>
      </c>
      <c r="F107" s="201" t="n">
        <v>1067</v>
      </c>
      <c r="G107" s="201" t="n">
        <v>1185</v>
      </c>
      <c r="H107" s="201" t="n">
        <v>996</v>
      </c>
      <c r="I107" s="201" t="n">
        <v>937</v>
      </c>
      <c r="J107" s="201" t="n">
        <v>1029</v>
      </c>
      <c r="K107" s="201" t="n">
        <v>1009</v>
      </c>
      <c r="L107" s="201" t="n">
        <v>959</v>
      </c>
      <c r="M107" s="201" t="n">
        <v>841</v>
      </c>
      <c r="N107" s="201" t="n">
        <v>820</v>
      </c>
      <c r="O107" s="201" t="n">
        <v>818</v>
      </c>
      <c r="P107" s="201" t="n">
        <v>821</v>
      </c>
    </row>
    <row r="108">
      <c r="B108" s="36" t="inlineStr">
        <is>
          <t>永豐商業銀行</t>
        </is>
      </c>
      <c r="C108" s="174" t="inlineStr">
        <is>
          <t>－</t>
        </is>
      </c>
      <c r="D108" s="174" t="inlineStr">
        <is>
          <t>－</t>
        </is>
      </c>
      <c r="E108" s="174" t="inlineStr">
        <is>
          <t>－</t>
        </is>
      </c>
      <c r="F108" s="201" t="n">
        <v>893</v>
      </c>
      <c r="G108" s="201" t="n">
        <v>1261</v>
      </c>
      <c r="H108" s="201" t="n">
        <v>1042</v>
      </c>
      <c r="I108" s="201" t="n">
        <v>1017</v>
      </c>
      <c r="J108" s="201" t="n">
        <v>933</v>
      </c>
      <c r="K108" s="201" t="n">
        <v>881</v>
      </c>
      <c r="L108" s="201" t="n">
        <v>846</v>
      </c>
      <c r="M108" s="201" t="n">
        <v>733</v>
      </c>
      <c r="N108" s="201" t="n">
        <v>668</v>
      </c>
      <c r="O108" s="201" t="n">
        <v>685</v>
      </c>
      <c r="P108" s="201" t="n">
        <v>695</v>
      </c>
    </row>
    <row r="109">
      <c r="B109" s="36" t="inlineStr">
        <is>
          <t>玉山商業銀行</t>
        </is>
      </c>
      <c r="C109" s="201" t="n">
        <v>2984</v>
      </c>
      <c r="D109" s="201" t="n">
        <v>2126</v>
      </c>
      <c r="E109" s="201" t="n">
        <v>2271</v>
      </c>
      <c r="F109" s="201" t="n">
        <v>2120</v>
      </c>
      <c r="G109" s="201" t="n">
        <v>2143</v>
      </c>
      <c r="H109" s="201" t="n">
        <v>2170</v>
      </c>
      <c r="I109" s="201" t="n">
        <v>2260</v>
      </c>
      <c r="J109" s="201" t="n">
        <v>1907</v>
      </c>
      <c r="K109" s="201" t="n">
        <v>1653</v>
      </c>
      <c r="L109" s="201" t="n">
        <v>1546</v>
      </c>
      <c r="M109" s="201" t="n">
        <v>1544</v>
      </c>
      <c r="N109" s="201" t="n">
        <v>1791</v>
      </c>
      <c r="O109" s="201" t="n">
        <v>1898</v>
      </c>
      <c r="P109" s="201" t="n">
        <v>1879</v>
      </c>
    </row>
    <row r="110">
      <c r="B110" s="36" t="inlineStr">
        <is>
          <t>台新國際商業銀行</t>
        </is>
      </c>
      <c r="C110" s="201" t="n">
        <v>3045</v>
      </c>
      <c r="D110" s="201" t="n">
        <v>1386</v>
      </c>
      <c r="E110" s="201" t="n">
        <v>952</v>
      </c>
      <c r="F110" s="201" t="n">
        <v>1481</v>
      </c>
      <c r="G110" s="201" t="n">
        <v>1677</v>
      </c>
      <c r="H110" s="201" t="n">
        <v>1628</v>
      </c>
      <c r="I110" s="201" t="n">
        <v>1510</v>
      </c>
      <c r="J110" s="201" t="n">
        <v>1333</v>
      </c>
      <c r="K110" s="201" t="n">
        <v>1255</v>
      </c>
      <c r="L110" s="201" t="n">
        <v>1219</v>
      </c>
      <c r="M110" s="201" t="n">
        <v>1170</v>
      </c>
      <c r="N110" s="201" t="n">
        <v>1177</v>
      </c>
      <c r="O110" s="201" t="n">
        <v>1292</v>
      </c>
      <c r="P110" s="201" t="n">
        <v>1386</v>
      </c>
    </row>
    <row r="111">
      <c r="A111" s="65" t="n"/>
      <c r="B111" s="66" t="inlineStr">
        <is>
          <t>中國信託商業銀行</t>
        </is>
      </c>
      <c r="C111" s="204" t="n">
        <v>8301</v>
      </c>
      <c r="D111" s="204" t="n">
        <v>5008</v>
      </c>
      <c r="E111" s="204" t="n">
        <v>4357</v>
      </c>
      <c r="F111" s="204" t="n">
        <v>2811</v>
      </c>
      <c r="G111" s="204" t="n">
        <v>2481</v>
      </c>
      <c r="H111" s="204" t="n">
        <v>2488</v>
      </c>
      <c r="I111" s="204" t="n">
        <v>2395</v>
      </c>
      <c r="J111" s="204" t="n">
        <v>2065</v>
      </c>
      <c r="K111" s="204" t="n">
        <v>2119</v>
      </c>
      <c r="L111" s="204" t="n">
        <v>1861</v>
      </c>
      <c r="M111" s="204" t="n">
        <v>1777</v>
      </c>
      <c r="N111" s="204" t="n">
        <v>1944</v>
      </c>
      <c r="O111" s="204" t="n">
        <v>2224</v>
      </c>
      <c r="P111" s="204" t="n">
        <v>2390</v>
      </c>
    </row>
    <row r="112">
      <c r="A112" s="36" t="inlineStr">
        <is>
          <t>簽帳手續費收入</t>
        </is>
      </c>
      <c r="B112" s="36" t="inlineStr">
        <is>
          <t>總計</t>
        </is>
      </c>
      <c r="C112" s="201" t="n">
        <v>15783</v>
      </c>
      <c r="D112" s="201" t="n">
        <v>16481</v>
      </c>
      <c r="E112" s="201" t="n">
        <v>18208</v>
      </c>
      <c r="F112" s="201" t="n">
        <v>17511</v>
      </c>
      <c r="G112" s="201" t="n">
        <v>20649</v>
      </c>
      <c r="H112" s="201" t="n">
        <v>22784</v>
      </c>
      <c r="I112" s="201" t="n">
        <v>24800</v>
      </c>
      <c r="J112" s="201" t="n">
        <v>26443</v>
      </c>
      <c r="K112" s="201" t="n">
        <v>27649</v>
      </c>
      <c r="L112" s="201" t="n">
        <v>29287</v>
      </c>
      <c r="M112" s="201" t="n">
        <v>31243</v>
      </c>
      <c r="N112" s="201" t="n">
        <v>33740</v>
      </c>
      <c r="O112" s="201" t="n">
        <v>36920</v>
      </c>
      <c r="P112" s="201" t="n">
        <v>40727</v>
      </c>
    </row>
    <row r="113">
      <c r="B113" s="36" t="inlineStr">
        <is>
          <t>台北富邦銀行</t>
        </is>
      </c>
      <c r="C113" s="201" t="n">
        <v>781</v>
      </c>
      <c r="D113" s="201" t="n">
        <v>957</v>
      </c>
      <c r="E113" s="201" t="n">
        <v>1135</v>
      </c>
      <c r="F113" s="201" t="n">
        <v>951</v>
      </c>
      <c r="G113" s="201" t="n">
        <v>1335</v>
      </c>
      <c r="H113" s="201" t="n">
        <v>1291</v>
      </c>
      <c r="I113" s="201" t="n">
        <v>1846</v>
      </c>
      <c r="J113" s="201" t="n">
        <v>1946</v>
      </c>
      <c r="K113" s="201" t="n">
        <v>2186</v>
      </c>
      <c r="L113" s="201" t="n">
        <v>2382</v>
      </c>
      <c r="M113" s="201" t="n">
        <v>2790</v>
      </c>
      <c r="N113" s="201" t="n">
        <v>2844</v>
      </c>
      <c r="O113" s="201" t="n">
        <v>2851</v>
      </c>
      <c r="P113" s="201" t="n">
        <v>3257</v>
      </c>
    </row>
    <row r="114">
      <c r="B114" s="36" t="inlineStr">
        <is>
          <t>國泰世華商業銀行</t>
        </is>
      </c>
      <c r="C114" s="201" t="n">
        <v>1662</v>
      </c>
      <c r="D114" s="201" t="n">
        <v>1794</v>
      </c>
      <c r="E114" s="201" t="n">
        <v>1895</v>
      </c>
      <c r="F114" s="201" t="n">
        <v>1930</v>
      </c>
      <c r="G114" s="201" t="n">
        <v>2218</v>
      </c>
      <c r="H114" s="201" t="n">
        <v>2481</v>
      </c>
      <c r="I114" s="201" t="n">
        <v>2548</v>
      </c>
      <c r="J114" s="201" t="n">
        <v>2759</v>
      </c>
      <c r="K114" s="201" t="n">
        <v>3470</v>
      </c>
      <c r="L114" s="201" t="n">
        <v>3628</v>
      </c>
      <c r="M114" s="201" t="n">
        <v>4105</v>
      </c>
      <c r="N114" s="201" t="n">
        <v>4522</v>
      </c>
      <c r="O114" s="201" t="n">
        <v>4904</v>
      </c>
      <c r="P114" s="201" t="n">
        <v>5124</v>
      </c>
    </row>
    <row r="115">
      <c r="B115" s="36" t="inlineStr">
        <is>
          <t>花旗(臺灣)商業銀行</t>
        </is>
      </c>
      <c r="C115" s="201" t="n">
        <v>345</v>
      </c>
      <c r="D115" s="201" t="n">
        <v>336</v>
      </c>
      <c r="E115" s="201" t="n">
        <v>275</v>
      </c>
      <c r="F115" s="201" t="n">
        <v>1084</v>
      </c>
      <c r="G115" s="201" t="n">
        <v>2458</v>
      </c>
      <c r="H115" s="201" t="n">
        <v>2691</v>
      </c>
      <c r="I115" s="201" t="n">
        <v>2696</v>
      </c>
      <c r="J115" s="201" t="n">
        <v>2863</v>
      </c>
      <c r="K115" s="201" t="n">
        <v>3011</v>
      </c>
      <c r="L115" s="201" t="n">
        <v>3034</v>
      </c>
      <c r="M115" s="201" t="n">
        <v>3079</v>
      </c>
      <c r="N115" s="201" t="n">
        <v>3077</v>
      </c>
      <c r="O115" s="201" t="n">
        <v>2982</v>
      </c>
      <c r="P115" s="201" t="n">
        <v>2865</v>
      </c>
    </row>
    <row r="116">
      <c r="B116" s="36" t="inlineStr">
        <is>
          <t>聯邦商業銀行</t>
        </is>
      </c>
      <c r="C116" s="201" t="n">
        <v>400</v>
      </c>
      <c r="D116" s="201" t="n">
        <v>454</v>
      </c>
      <c r="E116" s="201" t="n">
        <v>436</v>
      </c>
      <c r="F116" s="201" t="n">
        <v>625</v>
      </c>
      <c r="G116" s="201" t="n">
        <v>728</v>
      </c>
      <c r="H116" s="201" t="n">
        <v>727</v>
      </c>
      <c r="I116" s="201" t="n">
        <v>697</v>
      </c>
      <c r="J116" s="201" t="n">
        <v>738</v>
      </c>
      <c r="K116" s="201" t="n">
        <v>856</v>
      </c>
      <c r="L116" s="201" t="n">
        <v>989</v>
      </c>
      <c r="M116" s="201" t="n">
        <v>1143</v>
      </c>
      <c r="N116" s="201" t="n">
        <v>1234</v>
      </c>
      <c r="O116" s="201" t="n">
        <v>1247</v>
      </c>
      <c r="P116" s="201" t="n">
        <v>1278</v>
      </c>
    </row>
    <row r="117">
      <c r="B117" s="36" t="inlineStr">
        <is>
          <t>遠東國際商業銀行</t>
        </is>
      </c>
      <c r="C117" s="201" t="n">
        <v>292</v>
      </c>
      <c r="D117" s="201" t="n">
        <v>367</v>
      </c>
      <c r="E117" s="201" t="n">
        <v>384</v>
      </c>
      <c r="F117" s="201" t="n">
        <v>410</v>
      </c>
      <c r="G117" s="201" t="n">
        <v>518</v>
      </c>
      <c r="H117" s="201" t="n">
        <v>566</v>
      </c>
      <c r="I117" s="201" t="n">
        <v>656</v>
      </c>
      <c r="J117" s="201" t="n">
        <v>661</v>
      </c>
      <c r="K117" s="201" t="n">
        <v>661</v>
      </c>
      <c r="L117" s="201" t="n">
        <v>626</v>
      </c>
      <c r="M117" s="201" t="n">
        <v>627</v>
      </c>
      <c r="N117" s="201" t="n">
        <v>602</v>
      </c>
      <c r="O117" s="201" t="n">
        <v>592</v>
      </c>
      <c r="P117" s="201" t="n">
        <v>594</v>
      </c>
    </row>
    <row r="118">
      <c r="B118" s="36" t="inlineStr">
        <is>
          <t>永豐商業銀行</t>
        </is>
      </c>
      <c r="C118" s="174" t="inlineStr">
        <is>
          <t>－</t>
        </is>
      </c>
      <c r="D118" s="174" t="inlineStr">
        <is>
          <t>－</t>
        </is>
      </c>
      <c r="E118" s="174" t="inlineStr">
        <is>
          <t>－</t>
        </is>
      </c>
      <c r="F118" s="201" t="n">
        <v>382</v>
      </c>
      <c r="G118" s="201" t="n">
        <v>617</v>
      </c>
      <c r="H118" s="201" t="n">
        <v>962</v>
      </c>
      <c r="I118" s="201" t="n">
        <v>1206</v>
      </c>
      <c r="J118" s="201" t="n">
        <v>1258</v>
      </c>
      <c r="K118" s="201" t="n">
        <v>1256</v>
      </c>
      <c r="L118" s="201" t="n">
        <v>1185</v>
      </c>
      <c r="M118" s="201" t="n">
        <v>1242</v>
      </c>
      <c r="N118" s="201" t="n">
        <v>1187</v>
      </c>
      <c r="O118" s="201" t="n">
        <v>1236</v>
      </c>
      <c r="P118" s="201" t="n">
        <v>1425</v>
      </c>
    </row>
    <row r="119">
      <c r="B119" s="36" t="inlineStr">
        <is>
          <t>玉山商業銀行</t>
        </is>
      </c>
      <c r="C119" s="201" t="n">
        <v>821</v>
      </c>
      <c r="D119" s="201" t="n">
        <v>910</v>
      </c>
      <c r="E119" s="201" t="n">
        <v>1058</v>
      </c>
      <c r="F119" s="201" t="n">
        <v>1318</v>
      </c>
      <c r="G119" s="201" t="n">
        <v>1673</v>
      </c>
      <c r="H119" s="201" t="n">
        <v>2057</v>
      </c>
      <c r="I119" s="201" t="n">
        <v>2445</v>
      </c>
      <c r="J119" s="201" t="n">
        <v>2778</v>
      </c>
      <c r="K119" s="201" t="n">
        <v>3011</v>
      </c>
      <c r="L119" s="201" t="n">
        <v>3326</v>
      </c>
      <c r="M119" s="201" t="n">
        <v>3700</v>
      </c>
      <c r="N119" s="201" t="n">
        <v>3952</v>
      </c>
      <c r="O119" s="201" t="n">
        <v>4164</v>
      </c>
      <c r="P119" s="201" t="n">
        <v>5657</v>
      </c>
    </row>
    <row r="120">
      <c r="B120" s="36" t="inlineStr">
        <is>
          <t>台新國際商業銀行</t>
        </is>
      </c>
      <c r="C120" s="201" t="n">
        <v>1604</v>
      </c>
      <c r="D120" s="201" t="n">
        <v>1721</v>
      </c>
      <c r="E120" s="201" t="n">
        <v>1545</v>
      </c>
      <c r="F120" s="201" t="n">
        <v>1488</v>
      </c>
      <c r="G120" s="201" t="n">
        <v>2164</v>
      </c>
      <c r="H120" s="201" t="n">
        <v>2077</v>
      </c>
      <c r="I120" s="201" t="n">
        <v>2073</v>
      </c>
      <c r="J120" s="201" t="n">
        <v>2294</v>
      </c>
      <c r="K120" s="201" t="n">
        <v>2459</v>
      </c>
      <c r="L120" s="201" t="n">
        <v>2556</v>
      </c>
      <c r="M120" s="201" t="n">
        <v>2740</v>
      </c>
      <c r="N120" s="201" t="n">
        <v>3113</v>
      </c>
      <c r="O120" s="201" t="n">
        <v>3584</v>
      </c>
      <c r="P120" s="201" t="n">
        <v>4546</v>
      </c>
    </row>
    <row r="121">
      <c r="A121" s="65" t="n"/>
      <c r="B121" s="66" t="inlineStr">
        <is>
          <t>中國信託商業銀行</t>
        </is>
      </c>
      <c r="C121" s="204" t="n">
        <v>2510</v>
      </c>
      <c r="D121" s="204" t="n">
        <v>2509</v>
      </c>
      <c r="E121" s="204" t="n">
        <v>3845</v>
      </c>
      <c r="F121" s="204" t="n">
        <v>3203</v>
      </c>
      <c r="G121" s="204" t="n">
        <v>3628</v>
      </c>
      <c r="H121" s="204" t="n">
        <v>3909</v>
      </c>
      <c r="I121" s="204" t="n">
        <v>4059</v>
      </c>
      <c r="J121" s="204" t="n">
        <v>4079</v>
      </c>
      <c r="K121" s="204" t="n">
        <v>4095</v>
      </c>
      <c r="L121" s="204" t="n">
        <v>4215</v>
      </c>
      <c r="M121" s="204" t="n">
        <v>4202</v>
      </c>
      <c r="N121" s="204" t="n">
        <v>5217</v>
      </c>
      <c r="O121" s="204" t="n">
        <v>6655</v>
      </c>
      <c r="P121" s="204" t="n">
        <v>6515</v>
      </c>
    </row>
    <row r="122">
      <c r="A122" s="36" t="inlineStr">
        <is>
          <t>預借現金手續費</t>
        </is>
      </c>
      <c r="B122" s="36" t="inlineStr">
        <is>
          <t>總計</t>
        </is>
      </c>
      <c r="C122" s="201" t="n">
        <v>2870</v>
      </c>
      <c r="D122" s="201" t="n">
        <v>1805</v>
      </c>
      <c r="E122" s="201" t="n">
        <v>2251</v>
      </c>
      <c r="F122" s="201" t="n">
        <v>1920</v>
      </c>
      <c r="G122" s="201" t="n">
        <v>1648</v>
      </c>
      <c r="H122" s="201" t="n">
        <v>1288</v>
      </c>
      <c r="I122" s="201" t="n">
        <v>1020</v>
      </c>
      <c r="J122" s="201" t="n">
        <v>964</v>
      </c>
      <c r="K122" s="201" t="n">
        <v>924</v>
      </c>
      <c r="L122" s="201" t="n">
        <v>921</v>
      </c>
      <c r="M122" s="201" t="n">
        <v>912</v>
      </c>
      <c r="N122" s="201" t="n">
        <v>948</v>
      </c>
      <c r="O122" s="201" t="n">
        <v>1041</v>
      </c>
      <c r="P122" s="201" t="n">
        <v>1016</v>
      </c>
    </row>
    <row r="123">
      <c r="B123" s="36" t="inlineStr">
        <is>
          <t>台北富邦銀行</t>
        </is>
      </c>
      <c r="C123" s="201" t="n">
        <v>500</v>
      </c>
      <c r="D123" s="201" t="n">
        <v>214</v>
      </c>
      <c r="E123" s="201" t="n">
        <v>162</v>
      </c>
      <c r="F123" s="201" t="n">
        <v>91</v>
      </c>
      <c r="G123" s="201" t="n">
        <v>69</v>
      </c>
      <c r="H123" s="201" t="n">
        <v>50</v>
      </c>
      <c r="I123" s="201" t="n">
        <v>42</v>
      </c>
      <c r="J123" s="201" t="n">
        <v>39</v>
      </c>
      <c r="K123" s="201" t="n">
        <v>38</v>
      </c>
      <c r="L123" s="201" t="n">
        <v>45</v>
      </c>
      <c r="M123" s="201" t="n">
        <v>26</v>
      </c>
      <c r="N123" s="201" t="n">
        <v>26</v>
      </c>
      <c r="O123" s="201" t="n">
        <v>27</v>
      </c>
      <c r="P123" s="201" t="n">
        <v>25</v>
      </c>
    </row>
    <row r="124">
      <c r="B124" s="36" t="inlineStr">
        <is>
          <t>國泰世華商業銀行</t>
        </is>
      </c>
      <c r="C124" s="201" t="n">
        <v>167</v>
      </c>
      <c r="D124" s="201" t="n">
        <v>75</v>
      </c>
      <c r="E124" s="201" t="n">
        <v>90</v>
      </c>
      <c r="F124" s="201" t="n">
        <v>75</v>
      </c>
      <c r="G124" s="201" t="n">
        <v>62</v>
      </c>
      <c r="H124" s="201" t="n">
        <v>64</v>
      </c>
      <c r="I124" s="201" t="n">
        <v>52</v>
      </c>
      <c r="J124" s="201" t="n">
        <v>54</v>
      </c>
      <c r="K124" s="201" t="n">
        <v>55</v>
      </c>
      <c r="L124" s="201" t="n">
        <v>56</v>
      </c>
      <c r="M124" s="201" t="n">
        <v>71</v>
      </c>
      <c r="N124" s="201" t="n">
        <v>78</v>
      </c>
      <c r="O124" s="201" t="n">
        <v>81</v>
      </c>
      <c r="P124" s="201" t="n">
        <v>78</v>
      </c>
    </row>
    <row r="125">
      <c r="B125" s="36" t="inlineStr">
        <is>
          <t>花旗(臺灣)商業銀行</t>
        </is>
      </c>
      <c r="C125" s="201" t="n">
        <v>55</v>
      </c>
      <c r="D125" s="201" t="n">
        <v>71</v>
      </c>
      <c r="E125" s="201" t="n">
        <v>28</v>
      </c>
      <c r="F125" s="201" t="n">
        <v>73</v>
      </c>
      <c r="G125" s="201" t="n">
        <v>106</v>
      </c>
      <c r="H125" s="201" t="n">
        <v>103</v>
      </c>
      <c r="I125" s="201" t="n">
        <v>90</v>
      </c>
      <c r="J125" s="201" t="n">
        <v>73</v>
      </c>
      <c r="K125" s="201" t="n">
        <v>68</v>
      </c>
      <c r="L125" s="201" t="n">
        <v>71</v>
      </c>
      <c r="M125" s="201" t="n">
        <v>70</v>
      </c>
      <c r="N125" s="201" t="n">
        <v>62</v>
      </c>
      <c r="O125" s="201" t="n">
        <v>60</v>
      </c>
      <c r="P125" s="201" t="n">
        <v>54</v>
      </c>
    </row>
    <row r="126">
      <c r="B126" s="36" t="inlineStr">
        <is>
          <t>聯邦商業銀行</t>
        </is>
      </c>
      <c r="C126" s="201" t="n">
        <v>53</v>
      </c>
      <c r="D126" s="201" t="n">
        <v>28</v>
      </c>
      <c r="E126" s="201" t="n">
        <v>17</v>
      </c>
      <c r="F126" s="201" t="n">
        <v>30</v>
      </c>
      <c r="G126" s="201" t="n">
        <v>203</v>
      </c>
      <c r="H126" s="201" t="n">
        <v>143</v>
      </c>
      <c r="I126" s="201" t="n">
        <v>49</v>
      </c>
      <c r="J126" s="201" t="n">
        <v>16</v>
      </c>
      <c r="K126" s="201" t="n">
        <v>16</v>
      </c>
      <c r="L126" s="201" t="n">
        <v>16</v>
      </c>
      <c r="M126" s="201" t="n">
        <v>14</v>
      </c>
      <c r="N126" s="201" t="n">
        <v>13</v>
      </c>
      <c r="O126" s="201" t="n">
        <v>14</v>
      </c>
      <c r="P126" s="201" t="n">
        <v>12</v>
      </c>
    </row>
    <row r="127">
      <c r="B127" s="36" t="inlineStr">
        <is>
          <t>遠東國際商業銀行</t>
        </is>
      </c>
      <c r="C127" s="201" t="n">
        <v>40</v>
      </c>
      <c r="D127" s="201" t="n">
        <v>16</v>
      </c>
      <c r="E127" s="201" t="n">
        <v>17</v>
      </c>
      <c r="F127" s="201" t="n">
        <v>16</v>
      </c>
      <c r="G127" s="201" t="n">
        <v>15</v>
      </c>
      <c r="H127" s="201" t="n">
        <v>13</v>
      </c>
      <c r="I127" s="201" t="n">
        <v>17</v>
      </c>
      <c r="J127" s="201" t="n">
        <v>13</v>
      </c>
      <c r="K127" s="201" t="n">
        <v>11</v>
      </c>
      <c r="L127" s="201" t="n">
        <v>11</v>
      </c>
      <c r="M127" s="201" t="n">
        <v>11</v>
      </c>
      <c r="N127" s="201" t="n">
        <v>11</v>
      </c>
      <c r="O127" s="201" t="n">
        <v>11</v>
      </c>
      <c r="P127" s="201" t="n">
        <v>10</v>
      </c>
    </row>
    <row r="128">
      <c r="B128" s="36" t="inlineStr">
        <is>
          <t>永豐商業銀行</t>
        </is>
      </c>
      <c r="C128" s="174" t="inlineStr">
        <is>
          <t>－</t>
        </is>
      </c>
      <c r="D128" s="174" t="inlineStr">
        <is>
          <t>－</t>
        </is>
      </c>
      <c r="E128" s="174" t="inlineStr">
        <is>
          <t>－</t>
        </is>
      </c>
      <c r="F128" s="201" t="n">
        <v>115</v>
      </c>
      <c r="G128" s="201" t="n">
        <v>143</v>
      </c>
      <c r="H128" s="201" t="n">
        <v>124</v>
      </c>
      <c r="I128" s="201" t="n">
        <v>85</v>
      </c>
      <c r="J128" s="201" t="n">
        <v>74</v>
      </c>
      <c r="K128" s="201" t="n">
        <v>73</v>
      </c>
      <c r="L128" s="201" t="n">
        <v>32</v>
      </c>
      <c r="M128" s="201" t="n">
        <v>32</v>
      </c>
      <c r="N128" s="201" t="n">
        <v>33</v>
      </c>
      <c r="O128" s="201" t="n">
        <v>34</v>
      </c>
      <c r="P128" s="201" t="n">
        <v>32</v>
      </c>
    </row>
    <row r="129">
      <c r="B129" s="36" t="inlineStr">
        <is>
          <t>玉山商業銀行</t>
        </is>
      </c>
      <c r="C129" s="201" t="n">
        <v>46</v>
      </c>
      <c r="D129" s="201" t="n">
        <v>37</v>
      </c>
      <c r="E129" s="201" t="n">
        <v>46</v>
      </c>
      <c r="F129" s="201" t="n">
        <v>43</v>
      </c>
      <c r="G129" s="201" t="n">
        <v>49</v>
      </c>
      <c r="H129" s="201" t="n">
        <v>68</v>
      </c>
      <c r="I129" s="201" t="n">
        <v>72</v>
      </c>
      <c r="J129" s="201" t="n">
        <v>61</v>
      </c>
      <c r="K129" s="201" t="n">
        <v>66</v>
      </c>
      <c r="L129" s="201" t="n">
        <v>45</v>
      </c>
      <c r="M129" s="201" t="n">
        <v>66</v>
      </c>
      <c r="N129" s="201" t="n">
        <v>89</v>
      </c>
      <c r="O129" s="201" t="n">
        <v>104</v>
      </c>
      <c r="P129" s="201" t="n">
        <v>108</v>
      </c>
    </row>
    <row r="130">
      <c r="B130" s="36" t="inlineStr">
        <is>
          <t>台新國際商業銀行</t>
        </is>
      </c>
      <c r="C130" s="201" t="n">
        <v>178</v>
      </c>
      <c r="D130" s="201" t="n">
        <v>23</v>
      </c>
      <c r="E130" s="201" t="n">
        <v>114</v>
      </c>
      <c r="F130" s="201" t="n">
        <v>254</v>
      </c>
      <c r="G130" s="201" t="n">
        <v>168</v>
      </c>
      <c r="H130" s="201" t="n">
        <v>78</v>
      </c>
      <c r="I130" s="201" t="n">
        <v>83</v>
      </c>
      <c r="J130" s="201" t="n">
        <v>87</v>
      </c>
      <c r="K130" s="201" t="n">
        <v>87</v>
      </c>
      <c r="L130" s="201" t="n">
        <v>103</v>
      </c>
      <c r="M130" s="201" t="n">
        <v>95</v>
      </c>
      <c r="N130" s="201" t="n">
        <v>111</v>
      </c>
      <c r="O130" s="201" t="n">
        <v>179</v>
      </c>
      <c r="P130" s="201" t="n">
        <v>193</v>
      </c>
    </row>
    <row r="131">
      <c r="A131" s="65" t="n"/>
      <c r="B131" s="66" t="inlineStr">
        <is>
          <t>中國信託商業銀行</t>
        </is>
      </c>
      <c r="C131" s="204" t="n">
        <v>512</v>
      </c>
      <c r="D131" s="204" t="n">
        <v>600</v>
      </c>
      <c r="E131" s="204" t="n">
        <v>1109</v>
      </c>
      <c r="F131" s="204" t="n">
        <v>891</v>
      </c>
      <c r="G131" s="204" t="n">
        <v>719</v>
      </c>
      <c r="H131" s="204" t="n">
        <v>545</v>
      </c>
      <c r="I131" s="204" t="n">
        <v>443</v>
      </c>
      <c r="J131" s="204" t="n">
        <v>473</v>
      </c>
      <c r="K131" s="204" t="n">
        <v>445</v>
      </c>
      <c r="L131" s="204" t="n">
        <v>474</v>
      </c>
      <c r="M131" s="204" t="n">
        <v>464</v>
      </c>
      <c r="N131" s="204" t="n">
        <v>462</v>
      </c>
      <c r="O131" s="204" t="n">
        <v>469</v>
      </c>
      <c r="P131" s="204" t="n">
        <v>446</v>
      </c>
    </row>
    <row r="132">
      <c r="A132" s="36" t="inlineStr">
        <is>
          <t>收單特約商店家數</t>
        </is>
      </c>
      <c r="B132" s="36" t="inlineStr">
        <is>
          <t>總計</t>
        </is>
      </c>
      <c r="C132" s="174" t="inlineStr">
        <is>
          <t>－</t>
        </is>
      </c>
      <c r="D132" s="174" t="inlineStr">
        <is>
          <t>－</t>
        </is>
      </c>
      <c r="E132" s="174" t="inlineStr">
        <is>
          <t>－</t>
        </is>
      </c>
      <c r="F132" s="174" t="inlineStr">
        <is>
          <t>－</t>
        </is>
      </c>
      <c r="G132" s="174" t="inlineStr">
        <is>
          <t>－</t>
        </is>
      </c>
      <c r="H132" s="174" t="inlineStr">
        <is>
          <t>－</t>
        </is>
      </c>
      <c r="I132" s="174" t="inlineStr">
        <is>
          <t>－</t>
        </is>
      </c>
      <c r="J132" s="174" t="inlineStr">
        <is>
          <t>－</t>
        </is>
      </c>
      <c r="K132" s="174" t="inlineStr">
        <is>
          <t>－</t>
        </is>
      </c>
      <c r="L132" s="174" t="inlineStr">
        <is>
          <t>－</t>
        </is>
      </c>
      <c r="M132" s="174" t="inlineStr">
        <is>
          <t>－</t>
        </is>
      </c>
      <c r="N132" s="174" t="inlineStr">
        <is>
          <t>－</t>
        </is>
      </c>
      <c r="O132" s="174" t="inlineStr">
        <is>
          <t>－</t>
        </is>
      </c>
      <c r="P132" s="174" t="inlineStr">
        <is>
          <t>－</t>
        </is>
      </c>
    </row>
    <row r="133">
      <c r="B133" s="36" t="inlineStr">
        <is>
          <t>台北富邦銀行</t>
        </is>
      </c>
      <c r="C133" s="201" t="n">
        <v>207</v>
      </c>
      <c r="D133" s="201" t="n">
        <v>330</v>
      </c>
      <c r="E133" s="201" t="n">
        <v>349</v>
      </c>
      <c r="F133" s="201" t="n">
        <v>387</v>
      </c>
      <c r="G133" s="201" t="n">
        <v>417</v>
      </c>
      <c r="H133" s="201" t="n">
        <v>206</v>
      </c>
      <c r="I133" s="201" t="n">
        <v>337</v>
      </c>
      <c r="J133" s="201" t="n">
        <v>454</v>
      </c>
      <c r="K133" s="201" t="n">
        <v>477</v>
      </c>
      <c r="L133" s="201" t="n">
        <v>697</v>
      </c>
      <c r="M133" s="201" t="n">
        <v>923</v>
      </c>
      <c r="N133" s="201" t="n">
        <v>1014</v>
      </c>
      <c r="O133" s="201" t="n">
        <v>4568</v>
      </c>
      <c r="P133" s="201" t="n">
        <v>6577</v>
      </c>
    </row>
    <row r="134">
      <c r="B134" s="36" t="inlineStr">
        <is>
          <t>國泰世華商業銀行</t>
        </is>
      </c>
      <c r="C134" s="201" t="n">
        <v>1292</v>
      </c>
      <c r="D134" s="201" t="n">
        <v>1809</v>
      </c>
      <c r="E134" s="201" t="n">
        <v>2238</v>
      </c>
      <c r="F134" s="201" t="n">
        <v>4028</v>
      </c>
      <c r="G134" s="201" t="n">
        <v>6153</v>
      </c>
      <c r="H134" s="201" t="n">
        <v>8047</v>
      </c>
      <c r="I134" s="201" t="n">
        <v>8253</v>
      </c>
      <c r="J134" s="201" t="n">
        <v>8576</v>
      </c>
      <c r="K134" s="201" t="n">
        <v>9167</v>
      </c>
      <c r="L134" s="201" t="n">
        <v>22515</v>
      </c>
      <c r="M134" s="201" t="n">
        <v>25246</v>
      </c>
      <c r="N134" s="201" t="n">
        <v>44703</v>
      </c>
      <c r="O134" s="201" t="n">
        <v>52406</v>
      </c>
      <c r="P134" s="201" t="n">
        <v>62836</v>
      </c>
    </row>
    <row r="135">
      <c r="B135" s="36" t="inlineStr">
        <is>
          <t>花旗(臺灣)商業銀行</t>
        </is>
      </c>
      <c r="C135" s="174" t="inlineStr">
        <is>
          <t>－</t>
        </is>
      </c>
      <c r="D135" s="174" t="inlineStr">
        <is>
          <t>－</t>
        </is>
      </c>
      <c r="E135" s="174" t="inlineStr">
        <is>
          <t>－</t>
        </is>
      </c>
      <c r="F135" s="201" t="n">
        <v>16445</v>
      </c>
      <c r="G135" s="201" t="n">
        <v>21007</v>
      </c>
      <c r="H135" s="201" t="n">
        <v>22096</v>
      </c>
      <c r="I135" s="201" t="n">
        <v>26802</v>
      </c>
      <c r="J135" s="201" t="n">
        <v>31077</v>
      </c>
      <c r="K135" s="201" t="n">
        <v>33944</v>
      </c>
      <c r="L135" s="201" t="n">
        <v>38268</v>
      </c>
      <c r="M135" s="201" t="n">
        <v>37512</v>
      </c>
      <c r="N135" s="201" t="n">
        <v>36722</v>
      </c>
      <c r="O135" s="201" t="n">
        <v>36580</v>
      </c>
      <c r="P135" s="201" t="n">
        <v>32677</v>
      </c>
    </row>
    <row r="136">
      <c r="B136" s="36" t="inlineStr">
        <is>
          <t>聯邦商業銀行</t>
        </is>
      </c>
      <c r="C136" s="201" t="n">
        <v>5133</v>
      </c>
      <c r="D136" s="201" t="n">
        <v>5026</v>
      </c>
      <c r="E136" s="201" t="n">
        <v>4320</v>
      </c>
      <c r="F136" s="201" t="n">
        <v>2560</v>
      </c>
      <c r="G136" s="201" t="n">
        <v>2587</v>
      </c>
      <c r="H136" s="201" t="n">
        <v>2475</v>
      </c>
      <c r="I136" s="201" t="n">
        <v>3150</v>
      </c>
      <c r="J136" s="201" t="n">
        <v>3280</v>
      </c>
      <c r="K136" s="201" t="n">
        <v>3376</v>
      </c>
      <c r="L136" s="201" t="n">
        <v>3577</v>
      </c>
      <c r="M136" s="201" t="n">
        <v>8775</v>
      </c>
      <c r="N136" s="201" t="n">
        <v>9672</v>
      </c>
      <c r="O136" s="201" t="n">
        <v>9646</v>
      </c>
      <c r="P136" s="201" t="n">
        <v>14236</v>
      </c>
    </row>
    <row r="137">
      <c r="B137" s="36" t="inlineStr">
        <is>
          <t>遠東國際商業銀行</t>
        </is>
      </c>
      <c r="C137" s="174" t="inlineStr">
        <is>
          <t>－</t>
        </is>
      </c>
      <c r="D137" s="174" t="inlineStr">
        <is>
          <t>－</t>
        </is>
      </c>
      <c r="E137" s="174" t="inlineStr">
        <is>
          <t>－</t>
        </is>
      </c>
      <c r="F137" s="174" t="inlineStr">
        <is>
          <t>－</t>
        </is>
      </c>
      <c r="G137" s="174" t="inlineStr">
        <is>
          <t>－</t>
        </is>
      </c>
      <c r="H137" s="174" t="inlineStr">
        <is>
          <t>－</t>
        </is>
      </c>
      <c r="I137" s="174" t="inlineStr">
        <is>
          <t>－</t>
        </is>
      </c>
      <c r="J137" s="174" t="inlineStr">
        <is>
          <t>－</t>
        </is>
      </c>
      <c r="K137" s="201" t="n">
        <v>9</v>
      </c>
      <c r="L137" s="201" t="n">
        <v>1217</v>
      </c>
      <c r="M137" s="201" t="n">
        <v>5608</v>
      </c>
      <c r="N137" s="201" t="n">
        <v>8424</v>
      </c>
      <c r="O137" s="201" t="n">
        <v>8205</v>
      </c>
      <c r="P137" s="201" t="n">
        <v>8334</v>
      </c>
    </row>
    <row r="138">
      <c r="B138" s="36" t="inlineStr">
        <is>
          <t>永豐商業銀行</t>
        </is>
      </c>
      <c r="C138" s="174" t="inlineStr">
        <is>
          <t>－</t>
        </is>
      </c>
      <c r="D138" s="174" t="inlineStr">
        <is>
          <t>－</t>
        </is>
      </c>
      <c r="E138" s="174" t="inlineStr">
        <is>
          <t>－</t>
        </is>
      </c>
      <c r="F138" s="174" t="inlineStr">
        <is>
          <t>－</t>
        </is>
      </c>
      <c r="G138" s="201" t="n">
        <v>20</v>
      </c>
      <c r="H138" s="201" t="n">
        <v>208</v>
      </c>
      <c r="I138" s="201" t="n">
        <v>1745</v>
      </c>
      <c r="J138" s="201" t="n">
        <v>2380</v>
      </c>
      <c r="K138" s="201" t="n">
        <v>3847</v>
      </c>
      <c r="L138" s="201" t="n">
        <v>6309</v>
      </c>
      <c r="M138" s="201" t="n">
        <v>7853</v>
      </c>
      <c r="N138" s="201" t="n">
        <v>7409</v>
      </c>
      <c r="O138" s="201" t="n">
        <v>11482</v>
      </c>
      <c r="P138" s="201" t="n">
        <v>16003</v>
      </c>
    </row>
    <row r="139">
      <c r="B139" s="36" t="inlineStr">
        <is>
          <t>玉山商業銀行</t>
        </is>
      </c>
      <c r="C139" s="201" t="n">
        <v>984</v>
      </c>
      <c r="D139" s="201" t="n">
        <v>1635</v>
      </c>
      <c r="E139" s="201" t="n">
        <v>1645</v>
      </c>
      <c r="F139" s="201" t="n">
        <v>1724</v>
      </c>
      <c r="G139" s="201" t="n">
        <v>1676</v>
      </c>
      <c r="H139" s="201" t="n">
        <v>2377</v>
      </c>
      <c r="I139" s="201" t="n">
        <v>3507</v>
      </c>
      <c r="J139" s="201" t="n">
        <v>6210</v>
      </c>
      <c r="K139" s="201" t="n">
        <v>13032</v>
      </c>
      <c r="L139" s="201" t="n">
        <v>19011</v>
      </c>
      <c r="M139" s="201" t="n">
        <v>43140</v>
      </c>
      <c r="N139" s="201" t="n">
        <v>55135</v>
      </c>
      <c r="O139" s="201" t="n">
        <v>62556</v>
      </c>
      <c r="P139" s="201" t="n">
        <v>54706</v>
      </c>
    </row>
    <row r="140">
      <c r="B140" s="36" t="inlineStr">
        <is>
          <t>台新國際商業銀行</t>
        </is>
      </c>
      <c r="C140" s="201" t="n">
        <v>8880</v>
      </c>
      <c r="D140" s="201" t="n">
        <v>10624</v>
      </c>
      <c r="E140" s="201" t="n">
        <v>12752</v>
      </c>
      <c r="F140" s="201" t="n">
        <v>23394</v>
      </c>
      <c r="G140" s="201" t="n">
        <v>33761</v>
      </c>
      <c r="H140" s="201" t="n">
        <v>46134</v>
      </c>
      <c r="I140" s="201" t="n">
        <v>57828</v>
      </c>
      <c r="J140" s="201" t="n">
        <v>67090</v>
      </c>
      <c r="K140" s="201" t="n">
        <v>73957</v>
      </c>
      <c r="L140" s="201" t="n">
        <v>89072</v>
      </c>
      <c r="M140" s="201" t="n">
        <v>103323</v>
      </c>
      <c r="N140" s="201" t="n">
        <v>119607</v>
      </c>
      <c r="O140" s="201" t="n">
        <v>125870</v>
      </c>
      <c r="P140" s="201" t="n">
        <v>144565</v>
      </c>
    </row>
    <row r="141">
      <c r="A141" s="65" t="n"/>
      <c r="B141" s="66" t="inlineStr">
        <is>
          <t>中國信託商業銀行</t>
        </is>
      </c>
      <c r="C141" s="204" t="n">
        <v>65295</v>
      </c>
      <c r="D141" s="204" t="n">
        <v>68265</v>
      </c>
      <c r="E141" s="204" t="n">
        <v>65268</v>
      </c>
      <c r="F141" s="204" t="n">
        <v>61303</v>
      </c>
      <c r="G141" s="204" t="n">
        <v>62533</v>
      </c>
      <c r="H141" s="204" t="n">
        <v>65582</v>
      </c>
      <c r="I141" s="204" t="n">
        <v>58757</v>
      </c>
      <c r="J141" s="204" t="n">
        <v>62237</v>
      </c>
      <c r="K141" s="204" t="n">
        <v>66622</v>
      </c>
      <c r="L141" s="204" t="n">
        <v>96122</v>
      </c>
      <c r="M141" s="204" t="n">
        <v>102860</v>
      </c>
      <c r="N141" s="204" t="n">
        <v>102314</v>
      </c>
      <c r="O141" s="204" t="n">
        <v>105079</v>
      </c>
      <c r="P141" s="204" t="n">
        <v>106682</v>
      </c>
    </row>
    <row r="143">
      <c r="A143" s="36" t="inlineStr">
        <is>
          <t>機構別動態說明：</t>
        </is>
      </c>
    </row>
    <row r="144">
      <c r="A144" s="37" t="inlineStr">
        <is>
          <t>87/01台新商業銀行概括承受台南一信。91/02台新國際商業銀行合併大安商業銀行。93/10台新商業銀行概括承受新竹十信。100/1台新國際商業銀行合併台新票券金融公司。</t>
        </is>
      </c>
    </row>
    <row r="145">
      <c r="A145" s="37" t="inlineStr">
        <is>
          <t>91/07華信商業銀行更名為建華商業銀行。95/11建華商業銀行合併台北國際商業銀行，並更名為永豐商業銀行。98/06永豐商業銀行概括承受永豐信用卡公司信用卡業務之所有權利義務。</t>
        </is>
      </c>
    </row>
    <row r="146">
      <c r="A146" s="37" t="inlineStr">
        <is>
          <t>92/10世華銀行合併國泰銀行，並更名為國泰世華商業銀行。96/12國泰世華商業銀行概括承受中聯信託投資公司之全部營業及其資產負債。96/01第七商業銀行併入國泰世華商業銀行。</t>
        </is>
      </c>
    </row>
    <row r="147">
      <c r="A147" s="37" t="inlineStr">
        <is>
          <t>92/12中國信託商業銀行合併萬通商業銀行。93/10中國信託商業銀行概括承受高雄縣鳳山信用合作社。96/09中國信託商業銀行概括承受花蓮區中小企業銀行之全部營業及其資產與負債。97/04中國信託商業銀行合併中國信託票券金融公司。</t>
        </is>
      </c>
    </row>
    <row r="148">
      <c r="A148" s="37" t="inlineStr">
        <is>
          <t>93/09高雄中小企業銀行概括讓與玉山商業銀行。95/12玉山商業銀行合併玉山票券金融公司。100/7玉山商業銀行合併竹南信用合作社</t>
        </is>
      </c>
    </row>
    <row r="149">
      <c r="A149" s="37" t="inlineStr">
        <is>
          <t>94/01台北銀行合併富邦商業銀行，並更名為台北富邦商業銀行。95/12台北富邦商業銀行合併富邦票券金融公司。</t>
        </is>
      </c>
    </row>
    <row r="150">
      <c r="A150" s="37" t="inlineStr">
        <is>
          <t>94/03聯邦商業銀行合併中興商業銀行。99/8聯邦商業銀行合併聯邦票券金融股份有限公司。</t>
        </is>
      </c>
    </row>
    <row r="151">
      <c r="A151" s="37" t="inlineStr">
        <is>
          <t>96/12花旗(臺灣)商業銀行(美國花旗銀行集團在台設立之子銀行)概括承受華僑商業銀行全部之營業及資產與負債，華僑銀行消滅。98/08美商花旗銀行將其在台分行之大部分資產負債分割予花旗(台灣)銀行。</t>
        </is>
      </c>
    </row>
    <row r="152">
      <c r="A152" s="37" t="inlineStr">
        <is>
          <t>98/09遠東商業銀行概括承受友邦國際信用卡(股)公司信用卡業務之所有權利義務。</t>
        </is>
      </c>
    </row>
  </sheetData>
  <mergeCells count="1">
    <mergeCell ref="A1:B1"/>
  </mergeCells>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P155"/>
  <sheetViews>
    <sheetView topLeftCell="A124" zoomScaleNormal="100" workbookViewId="0">
      <selection activeCell="M58" sqref="M58"/>
    </sheetView>
  </sheetViews>
  <sheetFormatPr baseColWidth="8" defaultColWidth="8.453125" defaultRowHeight="17"/>
  <cols>
    <col width="19.08984375" customWidth="1" style="142" min="1" max="1"/>
  </cols>
  <sheetData>
    <row r="1">
      <c r="A1" s="36" t="inlineStr">
        <is>
          <t xml:space="preserve">信用卡　　　　</t>
        </is>
      </c>
      <c r="C1" s="37" t="inlineStr">
        <is>
          <t>95年</t>
        </is>
      </c>
      <c r="D1" s="37" t="inlineStr">
        <is>
          <t>96年</t>
        </is>
      </c>
      <c r="E1" s="37" t="inlineStr">
        <is>
          <t>97年</t>
        </is>
      </c>
      <c r="F1" s="37" t="inlineStr">
        <is>
          <t>98年</t>
        </is>
      </c>
      <c r="G1" s="37" t="inlineStr">
        <is>
          <t>99年</t>
        </is>
      </c>
      <c r="H1" s="37" t="inlineStr">
        <is>
          <t>100年</t>
        </is>
      </c>
      <c r="I1" s="37" t="inlineStr">
        <is>
          <t>101年</t>
        </is>
      </c>
      <c r="J1" s="37" t="inlineStr">
        <is>
          <t>102年</t>
        </is>
      </c>
      <c r="K1" s="37" t="inlineStr">
        <is>
          <t>103年</t>
        </is>
      </c>
      <c r="L1" s="37" t="inlineStr">
        <is>
          <t>104年</t>
        </is>
      </c>
      <c r="M1" s="37" t="inlineStr">
        <is>
          <t>105年</t>
        </is>
      </c>
      <c r="N1" s="37" t="inlineStr">
        <is>
          <t>106年</t>
        </is>
      </c>
      <c r="O1" s="37" t="inlineStr">
        <is>
          <t>107年</t>
        </is>
      </c>
      <c r="P1" s="37" t="inlineStr">
        <is>
          <t>108年</t>
        </is>
      </c>
    </row>
    <row r="2">
      <c r="A2" s="36" t="inlineStr">
        <is>
          <t>流通卡數(張)</t>
        </is>
      </c>
      <c r="B2" s="36" t="inlineStr">
        <is>
          <t>第一商業銀行</t>
        </is>
      </c>
      <c r="C2" s="37" t="n">
        <v>599551</v>
      </c>
      <c r="D2" s="37" t="n">
        <v>507442</v>
      </c>
      <c r="E2" s="37" t="n">
        <v>468186</v>
      </c>
      <c r="F2" s="37" t="n">
        <v>490238</v>
      </c>
      <c r="G2" s="37" t="n">
        <v>501143</v>
      </c>
      <c r="H2" s="37" t="n">
        <v>555697</v>
      </c>
      <c r="I2" s="37" t="n">
        <v>630848</v>
      </c>
      <c r="J2" s="37" t="n">
        <v>694680</v>
      </c>
      <c r="K2" s="37" t="n">
        <v>803807</v>
      </c>
      <c r="L2" s="37" t="n">
        <v>900003</v>
      </c>
      <c r="M2" s="37" t="n">
        <v>951071</v>
      </c>
      <c r="N2" s="37" t="n">
        <v>1000449</v>
      </c>
      <c r="O2" s="37" t="n">
        <v>1122732</v>
      </c>
      <c r="P2" s="37" t="n">
        <v>1215047</v>
      </c>
    </row>
    <row r="3">
      <c r="B3" s="36" t="inlineStr">
        <is>
          <t>華南商業銀行</t>
        </is>
      </c>
      <c r="C3" s="37" t="n">
        <v>700230</v>
      </c>
      <c r="D3" s="37" t="n">
        <v>623934</v>
      </c>
      <c r="E3" s="37" t="n">
        <v>477029</v>
      </c>
      <c r="F3" s="37" t="n">
        <v>443958</v>
      </c>
      <c r="G3" s="37" t="n">
        <v>541724</v>
      </c>
      <c r="H3" s="37" t="n">
        <v>551836</v>
      </c>
      <c r="I3" s="37" t="n">
        <v>570905</v>
      </c>
      <c r="J3" s="37" t="n">
        <v>619404</v>
      </c>
      <c r="K3" s="37" t="n">
        <v>750998</v>
      </c>
      <c r="L3" s="37" t="n">
        <v>810633</v>
      </c>
      <c r="M3" s="37" t="n">
        <v>926221</v>
      </c>
      <c r="N3" s="37" t="n">
        <v>1050367</v>
      </c>
      <c r="O3" s="37" t="n">
        <v>1060362</v>
      </c>
      <c r="P3" s="37" t="n">
        <v>1032094</v>
      </c>
    </row>
    <row r="4">
      <c r="B4" s="36" t="inlineStr">
        <is>
          <t>兆豐國際商業銀行</t>
        </is>
      </c>
      <c r="C4" s="37" t="n">
        <v>738748</v>
      </c>
      <c r="D4" s="37" t="n">
        <v>667309</v>
      </c>
      <c r="E4" s="37" t="n">
        <v>573031</v>
      </c>
      <c r="F4" s="37" t="n">
        <v>554877</v>
      </c>
      <c r="G4" s="37" t="n">
        <v>522562</v>
      </c>
      <c r="H4" s="37" t="n">
        <v>553118</v>
      </c>
      <c r="I4" s="37" t="n">
        <v>531457</v>
      </c>
      <c r="J4" s="37" t="n">
        <v>527272</v>
      </c>
      <c r="K4" s="37" t="n">
        <v>569483</v>
      </c>
      <c r="L4" s="37" t="n">
        <v>609550</v>
      </c>
      <c r="M4" s="37" t="n">
        <v>603332</v>
      </c>
      <c r="N4" s="37" t="n">
        <v>665596</v>
      </c>
      <c r="O4" s="37" t="n">
        <v>742167</v>
      </c>
      <c r="P4" s="37" t="n">
        <v>890413</v>
      </c>
    </row>
    <row r="5">
      <c r="B5" s="36" t="inlineStr">
        <is>
          <t>渣打國際商業銀行</t>
        </is>
      </c>
      <c r="C5" s="37" t="n">
        <v>425823</v>
      </c>
      <c r="D5" s="37" t="n">
        <v>516662</v>
      </c>
      <c r="E5" s="37" t="n">
        <v>393268</v>
      </c>
      <c r="F5" s="37" t="n">
        <v>305264</v>
      </c>
      <c r="G5" s="37" t="n">
        <v>271864</v>
      </c>
      <c r="H5" s="37" t="n">
        <v>287866</v>
      </c>
      <c r="I5" s="37" t="n">
        <v>330943</v>
      </c>
      <c r="J5" s="37" t="n">
        <v>366715</v>
      </c>
      <c r="K5" s="37" t="n">
        <v>412834</v>
      </c>
      <c r="L5" s="37" t="n">
        <v>387694</v>
      </c>
      <c r="M5" s="37" t="n">
        <v>350232</v>
      </c>
      <c r="N5" s="37" t="n">
        <v>335373</v>
      </c>
      <c r="O5" s="37" t="n">
        <v>344904</v>
      </c>
      <c r="P5" s="37" t="n">
        <v>369015</v>
      </c>
    </row>
    <row r="6">
      <c r="B6" s="36" t="inlineStr">
        <is>
          <t>匯豐(台灣)商業銀行</t>
        </is>
      </c>
      <c r="C6" s="36" t="inlineStr">
        <is>
          <t>－</t>
        </is>
      </c>
      <c r="D6" s="36" t="inlineStr">
        <is>
          <t>－</t>
        </is>
      </c>
      <c r="E6" s="36" t="inlineStr">
        <is>
          <t>－</t>
        </is>
      </c>
      <c r="F6" s="36" t="inlineStr">
        <is>
          <t>－</t>
        </is>
      </c>
      <c r="G6" s="37" t="n">
        <v>647160</v>
      </c>
      <c r="H6" s="37" t="n">
        <v>704801</v>
      </c>
      <c r="I6" s="37" t="n">
        <v>754082</v>
      </c>
      <c r="J6" s="37" t="n">
        <v>650809</v>
      </c>
      <c r="K6" s="37" t="n">
        <v>615802</v>
      </c>
      <c r="L6" s="37" t="n">
        <v>628249</v>
      </c>
      <c r="M6" s="37" t="n">
        <v>590415</v>
      </c>
      <c r="N6" s="37" t="n">
        <v>589430</v>
      </c>
      <c r="O6" s="37" t="n">
        <v>609606</v>
      </c>
      <c r="P6" s="37" t="n">
        <v>621851</v>
      </c>
    </row>
    <row r="7">
      <c r="B7" s="36" t="inlineStr">
        <is>
          <t>臺灣新光商業銀行</t>
        </is>
      </c>
      <c r="C7" s="37" t="n">
        <v>1271689</v>
      </c>
      <c r="D7" s="37" t="n">
        <v>1091130</v>
      </c>
      <c r="E7" s="37" t="n">
        <v>945335</v>
      </c>
      <c r="F7" s="37" t="n">
        <v>899676</v>
      </c>
      <c r="G7" s="37" t="n">
        <v>754602</v>
      </c>
      <c r="H7" s="37" t="n">
        <v>806906</v>
      </c>
      <c r="I7" s="37" t="n">
        <v>826840</v>
      </c>
      <c r="J7" s="37" t="n">
        <v>899106</v>
      </c>
      <c r="K7" s="37" t="n">
        <v>919693</v>
      </c>
      <c r="L7" s="37" t="n">
        <v>908037</v>
      </c>
      <c r="M7" s="37" t="n">
        <v>902878</v>
      </c>
      <c r="N7" s="37" t="n">
        <v>883629</v>
      </c>
      <c r="O7" s="37" t="n">
        <v>802649</v>
      </c>
      <c r="P7" s="37" t="n">
        <v>834285</v>
      </c>
    </row>
    <row r="8">
      <c r="B8" s="36" t="inlineStr">
        <is>
          <t>元大商業銀行</t>
        </is>
      </c>
      <c r="C8" s="37" t="n">
        <v>245879</v>
      </c>
      <c r="D8" s="37" t="n">
        <v>303575</v>
      </c>
      <c r="E8" s="37" t="n">
        <v>301380</v>
      </c>
      <c r="F8" s="37" t="n">
        <v>301837</v>
      </c>
      <c r="G8" s="37" t="n">
        <v>292080</v>
      </c>
      <c r="H8" s="37" t="n">
        <v>265179</v>
      </c>
      <c r="I8" s="37" t="n">
        <v>256142</v>
      </c>
      <c r="J8" s="37" t="n">
        <v>251968</v>
      </c>
      <c r="K8" s="37" t="n">
        <v>308050</v>
      </c>
      <c r="L8" s="37" t="n">
        <v>431033</v>
      </c>
      <c r="M8" s="37" t="n">
        <v>578740</v>
      </c>
      <c r="N8" s="37" t="n">
        <v>650964</v>
      </c>
      <c r="O8" s="37" t="n">
        <v>1334410</v>
      </c>
      <c r="P8" s="37" t="n">
        <v>1171979</v>
      </c>
    </row>
    <row r="9">
      <c r="B9" s="36" t="inlineStr">
        <is>
          <t>凱基商業銀行</t>
        </is>
      </c>
      <c r="C9" s="37" t="n">
        <v>879757</v>
      </c>
      <c r="D9" s="37" t="n">
        <v>716447</v>
      </c>
      <c r="E9" s="37" t="n">
        <v>641923</v>
      </c>
      <c r="F9" s="37" t="n">
        <v>591196</v>
      </c>
      <c r="G9" s="37" t="n">
        <v>591020</v>
      </c>
      <c r="H9" s="37" t="n">
        <v>602072</v>
      </c>
      <c r="I9" s="37" t="n">
        <v>536374</v>
      </c>
      <c r="J9" s="37" t="n">
        <v>516404</v>
      </c>
      <c r="K9" s="37" t="n">
        <v>495474</v>
      </c>
      <c r="L9" s="37" t="n">
        <v>506103</v>
      </c>
      <c r="M9" s="37" t="n">
        <v>498074</v>
      </c>
      <c r="N9" s="37" t="n">
        <v>451770</v>
      </c>
      <c r="O9" s="37" t="n">
        <v>418810</v>
      </c>
      <c r="P9" s="37" t="n">
        <v>385000</v>
      </c>
    </row>
    <row r="10">
      <c r="B10" s="36" t="inlineStr">
        <is>
          <t>星展(台灣)商業銀行</t>
        </is>
      </c>
      <c r="C10" s="36" t="inlineStr">
        <is>
          <t>－</t>
        </is>
      </c>
      <c r="D10" s="36" t="inlineStr">
        <is>
          <t>－</t>
        </is>
      </c>
      <c r="E10" s="36" t="inlineStr">
        <is>
          <t>－</t>
        </is>
      </c>
      <c r="F10" s="36" t="inlineStr">
        <is>
          <t>－</t>
        </is>
      </c>
      <c r="G10" s="36" t="inlineStr">
        <is>
          <t>－</t>
        </is>
      </c>
      <c r="H10" s="36" t="inlineStr">
        <is>
          <t>－</t>
        </is>
      </c>
      <c r="I10" s="37" t="n">
        <v>9965</v>
      </c>
      <c r="J10" s="37" t="n">
        <v>11678</v>
      </c>
      <c r="K10" s="37" t="n">
        <v>12544</v>
      </c>
      <c r="L10" s="37" t="n">
        <v>12668</v>
      </c>
      <c r="M10" s="37" t="n">
        <v>12663</v>
      </c>
      <c r="N10" s="37" t="n">
        <v>548108</v>
      </c>
      <c r="O10" s="37" t="n">
        <v>554049</v>
      </c>
      <c r="P10" s="37" t="n">
        <v>596567</v>
      </c>
    </row>
    <row r="11">
      <c r="B11" s="36" t="inlineStr">
        <is>
          <t>台灣樂天信用卡股份有限公司</t>
        </is>
      </c>
      <c r="C11" s="36" t="inlineStr">
        <is>
          <t>－</t>
        </is>
      </c>
      <c r="D11" s="36" t="inlineStr">
        <is>
          <t>－</t>
        </is>
      </c>
      <c r="E11" s="36" t="inlineStr">
        <is>
          <t>－</t>
        </is>
      </c>
      <c r="F11" s="36" t="inlineStr">
        <is>
          <t>－</t>
        </is>
      </c>
      <c r="G11" s="36" t="inlineStr">
        <is>
          <t>－</t>
        </is>
      </c>
      <c r="H11" s="36" t="inlineStr">
        <is>
          <t>－</t>
        </is>
      </c>
      <c r="I11" s="36" t="inlineStr">
        <is>
          <t>－</t>
        </is>
      </c>
      <c r="J11" s="36" t="inlineStr">
        <is>
          <t>－</t>
        </is>
      </c>
      <c r="K11" s="37" t="n">
        <v>129</v>
      </c>
      <c r="L11" s="37" t="n">
        <v>73379</v>
      </c>
      <c r="M11" s="37" t="n">
        <v>208479</v>
      </c>
      <c r="N11" s="37" t="n">
        <v>372898</v>
      </c>
      <c r="O11" s="37" t="n">
        <v>485034</v>
      </c>
      <c r="P11" s="37" t="n">
        <v>573990</v>
      </c>
    </row>
    <row r="12">
      <c r="B12" s="36" t="inlineStr">
        <is>
          <t>台灣美國運通國際(股)公司</t>
        </is>
      </c>
      <c r="C12" s="37" t="n">
        <v>160693</v>
      </c>
      <c r="D12" s="37" t="n">
        <v>140648</v>
      </c>
      <c r="E12" s="37" t="n">
        <v>133801</v>
      </c>
      <c r="F12" s="37" t="n">
        <v>121594</v>
      </c>
      <c r="G12" s="37" t="n">
        <v>129536</v>
      </c>
      <c r="H12" s="37" t="n">
        <v>139917</v>
      </c>
      <c r="I12" s="37" t="n">
        <v>148680</v>
      </c>
      <c r="J12" s="37" t="n">
        <v>159463</v>
      </c>
      <c r="K12" s="37" t="n">
        <v>161517</v>
      </c>
      <c r="L12" s="37" t="n">
        <v>162490</v>
      </c>
      <c r="M12" s="37" t="n">
        <v>170064</v>
      </c>
      <c r="N12" s="37" t="n">
        <v>168194</v>
      </c>
      <c r="O12" s="37" t="n">
        <v>174379</v>
      </c>
      <c r="P12" s="37" t="n">
        <v>184051</v>
      </c>
    </row>
    <row r="13">
      <c r="A13" s="36" t="inlineStr">
        <is>
          <t>有效卡數(張)</t>
        </is>
      </c>
      <c r="B13" s="36" t="inlineStr">
        <is>
          <t>第一商業銀行</t>
        </is>
      </c>
      <c r="C13" s="37" t="n">
        <v>229097</v>
      </c>
      <c r="D13" s="37" t="n">
        <v>231135</v>
      </c>
      <c r="E13" s="37" t="n">
        <v>228064</v>
      </c>
      <c r="F13" s="37" t="n">
        <v>300162</v>
      </c>
      <c r="G13" s="37" t="n">
        <v>359743</v>
      </c>
      <c r="H13" s="37" t="n">
        <v>392990</v>
      </c>
      <c r="I13" s="37" t="n">
        <v>439206</v>
      </c>
      <c r="J13" s="37" t="n">
        <v>486414</v>
      </c>
      <c r="K13" s="37" t="n">
        <v>546720</v>
      </c>
      <c r="L13" s="37" t="n">
        <v>603248</v>
      </c>
      <c r="M13" s="37" t="n">
        <v>640575</v>
      </c>
      <c r="N13" s="37" t="n">
        <v>654065</v>
      </c>
      <c r="O13" s="37" t="n">
        <v>715657</v>
      </c>
      <c r="P13" s="37" t="n">
        <v>748749</v>
      </c>
    </row>
    <row r="14">
      <c r="B14" s="36" t="inlineStr">
        <is>
          <t>華南商業銀行</t>
        </is>
      </c>
      <c r="C14" s="37" t="n">
        <v>282995</v>
      </c>
      <c r="D14" s="37" t="n">
        <v>205849</v>
      </c>
      <c r="E14" s="37" t="n">
        <v>197228</v>
      </c>
      <c r="F14" s="37" t="n">
        <v>193791</v>
      </c>
      <c r="G14" s="37" t="n">
        <v>290845</v>
      </c>
      <c r="H14" s="37" t="n">
        <v>318500</v>
      </c>
      <c r="I14" s="37" t="n">
        <v>349430</v>
      </c>
      <c r="J14" s="37" t="n">
        <v>395031</v>
      </c>
      <c r="K14" s="37" t="n">
        <v>514578</v>
      </c>
      <c r="L14" s="37" t="n">
        <v>584547</v>
      </c>
      <c r="M14" s="37" t="n">
        <v>679902</v>
      </c>
      <c r="N14" s="37" t="n">
        <v>791494</v>
      </c>
      <c r="O14" s="37" t="n">
        <v>801778</v>
      </c>
      <c r="P14" s="37" t="n">
        <v>794459</v>
      </c>
    </row>
    <row r="15">
      <c r="B15" s="36" t="inlineStr">
        <is>
          <t>兆豐國際商業銀行</t>
        </is>
      </c>
      <c r="C15" s="37" t="n">
        <v>342917</v>
      </c>
      <c r="D15" s="37" t="n">
        <v>318363</v>
      </c>
      <c r="E15" s="37" t="n">
        <v>307717</v>
      </c>
      <c r="F15" s="37" t="n">
        <v>311929</v>
      </c>
      <c r="G15" s="37" t="n">
        <v>342696</v>
      </c>
      <c r="H15" s="37" t="n">
        <v>361299</v>
      </c>
      <c r="I15" s="37" t="n">
        <v>339198</v>
      </c>
      <c r="J15" s="37" t="n">
        <v>354142</v>
      </c>
      <c r="K15" s="37" t="n">
        <v>388042</v>
      </c>
      <c r="L15" s="37" t="n">
        <v>401174</v>
      </c>
      <c r="M15" s="37" t="n">
        <v>416322</v>
      </c>
      <c r="N15" s="37" t="n">
        <v>452664</v>
      </c>
      <c r="O15" s="37" t="n">
        <v>488975</v>
      </c>
      <c r="P15" s="37" t="n">
        <v>579700</v>
      </c>
    </row>
    <row r="16">
      <c r="B16" s="36" t="inlineStr">
        <is>
          <t>渣打國際商業銀行</t>
        </is>
      </c>
      <c r="C16" s="37" t="n">
        <v>225665</v>
      </c>
      <c r="D16" s="37" t="n">
        <v>291706</v>
      </c>
      <c r="E16" s="37" t="n">
        <v>244532</v>
      </c>
      <c r="F16" s="37" t="n">
        <v>211773</v>
      </c>
      <c r="G16" s="37" t="n">
        <v>199722</v>
      </c>
      <c r="H16" s="37" t="n">
        <v>200696</v>
      </c>
      <c r="I16" s="37" t="n">
        <v>223427</v>
      </c>
      <c r="J16" s="37" t="n">
        <v>256644</v>
      </c>
      <c r="K16" s="37" t="n">
        <v>271035</v>
      </c>
      <c r="L16" s="37" t="n">
        <v>235945</v>
      </c>
      <c r="M16" s="37" t="n">
        <v>212512</v>
      </c>
      <c r="N16" s="37" t="n">
        <v>200737</v>
      </c>
      <c r="O16" s="37" t="n">
        <v>239514</v>
      </c>
      <c r="P16" s="37" t="n">
        <v>264977</v>
      </c>
    </row>
    <row r="17">
      <c r="B17" s="36" t="inlineStr">
        <is>
          <t>匯豐(台灣)商業銀行</t>
        </is>
      </c>
      <c r="C17" s="36" t="inlineStr">
        <is>
          <t>－</t>
        </is>
      </c>
      <c r="D17" s="36" t="inlineStr">
        <is>
          <t>－</t>
        </is>
      </c>
      <c r="E17" s="36" t="inlineStr">
        <is>
          <t>－</t>
        </is>
      </c>
      <c r="F17" s="36" t="inlineStr">
        <is>
          <t>－</t>
        </is>
      </c>
      <c r="G17" s="37" t="n">
        <v>430650</v>
      </c>
      <c r="H17" s="37" t="n">
        <v>469457</v>
      </c>
      <c r="I17" s="37" t="n">
        <v>486851</v>
      </c>
      <c r="J17" s="37" t="n">
        <v>465643</v>
      </c>
      <c r="K17" s="37" t="n">
        <v>440160</v>
      </c>
      <c r="L17" s="37" t="n">
        <v>438284</v>
      </c>
      <c r="M17" s="37" t="n">
        <v>405949</v>
      </c>
      <c r="N17" s="37" t="n">
        <v>409953</v>
      </c>
      <c r="O17" s="37" t="n">
        <v>431532</v>
      </c>
      <c r="P17" s="37" t="n">
        <v>447158</v>
      </c>
    </row>
    <row r="18">
      <c r="B18" s="36" t="inlineStr">
        <is>
          <t>臺灣新光商業銀行</t>
        </is>
      </c>
      <c r="C18" s="37" t="n">
        <v>466283</v>
      </c>
      <c r="D18" s="37" t="n">
        <v>445458</v>
      </c>
      <c r="E18" s="37" t="n">
        <v>411522</v>
      </c>
      <c r="F18" s="37" t="n">
        <v>405288</v>
      </c>
      <c r="G18" s="37" t="n">
        <v>388573</v>
      </c>
      <c r="H18" s="37" t="n">
        <v>415117</v>
      </c>
      <c r="I18" s="37" t="n">
        <v>422049</v>
      </c>
      <c r="J18" s="37" t="n">
        <v>455407</v>
      </c>
      <c r="K18" s="37" t="n">
        <v>451622</v>
      </c>
      <c r="L18" s="37" t="n">
        <v>464420</v>
      </c>
      <c r="M18" s="37" t="n">
        <v>483351</v>
      </c>
      <c r="N18" s="37" t="n">
        <v>480062</v>
      </c>
      <c r="O18" s="37" t="n">
        <v>482598</v>
      </c>
      <c r="P18" s="37" t="n">
        <v>503608</v>
      </c>
    </row>
    <row r="19">
      <c r="B19" s="36" t="inlineStr">
        <is>
          <t>元大商業銀行</t>
        </is>
      </c>
      <c r="C19" s="37" t="n">
        <v>101999</v>
      </c>
      <c r="D19" s="37" t="n">
        <v>125689</v>
      </c>
      <c r="E19" s="37" t="n">
        <v>134274</v>
      </c>
      <c r="F19" s="37" t="n">
        <v>132075</v>
      </c>
      <c r="G19" s="37" t="n">
        <v>125157</v>
      </c>
      <c r="H19" s="37" t="n">
        <v>106972</v>
      </c>
      <c r="I19" s="37" t="n">
        <v>93863</v>
      </c>
      <c r="J19" s="37" t="n">
        <v>90694</v>
      </c>
      <c r="K19" s="37" t="n">
        <v>146943</v>
      </c>
      <c r="L19" s="37" t="n">
        <v>247819</v>
      </c>
      <c r="M19" s="37" t="n">
        <v>370293</v>
      </c>
      <c r="N19" s="37" t="n">
        <v>459608</v>
      </c>
      <c r="O19" s="37" t="n">
        <v>764864</v>
      </c>
      <c r="P19" s="37" t="n">
        <v>692028</v>
      </c>
    </row>
    <row r="20">
      <c r="B20" s="36" t="inlineStr">
        <is>
          <t>凱基商業銀行</t>
        </is>
      </c>
      <c r="C20" s="37" t="n">
        <v>351405</v>
      </c>
      <c r="D20" s="37" t="n">
        <v>287949</v>
      </c>
      <c r="E20" s="37" t="n">
        <v>281380</v>
      </c>
      <c r="F20" s="37" t="n">
        <v>255720</v>
      </c>
      <c r="G20" s="37" t="n">
        <v>249424</v>
      </c>
      <c r="H20" s="37" t="n">
        <v>243199</v>
      </c>
      <c r="I20" s="37" t="n">
        <v>218677</v>
      </c>
      <c r="J20" s="37" t="n">
        <v>206425</v>
      </c>
      <c r="K20" s="37" t="n">
        <v>194452</v>
      </c>
      <c r="L20" s="37" t="n">
        <v>210520</v>
      </c>
      <c r="M20" s="37" t="n">
        <v>198100</v>
      </c>
      <c r="N20" s="37" t="n">
        <v>192402</v>
      </c>
      <c r="O20" s="37" t="n">
        <v>193141</v>
      </c>
      <c r="P20" s="37" t="n">
        <v>195827</v>
      </c>
    </row>
    <row r="21">
      <c r="B21" s="36" t="inlineStr">
        <is>
          <t>星展(台灣)商業銀行</t>
        </is>
      </c>
      <c r="C21" s="36" t="inlineStr">
        <is>
          <t>－</t>
        </is>
      </c>
      <c r="D21" s="36" t="inlineStr">
        <is>
          <t>－</t>
        </is>
      </c>
      <c r="E21" s="36" t="inlineStr">
        <is>
          <t>－</t>
        </is>
      </c>
      <c r="F21" s="36" t="inlineStr">
        <is>
          <t>－</t>
        </is>
      </c>
      <c r="G21" s="36" t="inlineStr">
        <is>
          <t>－</t>
        </is>
      </c>
      <c r="H21" s="36" t="inlineStr">
        <is>
          <t>－</t>
        </is>
      </c>
      <c r="I21" s="37" t="n">
        <v>4486</v>
      </c>
      <c r="J21" s="37" t="n">
        <v>6961</v>
      </c>
      <c r="K21" s="37" t="n">
        <v>6638</v>
      </c>
      <c r="L21" s="37" t="n">
        <v>6263</v>
      </c>
      <c r="M21" s="37" t="n">
        <v>5765</v>
      </c>
      <c r="N21" s="37" t="n">
        <v>321791</v>
      </c>
      <c r="O21" s="37" t="n">
        <v>314502</v>
      </c>
      <c r="P21" s="37" t="n">
        <v>325753</v>
      </c>
    </row>
    <row r="22">
      <c r="B22" s="36" t="inlineStr">
        <is>
          <t>台灣樂天信用卡股份有限公司</t>
        </is>
      </c>
      <c r="C22" s="36" t="inlineStr">
        <is>
          <t>－</t>
        </is>
      </c>
      <c r="D22" s="36" t="inlineStr">
        <is>
          <t>－</t>
        </is>
      </c>
      <c r="E22" s="36" t="inlineStr">
        <is>
          <t>－</t>
        </is>
      </c>
      <c r="F22" s="36" t="inlineStr">
        <is>
          <t>－</t>
        </is>
      </c>
      <c r="G22" s="36" t="inlineStr">
        <is>
          <t>－</t>
        </is>
      </c>
      <c r="H22" s="36" t="inlineStr">
        <is>
          <t>－</t>
        </is>
      </c>
      <c r="I22" s="36" t="inlineStr">
        <is>
          <t>－</t>
        </is>
      </c>
      <c r="J22" s="36" t="inlineStr">
        <is>
          <t>－</t>
        </is>
      </c>
      <c r="K22" s="37" t="n">
        <v>35</v>
      </c>
      <c r="L22" s="37" t="n">
        <v>59552</v>
      </c>
      <c r="M22" s="37" t="n">
        <v>153990</v>
      </c>
      <c r="N22" s="37" t="n">
        <v>251744</v>
      </c>
      <c r="O22" s="37" t="n">
        <v>306495</v>
      </c>
      <c r="P22" s="37" t="n">
        <v>320803</v>
      </c>
    </row>
    <row r="23">
      <c r="B23" s="36" t="inlineStr">
        <is>
          <t>台灣美國運通國際(股)公司</t>
        </is>
      </c>
      <c r="C23" s="37" t="n">
        <v>106933</v>
      </c>
      <c r="D23" s="37" t="n">
        <v>88737</v>
      </c>
      <c r="E23" s="37" t="n">
        <v>80504</v>
      </c>
      <c r="F23" s="37" t="n">
        <v>71564</v>
      </c>
      <c r="G23" s="37" t="n">
        <v>75129</v>
      </c>
      <c r="H23" s="37" t="n">
        <v>79693</v>
      </c>
      <c r="I23" s="37" t="n">
        <v>84279</v>
      </c>
      <c r="J23" s="37" t="n">
        <v>90279</v>
      </c>
      <c r="K23" s="37" t="n">
        <v>89720</v>
      </c>
      <c r="L23" s="37" t="n">
        <v>88763</v>
      </c>
      <c r="M23" s="37" t="n">
        <v>113332</v>
      </c>
      <c r="N23" s="37" t="n">
        <v>111319</v>
      </c>
      <c r="O23" s="37" t="n">
        <v>115968</v>
      </c>
      <c r="P23" s="37" t="n">
        <v>121252</v>
      </c>
    </row>
    <row r="24">
      <c r="A24" s="36" t="inlineStr">
        <is>
          <t>本月發卡數(張)</t>
        </is>
      </c>
      <c r="B24" s="36" t="inlineStr">
        <is>
          <t>第一商業銀行</t>
        </is>
      </c>
      <c r="C24" s="37" t="n">
        <v>17027</v>
      </c>
      <c r="D24" s="37" t="n">
        <v>64972</v>
      </c>
      <c r="E24" s="37" t="n">
        <v>67419</v>
      </c>
      <c r="F24" s="37" t="n">
        <v>123543</v>
      </c>
      <c r="G24" s="37" t="n">
        <v>137676</v>
      </c>
      <c r="H24" s="37" t="n">
        <v>107298</v>
      </c>
      <c r="I24" s="37" t="n">
        <v>129266</v>
      </c>
      <c r="J24" s="37" t="n">
        <v>116254</v>
      </c>
      <c r="K24" s="37" t="n">
        <v>166896</v>
      </c>
      <c r="L24" s="37" t="n">
        <v>168427</v>
      </c>
      <c r="M24" s="37" t="n">
        <v>127245</v>
      </c>
      <c r="N24" s="37" t="n">
        <v>124253</v>
      </c>
      <c r="O24" s="37" t="n">
        <v>196632</v>
      </c>
      <c r="P24" s="37" t="n">
        <v>170352</v>
      </c>
    </row>
    <row r="25">
      <c r="B25" s="36" t="inlineStr">
        <is>
          <t>華南商業銀行</t>
        </is>
      </c>
      <c r="C25" s="37" t="n">
        <v>33111</v>
      </c>
      <c r="D25" s="37" t="n">
        <v>15342</v>
      </c>
      <c r="E25" s="37" t="n">
        <v>21718</v>
      </c>
      <c r="F25" s="37" t="n">
        <v>30498</v>
      </c>
      <c r="G25" s="37" t="n">
        <v>173859</v>
      </c>
      <c r="H25" s="37" t="n">
        <v>82106</v>
      </c>
      <c r="I25" s="37" t="n">
        <v>97147</v>
      </c>
      <c r="J25" s="37" t="n">
        <v>117256</v>
      </c>
      <c r="K25" s="37" t="n">
        <v>227518</v>
      </c>
      <c r="L25" s="37" t="n">
        <v>187746</v>
      </c>
      <c r="M25" s="37" t="n">
        <v>231622</v>
      </c>
      <c r="N25" s="37" t="n">
        <v>254301</v>
      </c>
      <c r="O25" s="37" t="n">
        <v>168540</v>
      </c>
      <c r="P25" s="37" t="n">
        <v>137792</v>
      </c>
    </row>
    <row r="26">
      <c r="B26" s="36" t="inlineStr">
        <is>
          <t>兆豐國際商業銀行</t>
        </is>
      </c>
      <c r="C26" s="37" t="n">
        <v>27778</v>
      </c>
      <c r="D26" s="37" t="n">
        <v>29998</v>
      </c>
      <c r="E26" s="37" t="n">
        <v>46105</v>
      </c>
      <c r="F26" s="37" t="n">
        <v>62173</v>
      </c>
      <c r="G26" s="37" t="n">
        <v>102479</v>
      </c>
      <c r="H26" s="37" t="n">
        <v>92968</v>
      </c>
      <c r="I26" s="37" t="n">
        <v>42380</v>
      </c>
      <c r="J26" s="37" t="n">
        <v>69408</v>
      </c>
      <c r="K26" s="37" t="n">
        <v>95295</v>
      </c>
      <c r="L26" s="37" t="n">
        <v>96842</v>
      </c>
      <c r="M26" s="37" t="n">
        <v>97870</v>
      </c>
      <c r="N26" s="37" t="n">
        <v>115857</v>
      </c>
      <c r="O26" s="37" t="n">
        <v>138521</v>
      </c>
      <c r="P26" s="37" t="n">
        <v>198382</v>
      </c>
    </row>
    <row r="27">
      <c r="B27" s="36" t="inlineStr">
        <is>
          <t>渣打國際商業銀行</t>
        </is>
      </c>
      <c r="C27" s="37" t="n">
        <v>11385</v>
      </c>
      <c r="D27" s="37" t="n">
        <v>12317</v>
      </c>
      <c r="E27" s="37" t="n">
        <v>12202</v>
      </c>
      <c r="F27" s="37" t="n">
        <v>7041</v>
      </c>
      <c r="G27" s="37" t="n">
        <v>23682</v>
      </c>
      <c r="H27" s="37" t="n">
        <v>49281</v>
      </c>
      <c r="I27" s="37" t="n">
        <v>84356</v>
      </c>
      <c r="J27" s="37" t="n">
        <v>98936</v>
      </c>
      <c r="K27" s="37" t="n">
        <v>102674</v>
      </c>
      <c r="L27" s="37" t="n">
        <v>41791</v>
      </c>
      <c r="M27" s="37" t="n">
        <v>20054</v>
      </c>
      <c r="N27" s="37" t="n">
        <v>42188</v>
      </c>
      <c r="O27" s="37" t="n">
        <v>90128</v>
      </c>
      <c r="P27" s="37" t="n">
        <v>57121</v>
      </c>
    </row>
    <row r="28">
      <c r="B28" s="36" t="inlineStr">
        <is>
          <t>匯豐(台灣)商業銀行</t>
        </is>
      </c>
      <c r="C28" s="36" t="inlineStr">
        <is>
          <t>－</t>
        </is>
      </c>
      <c r="D28" s="36" t="inlineStr">
        <is>
          <t>－</t>
        </is>
      </c>
      <c r="E28" s="36" t="inlineStr">
        <is>
          <t>－</t>
        </is>
      </c>
      <c r="F28" s="36" t="inlineStr">
        <is>
          <t>－</t>
        </is>
      </c>
      <c r="G28" s="37" t="n">
        <v>94995</v>
      </c>
      <c r="H28" s="37" t="n">
        <v>149209</v>
      </c>
      <c r="I28" s="37" t="n">
        <v>148374</v>
      </c>
      <c r="J28" s="37" t="n">
        <v>75593</v>
      </c>
      <c r="K28" s="37" t="n">
        <v>71184</v>
      </c>
      <c r="L28" s="37" t="n">
        <v>91261</v>
      </c>
      <c r="M28" s="37" t="n">
        <v>70127</v>
      </c>
      <c r="N28" s="37" t="n">
        <v>92742</v>
      </c>
      <c r="O28" s="37" t="n">
        <v>100882</v>
      </c>
      <c r="P28" s="37" t="n">
        <v>107207</v>
      </c>
    </row>
    <row r="29">
      <c r="B29" s="36" t="inlineStr">
        <is>
          <t>臺灣新光商業銀行</t>
        </is>
      </c>
      <c r="C29" s="37" t="n">
        <v>72728</v>
      </c>
      <c r="D29" s="37" t="n">
        <v>76844</v>
      </c>
      <c r="E29" s="37" t="n">
        <v>63910</v>
      </c>
      <c r="F29" s="37" t="n">
        <v>106782</v>
      </c>
      <c r="G29" s="37" t="n">
        <v>57115</v>
      </c>
      <c r="H29" s="37" t="n">
        <v>105430</v>
      </c>
      <c r="I29" s="37" t="n">
        <v>92179</v>
      </c>
      <c r="J29" s="37" t="n">
        <v>186438</v>
      </c>
      <c r="K29" s="37" t="n">
        <v>88645</v>
      </c>
      <c r="L29" s="37" t="n">
        <v>100089</v>
      </c>
      <c r="M29" s="37" t="n">
        <v>104083</v>
      </c>
      <c r="N29" s="37" t="n">
        <v>104346</v>
      </c>
      <c r="O29" s="37" t="n">
        <v>96840</v>
      </c>
      <c r="P29" s="37" t="n">
        <v>111778</v>
      </c>
    </row>
    <row r="30">
      <c r="B30" s="36" t="inlineStr">
        <is>
          <t>元大商業銀行</t>
        </is>
      </c>
      <c r="C30" s="37" t="n">
        <v>23638</v>
      </c>
      <c r="D30" s="37" t="n">
        <v>84337</v>
      </c>
      <c r="E30" s="37" t="n">
        <v>61289</v>
      </c>
      <c r="F30" s="37" t="n">
        <v>37363</v>
      </c>
      <c r="G30" s="37" t="n">
        <v>26241</v>
      </c>
      <c r="H30" s="37" t="n">
        <v>14769</v>
      </c>
      <c r="I30" s="37" t="n">
        <v>22908</v>
      </c>
      <c r="J30" s="37" t="n">
        <v>14847</v>
      </c>
      <c r="K30" s="37" t="n">
        <v>83414</v>
      </c>
      <c r="L30" s="37" t="n">
        <v>143867</v>
      </c>
      <c r="M30" s="37" t="n">
        <v>169690</v>
      </c>
      <c r="N30" s="37" t="n">
        <v>140466</v>
      </c>
      <c r="O30" s="37" t="n">
        <v>284401</v>
      </c>
      <c r="P30" s="37" t="n">
        <v>70512</v>
      </c>
    </row>
    <row r="31">
      <c r="B31" s="36" t="inlineStr">
        <is>
          <t>凱基商業銀行</t>
        </is>
      </c>
      <c r="C31" s="37" t="n">
        <v>57730</v>
      </c>
      <c r="D31" s="37" t="n">
        <v>113270</v>
      </c>
      <c r="E31" s="37" t="n">
        <v>68612</v>
      </c>
      <c r="F31" s="37" t="n">
        <v>51082</v>
      </c>
      <c r="G31" s="37" t="n">
        <v>47920</v>
      </c>
      <c r="H31" s="37" t="n">
        <v>72385</v>
      </c>
      <c r="I31" s="37" t="n">
        <v>34127</v>
      </c>
      <c r="J31" s="37" t="n">
        <v>37022</v>
      </c>
      <c r="K31" s="37" t="n">
        <v>23178</v>
      </c>
      <c r="L31" s="37" t="n">
        <v>79919</v>
      </c>
      <c r="M31" s="37" t="n">
        <v>92953</v>
      </c>
      <c r="N31" s="37" t="n">
        <v>102018</v>
      </c>
      <c r="O31" s="37" t="n">
        <v>54114</v>
      </c>
      <c r="P31" s="37" t="n">
        <v>64470</v>
      </c>
    </row>
    <row r="32">
      <c r="B32" s="36" t="inlineStr">
        <is>
          <t>星展(台灣)商業銀行</t>
        </is>
      </c>
      <c r="C32" s="36" t="inlineStr">
        <is>
          <t>－</t>
        </is>
      </c>
      <c r="D32" s="36" t="inlineStr">
        <is>
          <t>－</t>
        </is>
      </c>
      <c r="E32" s="36" t="inlineStr">
        <is>
          <t>－</t>
        </is>
      </c>
      <c r="F32" s="36" t="inlineStr">
        <is>
          <t>－</t>
        </is>
      </c>
      <c r="G32" s="36" t="inlineStr">
        <is>
          <t>－</t>
        </is>
      </c>
      <c r="H32" s="36" t="inlineStr">
        <is>
          <t>－</t>
        </is>
      </c>
      <c r="I32" s="37" t="n">
        <v>4467</v>
      </c>
      <c r="J32" s="37" t="n">
        <v>3338</v>
      </c>
      <c r="K32" s="37" t="n">
        <v>2231</v>
      </c>
      <c r="L32" s="37" t="n">
        <v>1314</v>
      </c>
      <c r="M32" s="37" t="n">
        <v>757</v>
      </c>
      <c r="N32" s="37" t="n">
        <v>527</v>
      </c>
      <c r="O32" s="37" t="n">
        <v>219116</v>
      </c>
      <c r="P32" s="37" t="n">
        <v>90433</v>
      </c>
    </row>
    <row r="33">
      <c r="B33" s="36" t="inlineStr">
        <is>
          <t>台灣樂天信用卡股份有限公司</t>
        </is>
      </c>
      <c r="C33" s="36" t="inlineStr">
        <is>
          <t>－</t>
        </is>
      </c>
      <c r="D33" s="36" t="inlineStr">
        <is>
          <t>－</t>
        </is>
      </c>
      <c r="E33" s="36" t="inlineStr">
        <is>
          <t>－</t>
        </is>
      </c>
      <c r="F33" s="36" t="inlineStr">
        <is>
          <t>－</t>
        </is>
      </c>
      <c r="G33" s="36" t="inlineStr">
        <is>
          <t>－</t>
        </is>
      </c>
      <c r="H33" s="36" t="inlineStr">
        <is>
          <t>－</t>
        </is>
      </c>
      <c r="I33" s="36" t="inlineStr">
        <is>
          <t>－</t>
        </is>
      </c>
      <c r="J33" s="36" t="inlineStr">
        <is>
          <t>－</t>
        </is>
      </c>
      <c r="K33" s="37" t="n">
        <v>131</v>
      </c>
      <c r="L33" s="37" t="n">
        <v>73740</v>
      </c>
      <c r="M33" s="37" t="n">
        <v>137150</v>
      </c>
      <c r="N33" s="37" t="n">
        <v>168504</v>
      </c>
      <c r="O33" s="37" t="n">
        <v>119076</v>
      </c>
      <c r="P33" s="37" t="n">
        <v>98301</v>
      </c>
    </row>
    <row r="34">
      <c r="B34" s="36" t="inlineStr">
        <is>
          <t>台灣美國運通國際(股)公司</t>
        </is>
      </c>
      <c r="C34" s="37" t="n">
        <v>6160</v>
      </c>
      <c r="D34" s="37" t="n">
        <v>9422</v>
      </c>
      <c r="E34" s="37" t="n">
        <v>17276</v>
      </c>
      <c r="F34" s="37" t="n">
        <v>11690</v>
      </c>
      <c r="G34" s="37" t="n">
        <v>22910</v>
      </c>
      <c r="H34" s="37" t="n">
        <v>27279</v>
      </c>
      <c r="I34" s="37" t="n">
        <v>29319</v>
      </c>
      <c r="J34" s="37" t="n">
        <v>40739</v>
      </c>
      <c r="K34" s="37" t="n">
        <v>36915</v>
      </c>
      <c r="L34" s="37" t="n">
        <v>36810</v>
      </c>
      <c r="M34" s="37" t="n">
        <v>43384</v>
      </c>
      <c r="N34" s="37" t="n">
        <v>35109</v>
      </c>
      <c r="O34" s="37" t="n">
        <v>36886</v>
      </c>
      <c r="P34" s="37" t="n">
        <v>40482</v>
      </c>
    </row>
    <row r="35">
      <c r="A35" s="36" t="inlineStr">
        <is>
          <t>本月停卡數(張)</t>
        </is>
      </c>
      <c r="B35" s="36" t="inlineStr">
        <is>
          <t>第一商業銀行</t>
        </is>
      </c>
      <c r="C35" s="37" t="n">
        <v>144368</v>
      </c>
      <c r="D35" s="37" t="n">
        <v>54212</v>
      </c>
      <c r="E35" s="37" t="n">
        <v>48546</v>
      </c>
      <c r="F35" s="37" t="n">
        <v>79229</v>
      </c>
      <c r="G35" s="37" t="n">
        <v>142498</v>
      </c>
      <c r="H35" s="37" t="n">
        <v>75453</v>
      </c>
      <c r="I35" s="37" t="n">
        <v>76743</v>
      </c>
      <c r="J35" s="37" t="n">
        <v>78619</v>
      </c>
      <c r="K35" s="37" t="n">
        <v>88557</v>
      </c>
      <c r="L35" s="37" t="n">
        <v>105385</v>
      </c>
      <c r="M35" s="37" t="n">
        <v>112519</v>
      </c>
      <c r="N35" s="37" t="n">
        <v>110385</v>
      </c>
      <c r="O35" s="37" t="n">
        <v>111246</v>
      </c>
      <c r="P35" s="37" t="n">
        <v>112260</v>
      </c>
    </row>
    <row r="36">
      <c r="B36" s="36" t="inlineStr">
        <is>
          <t>華南商業銀行</t>
        </is>
      </c>
      <c r="C36" s="37" t="n">
        <v>59366</v>
      </c>
      <c r="D36" s="37" t="n">
        <v>79519</v>
      </c>
      <c r="E36" s="37" t="n">
        <v>40090</v>
      </c>
      <c r="F36" s="37" t="n">
        <v>34644</v>
      </c>
      <c r="G36" s="37" t="n">
        <v>36873</v>
      </c>
      <c r="H36" s="37" t="n">
        <v>62816</v>
      </c>
      <c r="I36" s="37" t="n">
        <v>57415</v>
      </c>
      <c r="J36" s="37" t="n">
        <v>58395</v>
      </c>
      <c r="K36" s="37" t="n">
        <v>84711</v>
      </c>
      <c r="L36" s="37" t="n">
        <v>97902</v>
      </c>
      <c r="M36" s="37" t="n">
        <v>107175</v>
      </c>
      <c r="N36" s="37" t="n">
        <v>121405</v>
      </c>
      <c r="O36" s="37" t="n">
        <v>149494</v>
      </c>
      <c r="P36" s="37" t="n">
        <v>128018</v>
      </c>
    </row>
    <row r="37">
      <c r="B37" s="36" t="inlineStr">
        <is>
          <t>兆豐國際商業銀行</t>
        </is>
      </c>
      <c r="C37" s="37" t="n">
        <v>247465</v>
      </c>
      <c r="D37" s="37" t="n">
        <v>101437</v>
      </c>
      <c r="E37" s="37" t="n">
        <v>140383</v>
      </c>
      <c r="F37" s="37" t="n">
        <v>80327</v>
      </c>
      <c r="G37" s="37" t="n">
        <v>134794</v>
      </c>
      <c r="H37" s="37" t="n">
        <v>62412</v>
      </c>
      <c r="I37" s="37" t="n">
        <v>64041</v>
      </c>
      <c r="J37" s="37" t="n">
        <v>73593</v>
      </c>
      <c r="K37" s="37" t="n">
        <v>53084</v>
      </c>
      <c r="L37" s="37" t="n">
        <v>56775</v>
      </c>
      <c r="M37" s="37" t="n">
        <v>104088</v>
      </c>
      <c r="N37" s="37" t="n">
        <v>53593</v>
      </c>
      <c r="O37" s="37" t="n">
        <v>61950</v>
      </c>
      <c r="P37" s="37" t="n">
        <v>50136</v>
      </c>
    </row>
    <row r="38">
      <c r="B38" s="36" t="inlineStr">
        <is>
          <t>渣打國際商業銀行</t>
        </is>
      </c>
      <c r="C38" s="37" t="n">
        <v>83281</v>
      </c>
      <c r="D38" s="37" t="n">
        <v>68581</v>
      </c>
      <c r="E38" s="37" t="n">
        <v>87077</v>
      </c>
      <c r="F38" s="37" t="n">
        <v>78698</v>
      </c>
      <c r="G38" s="37" t="n">
        <v>49640</v>
      </c>
      <c r="H38" s="37" t="n">
        <v>31669</v>
      </c>
      <c r="I38" s="37" t="n">
        <v>39598</v>
      </c>
      <c r="J38" s="37" t="n">
        <v>53271</v>
      </c>
      <c r="K38" s="37" t="n">
        <v>55704</v>
      </c>
      <c r="L38" s="37" t="n">
        <v>66774</v>
      </c>
      <c r="M38" s="37" t="n">
        <v>52896</v>
      </c>
      <c r="N38" s="37" t="n">
        <v>49560</v>
      </c>
      <c r="O38" s="37" t="n">
        <v>74089</v>
      </c>
      <c r="P38" s="37" t="n">
        <v>28945</v>
      </c>
    </row>
    <row r="39">
      <c r="B39" s="36" t="inlineStr">
        <is>
          <t>匯豐(台灣)商業銀行</t>
        </is>
      </c>
      <c r="C39" s="36" t="inlineStr">
        <is>
          <t>－</t>
        </is>
      </c>
      <c r="D39" s="36" t="inlineStr">
        <is>
          <t>－</t>
        </is>
      </c>
      <c r="E39" s="36" t="inlineStr">
        <is>
          <t>－</t>
        </is>
      </c>
      <c r="F39" s="36" t="inlineStr">
        <is>
          <t>－</t>
        </is>
      </c>
      <c r="G39" s="37" t="n">
        <v>57438</v>
      </c>
      <c r="H39" s="37" t="n">
        <v>91568</v>
      </c>
      <c r="I39" s="37" t="n">
        <v>99093</v>
      </c>
      <c r="J39" s="37" t="n">
        <v>178866</v>
      </c>
      <c r="K39" s="37" t="n">
        <v>106191</v>
      </c>
      <c r="L39" s="37" t="n">
        <v>78814</v>
      </c>
      <c r="M39" s="37" t="n">
        <v>107961</v>
      </c>
      <c r="N39" s="37" t="n">
        <v>93727</v>
      </c>
      <c r="O39" s="37" t="n">
        <v>80706</v>
      </c>
      <c r="P39" s="37" t="n">
        <v>94962</v>
      </c>
    </row>
    <row r="40">
      <c r="B40" s="36" t="inlineStr">
        <is>
          <t>臺灣新光商業銀行</t>
        </is>
      </c>
      <c r="C40" s="37" t="n">
        <v>268293</v>
      </c>
      <c r="D40" s="37" t="n">
        <v>168015</v>
      </c>
      <c r="E40" s="37" t="n">
        <v>139173</v>
      </c>
      <c r="F40" s="37" t="n">
        <v>146977</v>
      </c>
      <c r="G40" s="37" t="n">
        <v>119572</v>
      </c>
      <c r="H40" s="37" t="n">
        <v>51955</v>
      </c>
      <c r="I40" s="37" t="n">
        <v>55831</v>
      </c>
      <c r="J40" s="37" t="n">
        <v>87718</v>
      </c>
      <c r="K40" s="37" t="n">
        <v>63012</v>
      </c>
      <c r="L40" s="37" t="n">
        <v>64516</v>
      </c>
      <c r="M40" s="37" t="n">
        <v>110436</v>
      </c>
      <c r="N40" s="37" t="n">
        <v>123595</v>
      </c>
      <c r="O40" s="37" t="n">
        <v>177702</v>
      </c>
      <c r="P40" s="37" t="n">
        <v>80142</v>
      </c>
    </row>
    <row r="41">
      <c r="B41" s="36" t="inlineStr">
        <is>
          <t>元大商業銀行</t>
        </is>
      </c>
      <c r="C41" s="37" t="n">
        <v>79622</v>
      </c>
      <c r="D41" s="37" t="n">
        <v>31641</v>
      </c>
      <c r="E41" s="37" t="n">
        <v>105755</v>
      </c>
      <c r="F41" s="37" t="n">
        <v>36906</v>
      </c>
      <c r="G41" s="37" t="n">
        <v>35998</v>
      </c>
      <c r="H41" s="37" t="n">
        <v>41670</v>
      </c>
      <c r="I41" s="37" t="n">
        <v>34018</v>
      </c>
      <c r="J41" s="37" t="n">
        <v>21428</v>
      </c>
      <c r="K41" s="37" t="n">
        <v>29810</v>
      </c>
      <c r="L41" s="37" t="n">
        <v>28124</v>
      </c>
      <c r="M41" s="37" t="n">
        <v>38597</v>
      </c>
      <c r="N41" s="37" t="n">
        <v>94698</v>
      </c>
      <c r="O41" s="37" t="n">
        <v>222817</v>
      </c>
      <c r="P41" s="37" t="n">
        <v>279324</v>
      </c>
    </row>
    <row r="42">
      <c r="B42" s="36" t="inlineStr">
        <is>
          <t>凱基商業銀行</t>
        </is>
      </c>
      <c r="C42" s="37" t="n">
        <v>302553</v>
      </c>
      <c r="D42" s="37" t="n">
        <v>280041</v>
      </c>
      <c r="E42" s="37" t="n">
        <v>153589</v>
      </c>
      <c r="F42" s="37" t="n">
        <v>104805</v>
      </c>
      <c r="G42" s="37" t="n">
        <v>46999</v>
      </c>
      <c r="H42" s="37" t="n">
        <v>63105</v>
      </c>
      <c r="I42" s="37" t="n">
        <v>101643</v>
      </c>
      <c r="J42" s="37" t="n">
        <v>56887</v>
      </c>
      <c r="K42" s="37" t="n">
        <v>43289</v>
      </c>
      <c r="L42" s="37" t="n">
        <v>69690</v>
      </c>
      <c r="M42" s="37" t="n">
        <v>101413</v>
      </c>
      <c r="N42" s="37" t="n">
        <v>148396</v>
      </c>
      <c r="O42" s="37" t="n">
        <v>87295</v>
      </c>
      <c r="P42" s="37" t="n">
        <v>98685</v>
      </c>
    </row>
    <row r="43">
      <c r="B43" s="36" t="inlineStr">
        <is>
          <t>星展(台灣)商業銀行</t>
        </is>
      </c>
      <c r="C43" s="36" t="inlineStr">
        <is>
          <t>－</t>
        </is>
      </c>
      <c r="D43" s="36" t="inlineStr">
        <is>
          <t>－</t>
        </is>
      </c>
      <c r="E43" s="36" t="inlineStr">
        <is>
          <t>－</t>
        </is>
      </c>
      <c r="F43" s="36" t="inlineStr">
        <is>
          <t>－</t>
        </is>
      </c>
      <c r="G43" s="36" t="inlineStr">
        <is>
          <t>－</t>
        </is>
      </c>
      <c r="H43" s="36" t="inlineStr">
        <is>
          <t>－</t>
        </is>
      </c>
      <c r="I43" s="37" t="n">
        <v>1022</v>
      </c>
      <c r="J43" s="37" t="n">
        <v>1625</v>
      </c>
      <c r="K43" s="37" t="n">
        <v>1365</v>
      </c>
      <c r="L43" s="37" t="n">
        <v>1190</v>
      </c>
      <c r="M43" s="37" t="n">
        <v>762</v>
      </c>
      <c r="N43" s="37" t="n">
        <v>5387</v>
      </c>
      <c r="O43" s="37" t="n">
        <v>222576</v>
      </c>
      <c r="P43" s="37" t="n">
        <v>69830</v>
      </c>
    </row>
    <row r="44">
      <c r="B44" s="36" t="inlineStr">
        <is>
          <t>台灣樂天信用卡股份有限公司</t>
        </is>
      </c>
      <c r="C44" s="36" t="inlineStr">
        <is>
          <t>－</t>
        </is>
      </c>
      <c r="D44" s="36" t="inlineStr">
        <is>
          <t>－</t>
        </is>
      </c>
      <c r="E44" s="36" t="inlineStr">
        <is>
          <t>－</t>
        </is>
      </c>
      <c r="F44" s="36" t="inlineStr">
        <is>
          <t>－</t>
        </is>
      </c>
      <c r="G44" s="36" t="inlineStr">
        <is>
          <t>－</t>
        </is>
      </c>
      <c r="H44" s="36" t="inlineStr">
        <is>
          <t>－</t>
        </is>
      </c>
      <c r="I44" s="36" t="inlineStr">
        <is>
          <t>－</t>
        </is>
      </c>
      <c r="J44" s="36" t="inlineStr">
        <is>
          <t>－</t>
        </is>
      </c>
      <c r="K44" s="37" t="n">
        <v>2</v>
      </c>
      <c r="L44" s="37" t="n">
        <v>1012</v>
      </c>
      <c r="M44" s="37" t="n">
        <v>5217</v>
      </c>
      <c r="N44" s="37" t="n">
        <v>8432</v>
      </c>
      <c r="O44" s="37" t="n">
        <v>14972</v>
      </c>
      <c r="P44" s="37" t="n">
        <v>16071</v>
      </c>
    </row>
    <row r="45">
      <c r="B45" s="36" t="inlineStr">
        <is>
          <t>台灣美國運通國際(股)公司</t>
        </is>
      </c>
      <c r="C45" s="37" t="n">
        <v>101784</v>
      </c>
      <c r="D45" s="37" t="n">
        <v>27996</v>
      </c>
      <c r="E45" s="37" t="n">
        <v>21319</v>
      </c>
      <c r="F45" s="37" t="n">
        <v>21200</v>
      </c>
      <c r="G45" s="37" t="n">
        <v>12412</v>
      </c>
      <c r="H45" s="37" t="n">
        <v>13765</v>
      </c>
      <c r="I45" s="37" t="n">
        <v>17269</v>
      </c>
      <c r="J45" s="37" t="n">
        <v>25544</v>
      </c>
      <c r="K45" s="37" t="n">
        <v>34861</v>
      </c>
      <c r="L45" s="37" t="n">
        <v>35837</v>
      </c>
      <c r="M45" s="37" t="n">
        <v>35810</v>
      </c>
      <c r="N45" s="37" t="n">
        <v>36979</v>
      </c>
      <c r="O45" s="37" t="n">
        <v>30701</v>
      </c>
      <c r="P45" s="37" t="n">
        <v>30810</v>
      </c>
    </row>
    <row r="46">
      <c r="A46" s="36" t="inlineStr">
        <is>
          <t>循環信用餘額</t>
        </is>
      </c>
      <c r="B46" s="36" t="inlineStr">
        <is>
          <t>第一商業銀行</t>
        </is>
      </c>
      <c r="C46" s="37" t="n">
        <v>2609</v>
      </c>
      <c r="D46" s="37" t="n">
        <v>1990</v>
      </c>
      <c r="E46" s="37" t="n">
        <v>1654</v>
      </c>
      <c r="F46" s="37" t="n">
        <v>1332</v>
      </c>
      <c r="G46" s="37" t="n">
        <v>1317</v>
      </c>
      <c r="H46" s="37" t="n">
        <v>1329</v>
      </c>
      <c r="I46" s="37" t="n">
        <v>1317</v>
      </c>
      <c r="J46" s="37" t="n">
        <v>1269</v>
      </c>
      <c r="K46" s="37" t="n">
        <v>1305</v>
      </c>
      <c r="L46" s="37" t="n">
        <v>1374</v>
      </c>
      <c r="M46" s="37" t="n">
        <v>1471</v>
      </c>
      <c r="N46" s="37" t="n">
        <v>1471</v>
      </c>
      <c r="O46" s="37" t="n">
        <v>1490</v>
      </c>
      <c r="P46" s="37" t="n">
        <v>1530</v>
      </c>
    </row>
    <row r="47">
      <c r="B47" s="36" t="inlineStr">
        <is>
          <t>華南商業銀行</t>
        </is>
      </c>
      <c r="C47" s="37" t="n">
        <v>2019</v>
      </c>
      <c r="D47" s="37" t="n">
        <v>1398</v>
      </c>
      <c r="E47" s="37" t="n">
        <v>922</v>
      </c>
      <c r="F47" s="37" t="n">
        <v>675</v>
      </c>
      <c r="G47" s="37" t="n">
        <v>623</v>
      </c>
      <c r="H47" s="37" t="n">
        <v>627</v>
      </c>
      <c r="I47" s="37" t="n">
        <v>634</v>
      </c>
      <c r="J47" s="37" t="n">
        <v>627</v>
      </c>
      <c r="K47" s="37" t="n">
        <v>634</v>
      </c>
      <c r="L47" s="37" t="n">
        <v>715</v>
      </c>
      <c r="M47" s="37" t="n">
        <v>840</v>
      </c>
      <c r="N47" s="37" t="n">
        <v>1026</v>
      </c>
      <c r="O47" s="37" t="n">
        <v>1118</v>
      </c>
      <c r="P47" s="37" t="n">
        <v>1119</v>
      </c>
    </row>
    <row r="48">
      <c r="B48" s="36" t="inlineStr">
        <is>
          <t>兆豐國際商業銀行</t>
        </is>
      </c>
      <c r="C48" s="37" t="n">
        <v>4725</v>
      </c>
      <c r="D48" s="37" t="n">
        <v>3253</v>
      </c>
      <c r="E48" s="37" t="n">
        <v>2551</v>
      </c>
      <c r="F48" s="37" t="n">
        <v>2160</v>
      </c>
      <c r="G48" s="37" t="n">
        <v>1923</v>
      </c>
      <c r="H48" s="37" t="n">
        <v>1743</v>
      </c>
      <c r="I48" s="37" t="n">
        <v>1593</v>
      </c>
      <c r="J48" s="37" t="n">
        <v>1418</v>
      </c>
      <c r="K48" s="37" t="n">
        <v>1304</v>
      </c>
      <c r="L48" s="37" t="n">
        <v>1164</v>
      </c>
      <c r="M48" s="37" t="n">
        <v>1167</v>
      </c>
      <c r="N48" s="37" t="n">
        <v>1144</v>
      </c>
      <c r="O48" s="37" t="n">
        <v>1209</v>
      </c>
      <c r="P48" s="37" t="n">
        <v>1417</v>
      </c>
    </row>
    <row r="49">
      <c r="B49" s="36" t="inlineStr">
        <is>
          <t>渣打國際商業銀行</t>
        </is>
      </c>
      <c r="C49" s="37" t="n">
        <v>1415</v>
      </c>
      <c r="D49" s="37" t="n">
        <v>11563</v>
      </c>
      <c r="E49" s="37" t="n">
        <v>8329</v>
      </c>
      <c r="F49" s="37" t="n">
        <v>5819</v>
      </c>
      <c r="G49" s="37" t="n">
        <v>4852</v>
      </c>
      <c r="H49" s="37" t="n">
        <v>2570</v>
      </c>
      <c r="I49" s="37" t="n">
        <v>2876</v>
      </c>
      <c r="J49" s="37" t="n">
        <v>2647</v>
      </c>
      <c r="K49" s="37" t="n">
        <v>2289</v>
      </c>
      <c r="L49" s="37" t="n">
        <v>2022</v>
      </c>
      <c r="M49" s="37" t="n">
        <v>1852</v>
      </c>
      <c r="N49" s="37" t="n">
        <v>1666</v>
      </c>
      <c r="O49" s="37" t="n">
        <v>1538</v>
      </c>
      <c r="P49" s="37" t="n">
        <v>1450</v>
      </c>
    </row>
    <row r="50">
      <c r="B50" s="36" t="inlineStr">
        <is>
          <t>匯豐(台灣)商業銀行</t>
        </is>
      </c>
      <c r="C50" s="36" t="inlineStr">
        <is>
          <t>－</t>
        </is>
      </c>
      <c r="D50" s="36" t="inlineStr">
        <is>
          <t>－</t>
        </is>
      </c>
      <c r="E50" s="36" t="inlineStr">
        <is>
          <t>－</t>
        </is>
      </c>
      <c r="F50" s="36" t="inlineStr">
        <is>
          <t>－</t>
        </is>
      </c>
      <c r="G50" s="37" t="n">
        <v>6439</v>
      </c>
      <c r="H50" s="37" t="n">
        <v>5372</v>
      </c>
      <c r="I50" s="37" t="n">
        <v>4513</v>
      </c>
      <c r="J50" s="37" t="n">
        <v>3725</v>
      </c>
      <c r="K50" s="37" t="n">
        <v>3205</v>
      </c>
      <c r="L50" s="37" t="n">
        <v>2893</v>
      </c>
      <c r="M50" s="37" t="n">
        <v>2626</v>
      </c>
      <c r="N50" s="37" t="n">
        <v>2392</v>
      </c>
      <c r="O50" s="37" t="n">
        <v>2336</v>
      </c>
      <c r="P50" s="37" t="n">
        <v>2199</v>
      </c>
    </row>
    <row r="51">
      <c r="B51" s="36" t="inlineStr">
        <is>
          <t>臺灣新光商業銀行</t>
        </is>
      </c>
      <c r="C51" s="37" t="n">
        <v>8900</v>
      </c>
      <c r="D51" s="37" t="n">
        <v>6131</v>
      </c>
      <c r="E51" s="37" t="n">
        <v>4910</v>
      </c>
      <c r="F51" s="37" t="n">
        <v>4117</v>
      </c>
      <c r="G51" s="37" t="n">
        <v>3652</v>
      </c>
      <c r="H51" s="37" t="n">
        <v>3310</v>
      </c>
      <c r="I51" s="37" t="n">
        <v>2967</v>
      </c>
      <c r="J51" s="37" t="n">
        <v>2535</v>
      </c>
      <c r="K51" s="37" t="n">
        <v>2259</v>
      </c>
      <c r="L51" s="37" t="n">
        <v>2144</v>
      </c>
      <c r="M51" s="37" t="n">
        <v>2018</v>
      </c>
      <c r="N51" s="37" t="n">
        <v>1911</v>
      </c>
      <c r="O51" s="37" t="n">
        <v>1846</v>
      </c>
      <c r="P51" s="37" t="n">
        <v>1775</v>
      </c>
    </row>
    <row r="52">
      <c r="B52" s="36" t="inlineStr">
        <is>
          <t>元大商業銀行</t>
        </is>
      </c>
      <c r="C52" s="37" t="n">
        <v>2670</v>
      </c>
      <c r="D52" s="37" t="n">
        <v>1851</v>
      </c>
      <c r="E52" s="37" t="n">
        <v>1428</v>
      </c>
      <c r="F52" s="37" t="n">
        <v>1230</v>
      </c>
      <c r="G52" s="37" t="n">
        <v>992</v>
      </c>
      <c r="H52" s="37" t="n">
        <v>805</v>
      </c>
      <c r="I52" s="37" t="n">
        <v>659</v>
      </c>
      <c r="J52" s="37" t="n">
        <v>521</v>
      </c>
      <c r="K52" s="37" t="n">
        <v>474</v>
      </c>
      <c r="L52" s="37" t="n">
        <v>435</v>
      </c>
      <c r="M52" s="37" t="n">
        <v>529</v>
      </c>
      <c r="N52" s="37" t="n">
        <v>525</v>
      </c>
      <c r="O52" s="37" t="n">
        <v>1623</v>
      </c>
      <c r="P52" s="37" t="n">
        <v>1542</v>
      </c>
    </row>
    <row r="53">
      <c r="B53" s="36" t="inlineStr">
        <is>
          <t>凱基商業銀行</t>
        </is>
      </c>
      <c r="C53" s="37" t="n">
        <v>3773</v>
      </c>
      <c r="D53" s="37" t="n">
        <v>3178</v>
      </c>
      <c r="E53" s="37" t="n">
        <v>2476</v>
      </c>
      <c r="F53" s="37" t="n">
        <v>2111</v>
      </c>
      <c r="G53" s="37" t="n">
        <v>1859</v>
      </c>
      <c r="H53" s="37" t="n">
        <v>1668</v>
      </c>
      <c r="I53" s="37" t="n">
        <v>1551</v>
      </c>
      <c r="J53" s="37" t="n">
        <v>1388</v>
      </c>
      <c r="K53" s="37" t="n">
        <v>1300</v>
      </c>
      <c r="L53" s="37" t="n">
        <v>1153</v>
      </c>
      <c r="M53" s="37" t="n">
        <v>1089</v>
      </c>
      <c r="N53" s="37" t="n">
        <v>1070</v>
      </c>
      <c r="O53" s="37" t="n">
        <v>1074</v>
      </c>
      <c r="P53" s="37" t="n">
        <v>1123</v>
      </c>
    </row>
    <row r="54">
      <c r="B54" s="36" t="inlineStr">
        <is>
          <t>星展(台灣)商業銀行</t>
        </is>
      </c>
      <c r="C54" s="36" t="inlineStr">
        <is>
          <t>－</t>
        </is>
      </c>
      <c r="D54" s="36" t="inlineStr">
        <is>
          <t>－</t>
        </is>
      </c>
      <c r="E54" s="36" t="inlineStr">
        <is>
          <t>－</t>
        </is>
      </c>
      <c r="F54" s="36" t="inlineStr">
        <is>
          <t>－</t>
        </is>
      </c>
      <c r="G54" s="36" t="inlineStr">
        <is>
          <t>－</t>
        </is>
      </c>
      <c r="H54" s="36" t="inlineStr">
        <is>
          <t>－</t>
        </is>
      </c>
      <c r="I54" s="37" t="n">
        <v>18</v>
      </c>
      <c r="J54" s="37" t="n">
        <v>15</v>
      </c>
      <c r="K54" s="37" t="n">
        <v>16</v>
      </c>
      <c r="L54" s="37" t="n">
        <v>21</v>
      </c>
      <c r="M54" s="37" t="n">
        <v>21</v>
      </c>
      <c r="N54" s="37" t="n">
        <v>1835</v>
      </c>
      <c r="O54" s="37" t="n">
        <v>1669</v>
      </c>
      <c r="P54" s="37" t="n">
        <v>1552</v>
      </c>
    </row>
    <row r="55">
      <c r="B55" s="36" t="inlineStr">
        <is>
          <t>台灣樂天信用卡股份有限公司</t>
        </is>
      </c>
      <c r="C55" s="36" t="inlineStr">
        <is>
          <t>－</t>
        </is>
      </c>
      <c r="D55" s="36" t="inlineStr">
        <is>
          <t>－</t>
        </is>
      </c>
      <c r="E55" s="36" t="inlineStr">
        <is>
          <t>－</t>
        </is>
      </c>
      <c r="F55" s="36" t="inlineStr">
        <is>
          <t>－</t>
        </is>
      </c>
      <c r="G55" s="36" t="inlineStr">
        <is>
          <t>－</t>
        </is>
      </c>
      <c r="H55" s="36" t="inlineStr">
        <is>
          <t>－</t>
        </is>
      </c>
      <c r="I55" s="36" t="inlineStr">
        <is>
          <t>－</t>
        </is>
      </c>
      <c r="J55" s="36" t="inlineStr">
        <is>
          <t>－</t>
        </is>
      </c>
      <c r="K55" s="36" t="inlineStr">
        <is>
          <t>－</t>
        </is>
      </c>
      <c r="L55" s="37" t="n">
        <v>42</v>
      </c>
      <c r="M55" s="37" t="n">
        <v>147</v>
      </c>
      <c r="N55" s="37" t="n">
        <v>305</v>
      </c>
      <c r="O55" s="37" t="n">
        <v>383</v>
      </c>
      <c r="P55" s="37" t="n">
        <v>503</v>
      </c>
    </row>
    <row r="56">
      <c r="B56" s="36" t="inlineStr">
        <is>
          <t>台灣美國運通國際(股)公司</t>
        </is>
      </c>
      <c r="C56" s="37" t="n">
        <v>2618</v>
      </c>
      <c r="D56" s="37" t="n">
        <v>1627</v>
      </c>
      <c r="E56" s="37" t="n">
        <v>984</v>
      </c>
      <c r="F56" s="37" t="n">
        <v>677</v>
      </c>
      <c r="G56" s="37" t="n">
        <v>505</v>
      </c>
      <c r="H56" s="37" t="n">
        <v>405</v>
      </c>
      <c r="I56" s="37" t="n">
        <v>346</v>
      </c>
      <c r="J56" s="37" t="n">
        <v>332</v>
      </c>
      <c r="K56" s="37" t="n">
        <v>335</v>
      </c>
      <c r="L56" s="37" t="n">
        <v>341</v>
      </c>
      <c r="M56" s="37" t="n">
        <v>344</v>
      </c>
      <c r="N56" s="37" t="n">
        <v>374</v>
      </c>
      <c r="O56" s="37" t="n">
        <v>385</v>
      </c>
      <c r="P56" s="37" t="n">
        <v>357</v>
      </c>
    </row>
    <row r="57">
      <c r="A57" s="36" t="inlineStr">
        <is>
          <t>本月簽帳金額</t>
        </is>
      </c>
      <c r="B57" s="36" t="inlineStr">
        <is>
          <t>第一商業銀行</t>
        </is>
      </c>
      <c r="C57" s="37" t="n">
        <v>17883</v>
      </c>
      <c r="D57" s="37" t="n">
        <v>20395</v>
      </c>
      <c r="E57" s="37" t="n">
        <v>20804</v>
      </c>
      <c r="F57" s="37" t="n">
        <v>20369</v>
      </c>
      <c r="G57" s="37" t="n">
        <v>27162</v>
      </c>
      <c r="H57" s="37" t="n">
        <v>31130</v>
      </c>
      <c r="I57" s="37" t="n">
        <v>34119</v>
      </c>
      <c r="J57" s="37" t="n">
        <v>37659</v>
      </c>
      <c r="K57" s="37" t="n">
        <v>40978</v>
      </c>
      <c r="L57" s="37" t="n">
        <v>46827</v>
      </c>
      <c r="M57" s="37" t="n">
        <v>48750</v>
      </c>
      <c r="N57" s="37" t="n">
        <v>50449</v>
      </c>
      <c r="O57" s="37" t="n">
        <v>52160</v>
      </c>
      <c r="P57" s="37" t="n">
        <v>56388</v>
      </c>
    </row>
    <row r="58">
      <c r="B58" s="36" t="inlineStr">
        <is>
          <t>華南商業銀行</t>
        </is>
      </c>
      <c r="C58" s="37" t="n">
        <v>15167</v>
      </c>
      <c r="D58" s="37" t="n">
        <v>13033</v>
      </c>
      <c r="E58" s="37" t="n">
        <v>11830</v>
      </c>
      <c r="F58" s="37" t="n">
        <v>10676</v>
      </c>
      <c r="G58" s="37" t="n">
        <v>14232</v>
      </c>
      <c r="H58" s="37" t="n">
        <v>17205</v>
      </c>
      <c r="I58" s="37" t="n">
        <v>21142</v>
      </c>
      <c r="J58" s="37" t="n">
        <v>26108</v>
      </c>
      <c r="K58" s="37" t="n">
        <v>34178</v>
      </c>
      <c r="L58" s="37" t="n">
        <v>42958</v>
      </c>
      <c r="M58" s="37" t="n">
        <v>47353</v>
      </c>
      <c r="N58" s="37" t="n">
        <v>50664</v>
      </c>
      <c r="O58" s="37" t="n">
        <v>54482</v>
      </c>
      <c r="P58" s="37" t="n">
        <v>56549</v>
      </c>
    </row>
    <row r="59">
      <c r="B59" s="36" t="inlineStr">
        <is>
          <t>兆豐國際商業銀行</t>
        </is>
      </c>
      <c r="C59" s="37" t="n">
        <v>23963</v>
      </c>
      <c r="D59" s="37" t="n">
        <v>24314</v>
      </c>
      <c r="E59" s="37" t="n">
        <v>24269</v>
      </c>
      <c r="F59" s="37" t="n">
        <v>22303</v>
      </c>
      <c r="G59" s="37" t="n">
        <v>24644</v>
      </c>
      <c r="H59" s="37" t="n">
        <v>28039</v>
      </c>
      <c r="I59" s="37" t="n">
        <v>28673</v>
      </c>
      <c r="J59" s="37" t="n">
        <v>29822</v>
      </c>
      <c r="K59" s="37" t="n">
        <v>32364</v>
      </c>
      <c r="L59" s="37" t="n">
        <v>31065</v>
      </c>
      <c r="M59" s="37" t="n">
        <v>30296</v>
      </c>
      <c r="N59" s="37" t="n">
        <v>31589</v>
      </c>
      <c r="O59" s="37" t="n">
        <v>38112</v>
      </c>
      <c r="P59" s="37" t="n">
        <v>45662</v>
      </c>
    </row>
    <row r="60">
      <c r="B60" s="36" t="inlineStr">
        <is>
          <t>渣打國際商業銀行</t>
        </is>
      </c>
      <c r="C60" s="37" t="n">
        <v>13522</v>
      </c>
      <c r="D60" s="37" t="n">
        <v>17200</v>
      </c>
      <c r="E60" s="37" t="n">
        <v>18661</v>
      </c>
      <c r="F60" s="37" t="n">
        <v>15469</v>
      </c>
      <c r="G60" s="37" t="n">
        <v>15886</v>
      </c>
      <c r="H60" s="37" t="n">
        <v>16781</v>
      </c>
      <c r="I60" s="37" t="n">
        <v>18161</v>
      </c>
      <c r="J60" s="37" t="n">
        <v>20328</v>
      </c>
      <c r="K60" s="37" t="n">
        <v>19984</v>
      </c>
      <c r="L60" s="37" t="n">
        <v>18906</v>
      </c>
      <c r="M60" s="37" t="n">
        <v>16721</v>
      </c>
      <c r="N60" s="37" t="n">
        <v>15019</v>
      </c>
      <c r="O60" s="37" t="n">
        <v>25076</v>
      </c>
      <c r="P60" s="37" t="n">
        <v>36995</v>
      </c>
    </row>
    <row r="61">
      <c r="B61" s="36" t="inlineStr">
        <is>
          <t>匯豐(台灣)商業銀行</t>
        </is>
      </c>
      <c r="C61" s="36" t="inlineStr">
        <is>
          <t>－</t>
        </is>
      </c>
      <c r="D61" s="36" t="inlineStr">
        <is>
          <t>－</t>
        </is>
      </c>
      <c r="E61" s="36" t="inlineStr">
        <is>
          <t>－</t>
        </is>
      </c>
      <c r="F61" s="36" t="inlineStr">
        <is>
          <t>－</t>
        </is>
      </c>
      <c r="G61" s="37" t="n">
        <v>25200</v>
      </c>
      <c r="H61" s="37" t="n">
        <v>46764</v>
      </c>
      <c r="I61" s="37" t="n">
        <v>50658</v>
      </c>
      <c r="J61" s="37" t="n">
        <v>53420</v>
      </c>
      <c r="K61" s="37" t="n">
        <v>52203</v>
      </c>
      <c r="L61" s="37" t="n">
        <v>51664</v>
      </c>
      <c r="M61" s="37" t="n">
        <v>49848</v>
      </c>
      <c r="N61" s="37" t="n">
        <v>55712</v>
      </c>
      <c r="O61" s="37" t="n">
        <v>64925</v>
      </c>
      <c r="P61" s="37" t="n">
        <v>72681</v>
      </c>
    </row>
    <row r="62">
      <c r="B62" s="36" t="inlineStr">
        <is>
          <t>臺灣新光商業銀行</t>
        </is>
      </c>
      <c r="C62" s="37" t="n">
        <v>29775</v>
      </c>
      <c r="D62" s="37" t="n">
        <v>37614</v>
      </c>
      <c r="E62" s="37" t="n">
        <v>37144</v>
      </c>
      <c r="F62" s="37" t="n">
        <v>34409</v>
      </c>
      <c r="G62" s="37" t="n">
        <v>36905</v>
      </c>
      <c r="H62" s="37" t="n">
        <v>38247</v>
      </c>
      <c r="I62" s="37" t="n">
        <v>40321</v>
      </c>
      <c r="J62" s="37" t="n">
        <v>43325</v>
      </c>
      <c r="K62" s="37" t="n">
        <v>44601</v>
      </c>
      <c r="L62" s="37" t="n">
        <v>46106</v>
      </c>
      <c r="M62" s="37" t="n">
        <v>46839</v>
      </c>
      <c r="N62" s="37" t="n">
        <v>48640</v>
      </c>
      <c r="O62" s="37" t="n">
        <v>49530</v>
      </c>
      <c r="P62" s="37" t="n">
        <v>51717</v>
      </c>
    </row>
    <row r="63">
      <c r="B63" s="36" t="inlineStr">
        <is>
          <t>元大商業銀行</t>
        </is>
      </c>
      <c r="C63" s="37" t="n">
        <v>6765</v>
      </c>
      <c r="D63" s="37" t="n">
        <v>7248</v>
      </c>
      <c r="E63" s="37" t="n">
        <v>10355</v>
      </c>
      <c r="F63" s="37" t="n">
        <v>9509</v>
      </c>
      <c r="G63" s="37" t="n">
        <v>9379</v>
      </c>
      <c r="H63" s="37" t="n">
        <v>10374</v>
      </c>
      <c r="I63" s="37" t="n">
        <v>10358</v>
      </c>
      <c r="J63" s="37" t="n">
        <v>9622</v>
      </c>
      <c r="K63" s="37" t="n">
        <v>11535</v>
      </c>
      <c r="L63" s="37" t="n">
        <v>28558</v>
      </c>
      <c r="M63" s="37" t="n">
        <v>45803</v>
      </c>
      <c r="N63" s="37" t="n">
        <v>58341</v>
      </c>
      <c r="O63" s="37" t="n">
        <v>77370</v>
      </c>
      <c r="P63" s="37" t="n">
        <v>72963</v>
      </c>
    </row>
    <row r="64">
      <c r="B64" s="36" t="inlineStr">
        <is>
          <t>凱基商業銀行</t>
        </is>
      </c>
      <c r="C64" s="37" t="n">
        <v>13984</v>
      </c>
      <c r="D64" s="37" t="n">
        <v>11934</v>
      </c>
      <c r="E64" s="37" t="n">
        <v>12403</v>
      </c>
      <c r="F64" s="37" t="n">
        <v>10877</v>
      </c>
      <c r="G64" s="37" t="n">
        <v>11200</v>
      </c>
      <c r="H64" s="37" t="n">
        <v>10951</v>
      </c>
      <c r="I64" s="37" t="n">
        <v>10791</v>
      </c>
      <c r="J64" s="37" t="n">
        <v>10153</v>
      </c>
      <c r="K64" s="37" t="n">
        <v>9741</v>
      </c>
      <c r="L64" s="37" t="n">
        <v>11371</v>
      </c>
      <c r="M64" s="37" t="n">
        <v>12696</v>
      </c>
      <c r="N64" s="37" t="n">
        <v>12546</v>
      </c>
      <c r="O64" s="37" t="n">
        <v>12793</v>
      </c>
      <c r="P64" s="37" t="n">
        <v>12835</v>
      </c>
    </row>
    <row r="65">
      <c r="B65" s="36" t="inlineStr">
        <is>
          <t>星展(台灣)商業銀行</t>
        </is>
      </c>
      <c r="C65" s="36" t="inlineStr">
        <is>
          <t>－</t>
        </is>
      </c>
      <c r="D65" s="36" t="inlineStr">
        <is>
          <t>－</t>
        </is>
      </c>
      <c r="E65" s="36" t="inlineStr">
        <is>
          <t>－</t>
        </is>
      </c>
      <c r="F65" s="36" t="inlineStr">
        <is>
          <t>－</t>
        </is>
      </c>
      <c r="G65" s="36" t="inlineStr">
        <is>
          <t>－</t>
        </is>
      </c>
      <c r="H65" s="36" t="inlineStr">
        <is>
          <t>－</t>
        </is>
      </c>
      <c r="I65" s="37" t="n">
        <v>313</v>
      </c>
      <c r="J65" s="37" t="n">
        <v>702</v>
      </c>
      <c r="K65" s="37" t="n">
        <v>766</v>
      </c>
      <c r="L65" s="37" t="n">
        <v>746</v>
      </c>
      <c r="M65" s="37" t="n">
        <v>668</v>
      </c>
      <c r="N65" s="37" t="n">
        <v>2267</v>
      </c>
      <c r="O65" s="37" t="n">
        <v>31630</v>
      </c>
      <c r="P65" s="37" t="n">
        <v>40268</v>
      </c>
    </row>
    <row r="66">
      <c r="B66" s="36" t="inlineStr">
        <is>
          <t>台灣樂天信用卡股份有限公司</t>
        </is>
      </c>
      <c r="C66" s="36" t="inlineStr">
        <is>
          <t>－</t>
        </is>
      </c>
      <c r="D66" s="36" t="inlineStr">
        <is>
          <t>－</t>
        </is>
      </c>
      <c r="E66" s="36" t="inlineStr">
        <is>
          <t>－</t>
        </is>
      </c>
      <c r="F66" s="36" t="inlineStr">
        <is>
          <t>－</t>
        </is>
      </c>
      <c r="G66" s="36" t="inlineStr">
        <is>
          <t>－</t>
        </is>
      </c>
      <c r="H66" s="36" t="inlineStr">
        <is>
          <t>－</t>
        </is>
      </c>
      <c r="I66" s="36" t="inlineStr">
        <is>
          <t>－</t>
        </is>
      </c>
      <c r="J66" s="36" t="inlineStr">
        <is>
          <t>－</t>
        </is>
      </c>
      <c r="K66" s="37" t="n">
        <v>0</v>
      </c>
      <c r="L66" s="37" t="n">
        <v>1796</v>
      </c>
      <c r="M66" s="37" t="n">
        <v>6769</v>
      </c>
      <c r="N66" s="37" t="n">
        <v>12940</v>
      </c>
      <c r="O66" s="37" t="n">
        <v>18403</v>
      </c>
      <c r="P66" s="37" t="n">
        <v>20503</v>
      </c>
    </row>
    <row r="67">
      <c r="B67" s="36" t="inlineStr">
        <is>
          <t>台灣美國運通國際(股)公司</t>
        </is>
      </c>
      <c r="C67" s="37" t="n">
        <v>23766</v>
      </c>
      <c r="D67" s="37" t="n">
        <v>24784</v>
      </c>
      <c r="E67" s="37" t="n">
        <v>26006</v>
      </c>
      <c r="F67" s="37" t="n">
        <v>23232</v>
      </c>
      <c r="G67" s="37" t="n">
        <v>30175</v>
      </c>
      <c r="H67" s="37" t="n">
        <v>35367</v>
      </c>
      <c r="I67" s="37" t="n">
        <v>37357</v>
      </c>
      <c r="J67" s="37" t="n">
        <v>41692</v>
      </c>
      <c r="K67" s="37" t="n">
        <v>44331</v>
      </c>
      <c r="L67" s="37" t="n">
        <v>46754</v>
      </c>
      <c r="M67" s="37" t="n">
        <v>45503</v>
      </c>
      <c r="N67" s="37" t="n">
        <v>46810</v>
      </c>
      <c r="O67" s="37" t="n">
        <v>49276</v>
      </c>
      <c r="P67" s="37" t="n">
        <v>53131</v>
      </c>
    </row>
    <row r="68">
      <c r="A68" s="36" t="inlineStr">
        <is>
          <t>本月預借現金金額</t>
        </is>
      </c>
      <c r="B68" s="36" t="inlineStr">
        <is>
          <t>第一商業銀行</t>
        </is>
      </c>
      <c r="C68" s="37" t="n">
        <v>815</v>
      </c>
      <c r="D68" s="37" t="n">
        <v>208</v>
      </c>
      <c r="E68" s="37" t="n">
        <v>222</v>
      </c>
      <c r="F68" s="37" t="n">
        <v>151</v>
      </c>
      <c r="G68" s="37" t="n">
        <v>117</v>
      </c>
      <c r="H68" s="37" t="n">
        <v>158</v>
      </c>
      <c r="I68" s="37" t="n">
        <v>205</v>
      </c>
      <c r="J68" s="37" t="n">
        <v>177</v>
      </c>
      <c r="K68" s="37" t="n">
        <v>153</v>
      </c>
      <c r="L68" s="37" t="n">
        <v>177</v>
      </c>
      <c r="M68" s="37" t="n">
        <v>192</v>
      </c>
      <c r="N68" s="37" t="n">
        <v>181</v>
      </c>
      <c r="O68" s="37" t="n">
        <v>177</v>
      </c>
      <c r="P68" s="37" t="n">
        <v>126</v>
      </c>
    </row>
    <row r="69">
      <c r="B69" s="36" t="inlineStr">
        <is>
          <t>華南商業銀行</t>
        </is>
      </c>
      <c r="C69" s="37" t="n">
        <v>143</v>
      </c>
      <c r="D69" s="36" t="inlineStr">
        <is>
          <t>－</t>
        </is>
      </c>
      <c r="E69" s="36" t="inlineStr">
        <is>
          <t>－</t>
        </is>
      </c>
      <c r="F69" s="36" t="inlineStr">
        <is>
          <t>－</t>
        </is>
      </c>
      <c r="G69" s="36" t="inlineStr">
        <is>
          <t>－</t>
        </is>
      </c>
      <c r="H69" s="37" t="n">
        <v>9</v>
      </c>
      <c r="I69" s="37" t="n">
        <v>13</v>
      </c>
      <c r="J69" s="37" t="n">
        <v>14</v>
      </c>
      <c r="K69" s="37" t="n">
        <v>12</v>
      </c>
      <c r="L69" s="37" t="n">
        <v>11</v>
      </c>
      <c r="M69" s="37" t="n">
        <v>14</v>
      </c>
      <c r="N69" s="37" t="n">
        <v>20</v>
      </c>
      <c r="O69" s="37" t="n">
        <v>21</v>
      </c>
      <c r="P69" s="37" t="n">
        <v>19</v>
      </c>
    </row>
    <row r="70">
      <c r="B70" s="36" t="inlineStr">
        <is>
          <t>兆豐國際商業銀行</t>
        </is>
      </c>
      <c r="C70" s="37" t="n">
        <v>1206</v>
      </c>
      <c r="D70" s="37" t="n">
        <v>550</v>
      </c>
      <c r="E70" s="37" t="n">
        <v>631</v>
      </c>
      <c r="F70" s="37" t="n">
        <v>268</v>
      </c>
      <c r="G70" s="37" t="n">
        <v>219</v>
      </c>
      <c r="H70" s="37" t="n">
        <v>188</v>
      </c>
      <c r="I70" s="37" t="n">
        <v>146</v>
      </c>
      <c r="J70" s="37" t="n">
        <v>120</v>
      </c>
      <c r="K70" s="37" t="n">
        <v>102</v>
      </c>
      <c r="L70" s="37" t="n">
        <v>87</v>
      </c>
      <c r="M70" s="37" t="n">
        <v>70</v>
      </c>
      <c r="N70" s="37" t="n">
        <v>54</v>
      </c>
      <c r="O70" s="37" t="n">
        <v>55</v>
      </c>
      <c r="P70" s="37" t="n">
        <v>49</v>
      </c>
    </row>
    <row r="71">
      <c r="B71" s="36" t="inlineStr">
        <is>
          <t>渣打國際商業銀行</t>
        </is>
      </c>
      <c r="C71" s="37" t="n">
        <v>823</v>
      </c>
      <c r="D71" s="37" t="n">
        <v>567</v>
      </c>
      <c r="E71" s="37" t="n">
        <v>306</v>
      </c>
      <c r="F71" s="37" t="n">
        <v>161</v>
      </c>
      <c r="G71" s="37" t="n">
        <v>186</v>
      </c>
      <c r="H71" s="37" t="n">
        <v>192</v>
      </c>
      <c r="I71" s="37" t="n">
        <v>170</v>
      </c>
      <c r="J71" s="37" t="n">
        <v>161</v>
      </c>
      <c r="K71" s="37" t="n">
        <v>127</v>
      </c>
      <c r="L71" s="37" t="n">
        <v>117</v>
      </c>
      <c r="M71" s="37" t="n">
        <v>99</v>
      </c>
      <c r="N71" s="37" t="n">
        <v>112</v>
      </c>
      <c r="O71" s="37" t="n">
        <v>90</v>
      </c>
      <c r="P71" s="37" t="n">
        <v>78</v>
      </c>
    </row>
    <row r="72">
      <c r="B72" s="36" t="inlineStr">
        <is>
          <t>匯豐(台灣)商業銀行</t>
        </is>
      </c>
      <c r="C72" s="36" t="inlineStr">
        <is>
          <t>－</t>
        </is>
      </c>
      <c r="D72" s="36" t="inlineStr">
        <is>
          <t>－</t>
        </is>
      </c>
      <c r="E72" s="36" t="inlineStr">
        <is>
          <t>－</t>
        </is>
      </c>
      <c r="F72" s="36" t="inlineStr">
        <is>
          <t>－</t>
        </is>
      </c>
      <c r="G72" s="37" t="n">
        <v>626</v>
      </c>
      <c r="H72" s="37" t="n">
        <v>1431</v>
      </c>
      <c r="I72" s="37" t="n">
        <v>1024</v>
      </c>
      <c r="J72" s="37" t="n">
        <v>951</v>
      </c>
      <c r="K72" s="37" t="n">
        <v>752</v>
      </c>
      <c r="L72" s="37" t="n">
        <v>675</v>
      </c>
      <c r="M72" s="37" t="n">
        <v>599</v>
      </c>
      <c r="N72" s="37" t="n">
        <v>523</v>
      </c>
      <c r="O72" s="37" t="n">
        <v>507</v>
      </c>
      <c r="P72" s="37" t="n">
        <v>401</v>
      </c>
    </row>
    <row r="73">
      <c r="B73" s="36" t="inlineStr">
        <is>
          <t>臺灣新光商業銀行</t>
        </is>
      </c>
      <c r="C73" s="37" t="n">
        <v>777</v>
      </c>
      <c r="D73" s="37" t="n">
        <v>684</v>
      </c>
      <c r="E73" s="37" t="n">
        <v>832</v>
      </c>
      <c r="F73" s="37" t="n">
        <v>565</v>
      </c>
      <c r="G73" s="37" t="n">
        <v>867</v>
      </c>
      <c r="H73" s="37" t="n">
        <v>756</v>
      </c>
      <c r="I73" s="37" t="n">
        <v>549</v>
      </c>
      <c r="J73" s="37" t="n">
        <v>374</v>
      </c>
      <c r="K73" s="37" t="n">
        <v>286</v>
      </c>
      <c r="L73" s="37" t="n">
        <v>277</v>
      </c>
      <c r="M73" s="37" t="n">
        <v>201</v>
      </c>
      <c r="N73" s="37" t="n">
        <v>133</v>
      </c>
      <c r="O73" s="37" t="n">
        <v>123</v>
      </c>
      <c r="P73" s="37" t="n">
        <v>109</v>
      </c>
    </row>
    <row r="74">
      <c r="B74" s="36" t="inlineStr">
        <is>
          <t>元大商業銀行</t>
        </is>
      </c>
      <c r="C74" s="37" t="n">
        <v>371</v>
      </c>
      <c r="D74" s="37" t="n">
        <v>92</v>
      </c>
      <c r="E74" s="37" t="n">
        <v>100</v>
      </c>
      <c r="F74" s="37" t="n">
        <v>75</v>
      </c>
      <c r="G74" s="37" t="n">
        <v>55</v>
      </c>
      <c r="H74" s="37" t="n">
        <v>41</v>
      </c>
      <c r="I74" s="37" t="n">
        <v>26</v>
      </c>
      <c r="J74" s="37" t="n">
        <v>17</v>
      </c>
      <c r="K74" s="37" t="n">
        <v>14</v>
      </c>
      <c r="L74" s="37" t="n">
        <v>13</v>
      </c>
      <c r="M74" s="37" t="n">
        <v>10</v>
      </c>
      <c r="N74" s="37" t="n">
        <v>9</v>
      </c>
      <c r="O74" s="37" t="n">
        <v>279</v>
      </c>
      <c r="P74" s="37" t="n">
        <v>255</v>
      </c>
    </row>
    <row r="75">
      <c r="B75" s="36" t="inlineStr">
        <is>
          <t>凱基商業銀行</t>
        </is>
      </c>
      <c r="C75" s="37" t="n">
        <v>628</v>
      </c>
      <c r="D75" s="37" t="n">
        <v>474</v>
      </c>
      <c r="E75" s="37" t="n">
        <v>417</v>
      </c>
      <c r="F75" s="37" t="n">
        <v>304</v>
      </c>
      <c r="G75" s="37" t="n">
        <v>141</v>
      </c>
      <c r="H75" s="37" t="n">
        <v>165</v>
      </c>
      <c r="I75" s="37" t="n">
        <v>174</v>
      </c>
      <c r="J75" s="37" t="n">
        <v>159</v>
      </c>
      <c r="K75" s="37" t="n">
        <v>147</v>
      </c>
      <c r="L75" s="37" t="n">
        <v>134</v>
      </c>
      <c r="M75" s="37" t="n">
        <v>121</v>
      </c>
      <c r="N75" s="37" t="n">
        <v>99</v>
      </c>
      <c r="O75" s="37" t="n">
        <v>93</v>
      </c>
      <c r="P75" s="37" t="n">
        <v>90</v>
      </c>
    </row>
    <row r="76">
      <c r="B76" s="36" t="inlineStr">
        <is>
          <t>星展(台灣)商業銀行</t>
        </is>
      </c>
      <c r="C76" s="36" t="inlineStr">
        <is>
          <t>－</t>
        </is>
      </c>
      <c r="D76" s="36" t="inlineStr">
        <is>
          <t>－</t>
        </is>
      </c>
      <c r="E76" s="36" t="inlineStr">
        <is>
          <t>－</t>
        </is>
      </c>
      <c r="F76" s="36" t="inlineStr">
        <is>
          <t>－</t>
        </is>
      </c>
      <c r="G76" s="36" t="inlineStr">
        <is>
          <t>－</t>
        </is>
      </c>
      <c r="H76" s="36" t="inlineStr">
        <is>
          <t>－</t>
        </is>
      </c>
      <c r="I76" s="37" t="n">
        <v>2</v>
      </c>
      <c r="J76" s="37" t="n">
        <v>1</v>
      </c>
      <c r="K76" s="37" t="n">
        <v>0</v>
      </c>
      <c r="L76" s="37" t="n">
        <v>0</v>
      </c>
      <c r="M76" s="37" t="n">
        <v>0</v>
      </c>
      <c r="N76" s="37" t="n">
        <v>12</v>
      </c>
      <c r="O76" s="37" t="n">
        <v>278</v>
      </c>
      <c r="P76" s="37" t="n">
        <v>289</v>
      </c>
    </row>
    <row r="77">
      <c r="B77" s="36" t="inlineStr">
        <is>
          <t>台灣樂天信用卡股份有限公司</t>
        </is>
      </c>
      <c r="C77" s="36" t="inlineStr">
        <is>
          <t>－</t>
        </is>
      </c>
      <c r="D77" s="36" t="inlineStr">
        <is>
          <t>－</t>
        </is>
      </c>
      <c r="E77" s="36" t="inlineStr">
        <is>
          <t>－</t>
        </is>
      </c>
      <c r="F77" s="36" t="inlineStr">
        <is>
          <t>－</t>
        </is>
      </c>
      <c r="G77" s="36" t="inlineStr">
        <is>
          <t>－</t>
        </is>
      </c>
      <c r="H77" s="36" t="inlineStr">
        <is>
          <t>－</t>
        </is>
      </c>
      <c r="I77" s="36" t="inlineStr">
        <is>
          <t>－</t>
        </is>
      </c>
      <c r="J77" s="36" t="inlineStr">
        <is>
          <t>－</t>
        </is>
      </c>
      <c r="K77" s="36" t="inlineStr">
        <is>
          <t>－</t>
        </is>
      </c>
      <c r="L77" s="37" t="n">
        <v>2</v>
      </c>
      <c r="M77" s="37" t="n">
        <v>16</v>
      </c>
      <c r="N77" s="37" t="n">
        <v>28</v>
      </c>
      <c r="O77" s="37" t="n">
        <v>35</v>
      </c>
      <c r="P77" s="37" t="n">
        <v>39</v>
      </c>
    </row>
    <row r="78">
      <c r="B78" s="36" t="inlineStr">
        <is>
          <t>台灣美國運通國際(股)公司</t>
        </is>
      </c>
      <c r="C78" s="37" t="n">
        <v>55</v>
      </c>
      <c r="D78" s="37" t="n">
        <v>27</v>
      </c>
      <c r="E78" s="37" t="n">
        <v>23</v>
      </c>
      <c r="F78" s="37" t="n">
        <v>21</v>
      </c>
      <c r="G78" s="37" t="n">
        <v>3</v>
      </c>
      <c r="H78" s="37" t="n">
        <v>1</v>
      </c>
      <c r="I78" s="37" t="n">
        <v>0</v>
      </c>
      <c r="J78" s="37" t="n">
        <v>0</v>
      </c>
      <c r="K78" s="37" t="n">
        <v>0</v>
      </c>
      <c r="L78" s="37" t="n">
        <v>11</v>
      </c>
      <c r="M78" s="37" t="n">
        <v>19</v>
      </c>
      <c r="N78" s="37" t="n">
        <v>21</v>
      </c>
      <c r="O78" s="37" t="n">
        <v>22</v>
      </c>
      <c r="P78" s="37" t="n">
        <v>23</v>
      </c>
    </row>
    <row r="79">
      <c r="A79" s="36" t="inlineStr">
        <is>
          <t>逾期帳款比率(%)</t>
        </is>
      </c>
      <c r="B79" s="36" t="inlineStr">
        <is>
          <t>第一商業銀行</t>
        </is>
      </c>
      <c r="C79" s="37" t="n">
        <v>1.59</v>
      </c>
      <c r="D79" s="37" t="n">
        <v>0.63</v>
      </c>
      <c r="E79" s="37" t="n">
        <v>0.52</v>
      </c>
      <c r="F79" s="37" t="n">
        <v>0.1</v>
      </c>
      <c r="G79" s="37" t="n">
        <v>0.19</v>
      </c>
      <c r="H79" s="37" t="n">
        <v>0.13</v>
      </c>
      <c r="I79" s="37" t="n">
        <v>0.13</v>
      </c>
      <c r="J79" s="37" t="n">
        <v>0.16</v>
      </c>
      <c r="K79" s="37" t="n">
        <v>0.2</v>
      </c>
      <c r="L79" s="37" t="n">
        <v>0.16</v>
      </c>
      <c r="M79" s="37" t="n">
        <v>0.18</v>
      </c>
      <c r="N79" s="37" t="n">
        <v>0.18</v>
      </c>
      <c r="O79" s="37" t="n">
        <v>0.16</v>
      </c>
      <c r="P79" s="37" t="n">
        <v>0.12</v>
      </c>
    </row>
    <row r="80">
      <c r="B80" s="36" t="inlineStr">
        <is>
          <t>華南商業銀行</t>
        </is>
      </c>
      <c r="C80" s="37" t="n">
        <v>2.88</v>
      </c>
      <c r="D80" s="37" t="n">
        <v>2.63</v>
      </c>
      <c r="E80" s="37" t="n">
        <v>0.34</v>
      </c>
      <c r="F80" s="37" t="n">
        <v>0.58</v>
      </c>
      <c r="G80" s="37" t="n">
        <v>0.39</v>
      </c>
      <c r="H80" s="37" t="n">
        <v>0.05</v>
      </c>
      <c r="I80" s="37" t="n">
        <v>0.1</v>
      </c>
      <c r="J80" s="37" t="n">
        <v>0.09</v>
      </c>
      <c r="K80" s="37" t="n">
        <v>0.04</v>
      </c>
      <c r="L80" s="37" t="n">
        <v>0.04</v>
      </c>
      <c r="M80" s="37" t="n">
        <v>0.06</v>
      </c>
      <c r="N80" s="37" t="n">
        <v>0.04</v>
      </c>
      <c r="O80" s="37" t="n">
        <v>0.07000000000000001</v>
      </c>
      <c r="P80" s="37" t="n">
        <v>0.05</v>
      </c>
    </row>
    <row r="81">
      <c r="B81" s="36" t="inlineStr">
        <is>
          <t>兆豐國際商業銀行</t>
        </is>
      </c>
      <c r="C81" s="37" t="n">
        <v>1.96</v>
      </c>
      <c r="D81" s="37" t="n">
        <v>1.86</v>
      </c>
      <c r="E81" s="37" t="n">
        <v>1.64</v>
      </c>
      <c r="F81" s="37" t="n">
        <v>0.97</v>
      </c>
      <c r="G81" s="37" t="n">
        <v>0.5</v>
      </c>
      <c r="H81" s="37" t="n">
        <v>0.21</v>
      </c>
      <c r="I81" s="37" t="n">
        <v>0.25</v>
      </c>
      <c r="J81" s="37" t="n">
        <v>0.23</v>
      </c>
      <c r="K81" s="37" t="n">
        <v>0.18</v>
      </c>
      <c r="L81" s="37" t="n">
        <v>0.2</v>
      </c>
      <c r="M81" s="37" t="n">
        <v>0.19</v>
      </c>
      <c r="N81" s="37" t="n">
        <v>0.2</v>
      </c>
      <c r="O81" s="37" t="n">
        <v>0.17</v>
      </c>
      <c r="P81" s="37" t="n">
        <v>0.18</v>
      </c>
    </row>
    <row r="82">
      <c r="B82" s="36" t="inlineStr">
        <is>
          <t>渣打國際商業銀行</t>
        </is>
      </c>
      <c r="C82" s="37" t="n">
        <v>1.03</v>
      </c>
      <c r="D82" s="37" t="n">
        <v>1.01</v>
      </c>
      <c r="E82" s="37" t="n">
        <v>1.03</v>
      </c>
      <c r="F82" s="37" t="n">
        <v>0.6</v>
      </c>
      <c r="G82" s="37" t="n">
        <v>0.34</v>
      </c>
      <c r="H82" s="37" t="n">
        <v>0.34</v>
      </c>
      <c r="I82" s="37" t="n">
        <v>0.72</v>
      </c>
      <c r="J82" s="37" t="n">
        <v>0.65</v>
      </c>
      <c r="K82" s="37" t="n">
        <v>0.47</v>
      </c>
      <c r="L82" s="37" t="n">
        <v>0.5</v>
      </c>
      <c r="M82" s="37" t="n">
        <v>0.4</v>
      </c>
      <c r="N82" s="37" t="n">
        <v>0.41</v>
      </c>
      <c r="O82" s="37" t="n">
        <v>0.27</v>
      </c>
      <c r="P82" s="37" t="n">
        <v>0.21</v>
      </c>
    </row>
    <row r="83">
      <c r="B83" s="36" t="inlineStr">
        <is>
          <t>匯豐(台灣)商業銀行</t>
        </is>
      </c>
      <c r="C83" s="36" t="inlineStr">
        <is>
          <t>－</t>
        </is>
      </c>
      <c r="D83" s="36" t="inlineStr">
        <is>
          <t>－</t>
        </is>
      </c>
      <c r="E83" s="36" t="inlineStr">
        <is>
          <t>－</t>
        </is>
      </c>
      <c r="F83" s="36" t="inlineStr">
        <is>
          <t>－</t>
        </is>
      </c>
      <c r="G83" s="37" t="n">
        <v>0.42</v>
      </c>
      <c r="H83" s="37" t="n">
        <v>0.32</v>
      </c>
      <c r="I83" s="37" t="n">
        <v>0.37</v>
      </c>
      <c r="J83" s="37" t="n">
        <v>0.25</v>
      </c>
      <c r="K83" s="37" t="n">
        <v>0.24</v>
      </c>
      <c r="L83" s="37" t="n">
        <v>0.24</v>
      </c>
      <c r="M83" s="37" t="n">
        <v>0.28</v>
      </c>
      <c r="N83" s="37" t="n">
        <v>0.22</v>
      </c>
      <c r="O83" s="37" t="n">
        <v>0.2</v>
      </c>
      <c r="P83" s="37" t="n">
        <v>0.19</v>
      </c>
    </row>
    <row r="84">
      <c r="B84" s="36" t="inlineStr">
        <is>
          <t>臺灣新光商業銀行</t>
        </is>
      </c>
      <c r="C84" s="37" t="n">
        <v>2.48</v>
      </c>
      <c r="D84" s="37" t="n">
        <v>1.52</v>
      </c>
      <c r="E84" s="37" t="n">
        <v>1.94</v>
      </c>
      <c r="F84" s="37" t="n">
        <v>1.11</v>
      </c>
      <c r="G84" s="37" t="n">
        <v>0.36</v>
      </c>
      <c r="H84" s="37" t="n">
        <v>0.22</v>
      </c>
      <c r="I84" s="37" t="n">
        <v>0.25</v>
      </c>
      <c r="J84" s="37" t="n">
        <v>0.16</v>
      </c>
      <c r="K84" s="37" t="n">
        <v>0.16</v>
      </c>
      <c r="L84" s="37" t="n">
        <v>0.2</v>
      </c>
      <c r="M84" s="37" t="n">
        <v>0.26</v>
      </c>
      <c r="N84" s="37" t="n">
        <v>0.25</v>
      </c>
      <c r="O84" s="37" t="n">
        <v>0.23</v>
      </c>
      <c r="P84" s="37" t="n">
        <v>0.2</v>
      </c>
    </row>
    <row r="85">
      <c r="B85" s="36" t="inlineStr">
        <is>
          <t>元大商業銀行</t>
        </is>
      </c>
      <c r="C85" s="37" t="n">
        <v>1.86</v>
      </c>
      <c r="D85" s="37" t="n">
        <v>2.04</v>
      </c>
      <c r="E85" s="37" t="n">
        <v>0.93</v>
      </c>
      <c r="F85" s="37" t="n">
        <v>1.28</v>
      </c>
      <c r="G85" s="37" t="n">
        <v>1.1</v>
      </c>
      <c r="H85" s="37" t="n">
        <v>0.4</v>
      </c>
      <c r="I85" s="37" t="n">
        <v>0.38</v>
      </c>
      <c r="J85" s="37" t="n">
        <v>0.33</v>
      </c>
      <c r="K85" s="37" t="n">
        <v>0.27</v>
      </c>
      <c r="L85" s="37" t="n">
        <v>0.15</v>
      </c>
      <c r="M85" s="37" t="n">
        <v>0.12</v>
      </c>
      <c r="N85" s="37" t="n">
        <v>0.07000000000000001</v>
      </c>
      <c r="O85" s="37" t="n">
        <v>0.08</v>
      </c>
      <c r="P85" s="37" t="n">
        <v>0.08</v>
      </c>
    </row>
    <row r="86">
      <c r="B86" s="36" t="inlineStr">
        <is>
          <t>凱基商業銀行</t>
        </is>
      </c>
      <c r="C86" s="37" t="n">
        <v>0.88</v>
      </c>
      <c r="D86" s="37" t="n">
        <v>3.1</v>
      </c>
      <c r="E86" s="37" t="n">
        <v>2.02</v>
      </c>
      <c r="F86" s="37" t="n">
        <v>1.42</v>
      </c>
      <c r="G86" s="37" t="n">
        <v>0.75</v>
      </c>
      <c r="H86" s="37" t="n">
        <v>0.87</v>
      </c>
      <c r="I86" s="37" t="n">
        <v>1.12</v>
      </c>
      <c r="J86" s="37" t="n">
        <v>1.11</v>
      </c>
      <c r="K86" s="37" t="n">
        <v>1.32</v>
      </c>
      <c r="L86" s="37" t="n">
        <v>1.52</v>
      </c>
      <c r="M86" s="37" t="n">
        <v>0.97</v>
      </c>
      <c r="N86" s="37" t="n">
        <v>0.77</v>
      </c>
      <c r="O86" s="37" t="n">
        <v>0.63</v>
      </c>
      <c r="P86" s="37" t="n">
        <v>0.73</v>
      </c>
    </row>
    <row r="87">
      <c r="B87" s="36" t="inlineStr">
        <is>
          <t>星展(台灣)商業銀行</t>
        </is>
      </c>
      <c r="C87" s="36" t="inlineStr">
        <is>
          <t>－</t>
        </is>
      </c>
      <c r="D87" s="36" t="inlineStr">
        <is>
          <t>－</t>
        </is>
      </c>
      <c r="E87" s="36" t="inlineStr">
        <is>
          <t>－</t>
        </is>
      </c>
      <c r="F87" s="36" t="inlineStr">
        <is>
          <t>－</t>
        </is>
      </c>
      <c r="G87" s="36" t="inlineStr">
        <is>
          <t>－</t>
        </is>
      </c>
      <c r="H87" s="36" t="inlineStr">
        <is>
          <t>－</t>
        </is>
      </c>
      <c r="I87" s="37" t="n">
        <v>0.03</v>
      </c>
      <c r="J87" s="37" t="n">
        <v>1.46</v>
      </c>
      <c r="K87" s="37" t="n">
        <v>1.29</v>
      </c>
      <c r="L87" s="37" t="n">
        <v>0.28</v>
      </c>
      <c r="M87" s="37" t="n">
        <v>0.96</v>
      </c>
      <c r="N87" s="37" t="n">
        <v>0.64</v>
      </c>
      <c r="O87" s="37" t="n">
        <v>0.46</v>
      </c>
      <c r="P87" s="37" t="n">
        <v>0.48</v>
      </c>
    </row>
    <row r="88">
      <c r="B88" s="36" t="inlineStr">
        <is>
          <t>台灣樂天信用卡股份有限公司</t>
        </is>
      </c>
      <c r="C88" s="36" t="inlineStr">
        <is>
          <t>－</t>
        </is>
      </c>
      <c r="D88" s="36" t="inlineStr">
        <is>
          <t>－</t>
        </is>
      </c>
      <c r="E88" s="36" t="inlineStr">
        <is>
          <t>－</t>
        </is>
      </c>
      <c r="F88" s="36" t="inlineStr">
        <is>
          <t>－</t>
        </is>
      </c>
      <c r="G88" s="36" t="inlineStr">
        <is>
          <t>－</t>
        </is>
      </c>
      <c r="H88" s="36" t="inlineStr">
        <is>
          <t>－</t>
        </is>
      </c>
      <c r="I88" s="36" t="inlineStr">
        <is>
          <t>－</t>
        </is>
      </c>
      <c r="J88" s="36" t="inlineStr">
        <is>
          <t>－</t>
        </is>
      </c>
      <c r="K88" s="36" t="inlineStr">
        <is>
          <t>－</t>
        </is>
      </c>
      <c r="L88" s="37" t="n">
        <v>0.05</v>
      </c>
      <c r="M88" s="37" t="n">
        <v>0.18</v>
      </c>
      <c r="N88" s="37" t="n">
        <v>0.2</v>
      </c>
      <c r="O88" s="37" t="n">
        <v>0.25</v>
      </c>
      <c r="P88" s="37" t="n">
        <v>0.34</v>
      </c>
    </row>
    <row r="89">
      <c r="B89" s="36" t="inlineStr">
        <is>
          <t>台灣美國運通國際(股)公司</t>
        </is>
      </c>
      <c r="C89" s="37" t="n">
        <v>0.6899999999999999</v>
      </c>
      <c r="D89" s="37" t="n">
        <v>0.26</v>
      </c>
      <c r="E89" s="37" t="n">
        <v>0.51</v>
      </c>
      <c r="F89" s="37" t="n">
        <v>0.54</v>
      </c>
      <c r="G89" s="37" t="n">
        <v>0.2</v>
      </c>
      <c r="H89" s="37" t="n">
        <v>0.26</v>
      </c>
      <c r="I89" s="37" t="n">
        <v>0.1</v>
      </c>
      <c r="J89" s="37" t="n">
        <v>0.33</v>
      </c>
      <c r="K89" s="37" t="n">
        <v>0.19</v>
      </c>
      <c r="L89" s="37" t="n">
        <v>0.11</v>
      </c>
      <c r="M89" s="37" t="n">
        <v>0.19</v>
      </c>
      <c r="N89" s="37" t="n">
        <v>0.29</v>
      </c>
      <c r="O89" s="37" t="n">
        <v>0.12</v>
      </c>
      <c r="P89" s="37" t="n">
        <v>0.27</v>
      </c>
    </row>
    <row r="90">
      <c r="A90" s="36" t="inlineStr">
        <is>
          <t>備抵呆帳提足率(%)</t>
        </is>
      </c>
      <c r="B90" s="36" t="inlineStr">
        <is>
          <t>第一商業銀行</t>
        </is>
      </c>
      <c r="C90" s="37" t="n">
        <v>184.24</v>
      </c>
      <c r="D90" s="37" t="n">
        <v>300.56</v>
      </c>
      <c r="E90" s="37" t="n">
        <v>234.61</v>
      </c>
      <c r="F90" s="37" t="n">
        <v>486.72</v>
      </c>
      <c r="G90" s="37" t="n">
        <v>1187.77</v>
      </c>
      <c r="H90" s="37" t="n">
        <v>2537.53</v>
      </c>
      <c r="I90" s="37" t="n">
        <v>2136.59</v>
      </c>
      <c r="J90" s="37" t="n">
        <v>2199.48</v>
      </c>
      <c r="K90" s="37" t="n">
        <v>1628.93</v>
      </c>
      <c r="L90" s="37" t="n">
        <v>1867.11</v>
      </c>
      <c r="M90" s="37" t="n">
        <v>1725.62</v>
      </c>
      <c r="N90" s="37" t="n">
        <v>1757.97</v>
      </c>
      <c r="O90" s="37" t="n">
        <v>1406.18</v>
      </c>
      <c r="P90" s="37" t="n">
        <v>1561.83</v>
      </c>
    </row>
    <row r="91">
      <c r="B91" s="36" t="inlineStr">
        <is>
          <t>華南商業銀行</t>
        </is>
      </c>
      <c r="C91" s="37" t="n">
        <v>176.98</v>
      </c>
      <c r="D91" s="37" t="n">
        <v>100.07</v>
      </c>
      <c r="E91" s="37" t="n">
        <v>107.06</v>
      </c>
      <c r="F91" s="37" t="n">
        <v>188.76</v>
      </c>
      <c r="G91" s="37" t="n">
        <v>106.6</v>
      </c>
      <c r="H91" s="37" t="n">
        <v>592.74</v>
      </c>
      <c r="I91" s="37" t="n">
        <v>423.67</v>
      </c>
      <c r="J91" s="37" t="n">
        <v>1390.19</v>
      </c>
      <c r="K91" s="37" t="n">
        <v>1762.08</v>
      </c>
      <c r="L91" s="37" t="n">
        <v>1189.1</v>
      </c>
      <c r="M91" s="37" t="n">
        <v>904.5</v>
      </c>
      <c r="N91" s="37" t="n">
        <v>954.4</v>
      </c>
      <c r="O91" s="37" t="n">
        <v>658.9</v>
      </c>
      <c r="P91" s="37" t="n">
        <v>600.8099999999999</v>
      </c>
    </row>
    <row r="92">
      <c r="B92" s="36" t="inlineStr">
        <is>
          <t>兆豐國際商業銀行</t>
        </is>
      </c>
      <c r="C92" s="37" t="n">
        <v>584.98</v>
      </c>
      <c r="D92" s="37" t="n">
        <v>355.42</v>
      </c>
      <c r="E92" s="37" t="n">
        <v>275.79</v>
      </c>
      <c r="F92" s="37" t="n">
        <v>239.59</v>
      </c>
      <c r="G92" s="37" t="n">
        <v>385.24</v>
      </c>
      <c r="H92" s="37" t="n">
        <v>861.11</v>
      </c>
      <c r="I92" s="37" t="n">
        <v>871.9</v>
      </c>
      <c r="J92" s="37" t="n">
        <v>747.1799999999999</v>
      </c>
      <c r="K92" s="37" t="n">
        <v>828.84</v>
      </c>
      <c r="L92" s="37" t="n">
        <v>569.1799999999999</v>
      </c>
      <c r="M92" s="37" t="n">
        <v>590.29</v>
      </c>
      <c r="N92" s="37" t="n">
        <v>515.4299999999999</v>
      </c>
      <c r="O92" s="37" t="n">
        <v>729.33</v>
      </c>
      <c r="P92" s="37" t="n">
        <v>665.28</v>
      </c>
    </row>
    <row r="93">
      <c r="B93" s="36" t="inlineStr">
        <is>
          <t>渣打國際商業銀行</t>
        </is>
      </c>
      <c r="C93" s="37" t="n">
        <v>122.89</v>
      </c>
      <c r="D93" s="37" t="n">
        <v>100.98</v>
      </c>
      <c r="E93" s="37" t="n">
        <v>101.27</v>
      </c>
      <c r="F93" s="37" t="n">
        <v>273.8</v>
      </c>
      <c r="G93" s="37" t="n">
        <v>1413.88</v>
      </c>
      <c r="H93" s="37" t="n">
        <v>3637.02</v>
      </c>
      <c r="I93" s="37" t="n">
        <v>367.13</v>
      </c>
      <c r="J93" s="37" t="n">
        <v>423.27</v>
      </c>
      <c r="K93" s="37" t="n">
        <v>469.29</v>
      </c>
      <c r="L93" s="37" t="n">
        <v>484.97</v>
      </c>
      <c r="M93" s="37" t="n">
        <v>549.4299999999999</v>
      </c>
      <c r="N93" s="37" t="n">
        <v>573.11</v>
      </c>
      <c r="O93" s="37" t="n">
        <v>986.4299999999999</v>
      </c>
      <c r="P93" s="37" t="n">
        <v>1002.42</v>
      </c>
    </row>
    <row r="94">
      <c r="B94" s="36" t="inlineStr">
        <is>
          <t>匯豐(台灣)商業銀行</t>
        </is>
      </c>
      <c r="C94" s="36" t="inlineStr">
        <is>
          <t>－</t>
        </is>
      </c>
      <c r="D94" s="36" t="inlineStr">
        <is>
          <t>－</t>
        </is>
      </c>
      <c r="E94" s="36" t="inlineStr">
        <is>
          <t>－</t>
        </is>
      </c>
      <c r="F94" s="36" t="inlineStr">
        <is>
          <t>－</t>
        </is>
      </c>
      <c r="G94" s="37" t="n">
        <v>1618.57</v>
      </c>
      <c r="H94" s="37" t="n">
        <v>1731.61</v>
      </c>
      <c r="I94" s="37" t="n">
        <v>1387.95</v>
      </c>
      <c r="J94" s="37" t="n">
        <v>1941.87</v>
      </c>
      <c r="K94" s="37" t="n">
        <v>2205.82</v>
      </c>
      <c r="L94" s="37" t="n">
        <v>2658.83</v>
      </c>
      <c r="M94" s="37" t="n">
        <v>2434.91</v>
      </c>
      <c r="N94" s="37" t="n">
        <v>2616.41</v>
      </c>
      <c r="O94" s="37" t="n">
        <v>3030.81</v>
      </c>
      <c r="P94" s="37" t="n">
        <v>1908.5</v>
      </c>
    </row>
    <row r="95">
      <c r="B95" s="36" t="inlineStr">
        <is>
          <t>臺灣新光商業銀行</t>
        </is>
      </c>
      <c r="C95" s="37" t="n">
        <v>753.11</v>
      </c>
      <c r="D95" s="37" t="n">
        <v>425.53</v>
      </c>
      <c r="E95" s="37" t="n">
        <v>237.95</v>
      </c>
      <c r="F95" s="37" t="n">
        <v>405.9</v>
      </c>
      <c r="G95" s="37" t="n">
        <v>987.21</v>
      </c>
      <c r="H95" s="37" t="n">
        <v>466.35</v>
      </c>
      <c r="I95" s="37" t="n">
        <v>418.2</v>
      </c>
      <c r="J95" s="37" t="n">
        <v>500.96</v>
      </c>
      <c r="K95" s="37" t="n">
        <v>250.99</v>
      </c>
      <c r="L95" s="37" t="n">
        <v>237.16</v>
      </c>
      <c r="M95" s="37" t="n">
        <v>228.32</v>
      </c>
      <c r="N95" s="37" t="n">
        <v>218.36</v>
      </c>
      <c r="O95" s="37" t="n">
        <v>275.06</v>
      </c>
      <c r="P95" s="37" t="n">
        <v>231.72</v>
      </c>
    </row>
    <row r="96">
      <c r="B96" s="36" t="inlineStr">
        <is>
          <t>元大商業銀行</t>
        </is>
      </c>
      <c r="C96" s="37" t="n">
        <v>1189.81</v>
      </c>
      <c r="D96" s="37" t="n">
        <v>579.05</v>
      </c>
      <c r="E96" s="37" t="n">
        <v>595.12</v>
      </c>
      <c r="F96" s="37" t="n">
        <v>317.95</v>
      </c>
      <c r="G96" s="37" t="n">
        <v>495.72</v>
      </c>
      <c r="H96" s="37" t="n">
        <v>2853.26</v>
      </c>
      <c r="I96" s="37" t="n">
        <v>1262.81</v>
      </c>
      <c r="J96" s="37" t="n">
        <v>1103.11</v>
      </c>
      <c r="K96" s="37" t="n">
        <v>1005.65</v>
      </c>
      <c r="L96" s="37" t="n">
        <v>1103.74</v>
      </c>
      <c r="M96" s="37" t="n">
        <v>1171.18</v>
      </c>
      <c r="N96" s="37" t="n">
        <v>1487.84</v>
      </c>
      <c r="O96" s="37" t="n">
        <v>1111.36</v>
      </c>
      <c r="P96" s="37" t="n">
        <v>923.54</v>
      </c>
    </row>
    <row r="97">
      <c r="B97" s="36" t="inlineStr">
        <is>
          <t>凱基商業銀行</t>
        </is>
      </c>
      <c r="C97" s="37" t="n">
        <v>185.24</v>
      </c>
      <c r="D97" s="37" t="n">
        <v>174.76</v>
      </c>
      <c r="E97" s="37" t="n">
        <v>179.19</v>
      </c>
      <c r="F97" s="37" t="n">
        <v>267.78</v>
      </c>
      <c r="G97" s="37" t="n">
        <v>108.33</v>
      </c>
      <c r="H97" s="37" t="n">
        <v>122.51</v>
      </c>
      <c r="I97" s="37" t="n">
        <v>175.19</v>
      </c>
      <c r="J97" s="37" t="n">
        <v>197.93</v>
      </c>
      <c r="K97" s="37" t="n">
        <v>179.61</v>
      </c>
      <c r="L97" s="37" t="n">
        <v>121.03</v>
      </c>
      <c r="M97" s="37" t="n">
        <v>152.11</v>
      </c>
      <c r="N97" s="37" t="n">
        <v>134.62</v>
      </c>
      <c r="O97" s="37" t="n">
        <v>167.65</v>
      </c>
      <c r="P97" s="37" t="n">
        <v>185.21</v>
      </c>
    </row>
    <row r="98">
      <c r="B98" s="36" t="inlineStr">
        <is>
          <t>星展(台灣)商業銀行</t>
        </is>
      </c>
      <c r="C98" s="36" t="inlineStr">
        <is>
          <t>－</t>
        </is>
      </c>
      <c r="D98" s="36" t="inlineStr">
        <is>
          <t>－</t>
        </is>
      </c>
      <c r="E98" s="36" t="inlineStr">
        <is>
          <t>－</t>
        </is>
      </c>
      <c r="F98" s="36" t="inlineStr">
        <is>
          <t>－</t>
        </is>
      </c>
      <c r="G98" s="36" t="inlineStr">
        <is>
          <t>－</t>
        </is>
      </c>
      <c r="H98" s="36" t="inlineStr">
        <is>
          <t>－</t>
        </is>
      </c>
      <c r="I98" s="37" t="n">
        <v>238.95</v>
      </c>
      <c r="J98" s="37" t="n">
        <v>3303.36</v>
      </c>
      <c r="K98" s="37" t="n">
        <v>401.04</v>
      </c>
      <c r="L98" s="37" t="n">
        <v>2207.01</v>
      </c>
      <c r="M98" s="37" t="n">
        <v>1006.52</v>
      </c>
      <c r="N98" s="37" t="n">
        <v>310.56</v>
      </c>
      <c r="O98" s="37" t="n">
        <v>279.82</v>
      </c>
      <c r="P98" s="37" t="n">
        <v>310.21</v>
      </c>
    </row>
    <row r="99">
      <c r="B99" s="36" t="inlineStr">
        <is>
          <t>台灣樂天信用卡股份有限公司</t>
        </is>
      </c>
      <c r="C99" s="36" t="inlineStr">
        <is>
          <t>－</t>
        </is>
      </c>
      <c r="D99" s="36" t="inlineStr">
        <is>
          <t>－</t>
        </is>
      </c>
      <c r="E99" s="36" t="inlineStr">
        <is>
          <t>－</t>
        </is>
      </c>
      <c r="F99" s="36" t="inlineStr">
        <is>
          <t>－</t>
        </is>
      </c>
      <c r="G99" s="36" t="inlineStr">
        <is>
          <t>－</t>
        </is>
      </c>
      <c r="H99" s="36" t="inlineStr">
        <is>
          <t>－</t>
        </is>
      </c>
      <c r="I99" s="36" t="inlineStr">
        <is>
          <t>－</t>
        </is>
      </c>
      <c r="J99" s="36" t="inlineStr">
        <is>
          <t>－</t>
        </is>
      </c>
      <c r="K99" s="36" t="inlineStr">
        <is>
          <t>－</t>
        </is>
      </c>
      <c r="L99" s="37" t="n">
        <v>751.38</v>
      </c>
      <c r="M99" s="37" t="n">
        <v>232.86</v>
      </c>
      <c r="N99" s="37" t="n">
        <v>593.26</v>
      </c>
      <c r="O99" s="37" t="n">
        <v>643.79</v>
      </c>
      <c r="P99" s="37" t="n">
        <v>454.16</v>
      </c>
    </row>
    <row r="100">
      <c r="B100" s="36" t="inlineStr">
        <is>
          <t>台灣美國運通國際(股)公司</t>
        </is>
      </c>
      <c r="C100" s="37" t="n">
        <v>3635.85</v>
      </c>
      <c r="D100" s="37" t="n">
        <v>5682.88</v>
      </c>
      <c r="E100" s="37" t="n">
        <v>2437.02</v>
      </c>
      <c r="F100" s="37" t="n">
        <v>1673.92</v>
      </c>
      <c r="G100" s="37" t="n">
        <v>1737.15</v>
      </c>
      <c r="H100" s="37" t="n">
        <v>1004.22</v>
      </c>
      <c r="I100" s="37" t="n">
        <v>1099.99</v>
      </c>
      <c r="J100" s="37" t="n">
        <v>557.63</v>
      </c>
      <c r="K100" s="37" t="n">
        <v>418.45</v>
      </c>
      <c r="L100" s="37" t="n">
        <v>410.23</v>
      </c>
      <c r="M100" s="37" t="n">
        <v>296.97</v>
      </c>
      <c r="N100" s="37" t="n">
        <v>323.04</v>
      </c>
      <c r="O100" s="37" t="n">
        <v>541.8099999999999</v>
      </c>
      <c r="P100" s="37" t="n">
        <v>371.42</v>
      </c>
    </row>
    <row r="101">
      <c r="A101" s="36" t="inlineStr">
        <is>
          <t>本月轉銷呆帳金額</t>
        </is>
      </c>
      <c r="B101" s="36" t="inlineStr">
        <is>
          <t>第一商業銀行</t>
        </is>
      </c>
      <c r="C101" s="37" t="n">
        <v>1207</v>
      </c>
      <c r="D101" s="37" t="n">
        <v>488</v>
      </c>
      <c r="E101" s="37" t="n">
        <v>290</v>
      </c>
      <c r="F101" s="37" t="n">
        <v>158</v>
      </c>
      <c r="G101" s="37" t="n">
        <v>67</v>
      </c>
      <c r="H101" s="37" t="n">
        <v>56</v>
      </c>
      <c r="I101" s="37" t="n">
        <v>58</v>
      </c>
      <c r="J101" s="37" t="n">
        <v>64</v>
      </c>
      <c r="K101" s="37" t="n">
        <v>55</v>
      </c>
      <c r="L101" s="37" t="n">
        <v>65</v>
      </c>
      <c r="M101" s="37" t="n">
        <v>68</v>
      </c>
      <c r="N101" s="37" t="n">
        <v>74</v>
      </c>
      <c r="O101" s="37" t="n">
        <v>70</v>
      </c>
      <c r="P101" s="37" t="n">
        <v>69</v>
      </c>
    </row>
    <row r="102">
      <c r="B102" s="36" t="inlineStr">
        <is>
          <t>華南商業銀行</t>
        </is>
      </c>
      <c r="C102" s="37" t="n">
        <v>554</v>
      </c>
      <c r="D102" s="37" t="n">
        <v>534</v>
      </c>
      <c r="E102" s="37" t="n">
        <v>269</v>
      </c>
      <c r="F102" s="37" t="n">
        <v>85</v>
      </c>
      <c r="G102" s="37" t="n">
        <v>37</v>
      </c>
      <c r="H102" s="37" t="n">
        <v>30</v>
      </c>
      <c r="I102" s="37" t="n">
        <v>24</v>
      </c>
      <c r="J102" s="37" t="n">
        <v>31</v>
      </c>
      <c r="K102" s="37" t="n">
        <v>31</v>
      </c>
      <c r="L102" s="37" t="n">
        <v>36</v>
      </c>
      <c r="M102" s="37" t="n">
        <v>49</v>
      </c>
      <c r="N102" s="37" t="n">
        <v>70</v>
      </c>
      <c r="O102" s="37" t="n">
        <v>69</v>
      </c>
      <c r="P102" s="37" t="n">
        <v>67</v>
      </c>
    </row>
    <row r="103">
      <c r="B103" s="36" t="inlineStr">
        <is>
          <t>兆豐國際商業銀行</t>
        </is>
      </c>
      <c r="C103" s="37" t="n">
        <v>2749</v>
      </c>
      <c r="D103" s="37" t="n">
        <v>1183</v>
      </c>
      <c r="E103" s="37" t="n">
        <v>604</v>
      </c>
      <c r="F103" s="37" t="n">
        <v>300</v>
      </c>
      <c r="G103" s="37" t="n">
        <v>127</v>
      </c>
      <c r="H103" s="37" t="n">
        <v>69</v>
      </c>
      <c r="I103" s="37" t="n">
        <v>51</v>
      </c>
      <c r="J103" s="37" t="n">
        <v>53</v>
      </c>
      <c r="K103" s="37" t="n">
        <v>42</v>
      </c>
      <c r="L103" s="37" t="n">
        <v>38</v>
      </c>
      <c r="M103" s="37" t="n">
        <v>42</v>
      </c>
      <c r="N103" s="37" t="n">
        <v>39</v>
      </c>
      <c r="O103" s="37" t="n">
        <v>37</v>
      </c>
      <c r="P103" s="37" t="n">
        <v>43</v>
      </c>
    </row>
    <row r="104">
      <c r="B104" s="36" t="inlineStr">
        <is>
          <t>渣打國際商業銀行</t>
        </is>
      </c>
      <c r="C104" s="37" t="n">
        <v>1220</v>
      </c>
      <c r="D104" s="37" t="n">
        <v>1951</v>
      </c>
      <c r="E104" s="37" t="n">
        <v>2130</v>
      </c>
      <c r="F104" s="37" t="n">
        <v>905</v>
      </c>
      <c r="G104" s="37" t="n">
        <v>290</v>
      </c>
      <c r="H104" s="37" t="n">
        <v>122</v>
      </c>
      <c r="I104" s="37" t="n">
        <v>170</v>
      </c>
      <c r="J104" s="37" t="n">
        <v>241</v>
      </c>
      <c r="K104" s="37" t="n">
        <v>165</v>
      </c>
      <c r="L104" s="37" t="n">
        <v>138</v>
      </c>
      <c r="M104" s="37" t="n">
        <v>132</v>
      </c>
      <c r="N104" s="37" t="n">
        <v>117</v>
      </c>
      <c r="O104" s="37" t="n">
        <v>95</v>
      </c>
      <c r="P104" s="37" t="n">
        <v>77</v>
      </c>
    </row>
    <row r="105">
      <c r="B105" s="36" t="inlineStr">
        <is>
          <t>匯豐(台灣)商業銀行</t>
        </is>
      </c>
      <c r="C105" s="36" t="inlineStr">
        <is>
          <t>－</t>
        </is>
      </c>
      <c r="D105" s="36" t="inlineStr">
        <is>
          <t>－</t>
        </is>
      </c>
      <c r="E105" s="36" t="inlineStr">
        <is>
          <t>－</t>
        </is>
      </c>
      <c r="F105" s="36" t="inlineStr">
        <is>
          <t>－</t>
        </is>
      </c>
      <c r="G105" s="37" t="n">
        <v>241</v>
      </c>
      <c r="H105" s="37" t="n">
        <v>229</v>
      </c>
      <c r="I105" s="37" t="n">
        <v>188</v>
      </c>
      <c r="J105" s="37" t="n">
        <v>165</v>
      </c>
      <c r="K105" s="37" t="n">
        <v>110</v>
      </c>
      <c r="L105" s="37" t="n">
        <v>104</v>
      </c>
      <c r="M105" s="37" t="n">
        <v>92</v>
      </c>
      <c r="N105" s="37" t="n">
        <v>102</v>
      </c>
      <c r="O105" s="37" t="n">
        <v>89</v>
      </c>
      <c r="P105" s="37" t="n">
        <v>75</v>
      </c>
    </row>
    <row r="106">
      <c r="B106" s="36" t="inlineStr">
        <is>
          <t>臺灣新光商業銀行</t>
        </is>
      </c>
      <c r="C106" s="37" t="n">
        <v>4569</v>
      </c>
      <c r="D106" s="37" t="n">
        <v>2636</v>
      </c>
      <c r="E106" s="37" t="n">
        <v>986</v>
      </c>
      <c r="F106" s="37" t="n">
        <v>530</v>
      </c>
      <c r="G106" s="37" t="n">
        <v>274</v>
      </c>
      <c r="H106" s="37" t="n">
        <v>134</v>
      </c>
      <c r="I106" s="37" t="n">
        <v>108</v>
      </c>
      <c r="J106" s="37" t="n">
        <v>101</v>
      </c>
      <c r="K106" s="37" t="n">
        <v>78</v>
      </c>
      <c r="L106" s="37" t="n">
        <v>70</v>
      </c>
      <c r="M106" s="37" t="n">
        <v>71</v>
      </c>
      <c r="N106" s="37" t="n">
        <v>73</v>
      </c>
      <c r="O106" s="37" t="n">
        <v>73</v>
      </c>
      <c r="P106" s="37" t="n">
        <v>75</v>
      </c>
    </row>
    <row r="107">
      <c r="B107" s="36" t="inlineStr">
        <is>
          <t>元大商業銀行</t>
        </is>
      </c>
      <c r="C107" s="37" t="n">
        <v>1987</v>
      </c>
      <c r="D107" s="37" t="n">
        <v>714</v>
      </c>
      <c r="E107" s="37" t="n">
        <v>469</v>
      </c>
      <c r="F107" s="37" t="n">
        <v>141</v>
      </c>
      <c r="G107" s="37" t="n">
        <v>71</v>
      </c>
      <c r="H107" s="37" t="n">
        <v>50</v>
      </c>
      <c r="I107" s="37" t="n">
        <v>28</v>
      </c>
      <c r="J107" s="37" t="n">
        <v>21</v>
      </c>
      <c r="K107" s="37" t="n">
        <v>19</v>
      </c>
      <c r="L107" s="37" t="n">
        <v>19</v>
      </c>
      <c r="M107" s="37" t="n">
        <v>21</v>
      </c>
      <c r="N107" s="37" t="n">
        <v>23</v>
      </c>
      <c r="O107" s="37" t="n">
        <v>137</v>
      </c>
      <c r="P107" s="37" t="n">
        <v>95</v>
      </c>
    </row>
    <row r="108">
      <c r="B108" s="36" t="inlineStr">
        <is>
          <t>凱基商業銀行</t>
        </is>
      </c>
      <c r="C108" s="37" t="n">
        <v>115</v>
      </c>
      <c r="D108" s="37" t="n">
        <v>1112</v>
      </c>
      <c r="E108" s="37" t="n">
        <v>651</v>
      </c>
      <c r="F108" s="37" t="n">
        <v>362</v>
      </c>
      <c r="G108" s="37" t="n">
        <v>147</v>
      </c>
      <c r="H108" s="37" t="n">
        <v>72</v>
      </c>
      <c r="I108" s="37" t="n">
        <v>67</v>
      </c>
      <c r="J108" s="37" t="n">
        <v>68</v>
      </c>
      <c r="K108" s="37" t="n">
        <v>59</v>
      </c>
      <c r="L108" s="37" t="n">
        <v>70</v>
      </c>
      <c r="M108" s="37" t="n">
        <v>83</v>
      </c>
      <c r="N108" s="37" t="n">
        <v>68</v>
      </c>
      <c r="O108" s="37" t="n">
        <v>65</v>
      </c>
      <c r="P108" s="37" t="n">
        <v>57</v>
      </c>
    </row>
    <row r="109">
      <c r="B109" s="36" t="inlineStr">
        <is>
          <t>星展(台灣)商業銀行</t>
        </is>
      </c>
      <c r="C109" s="36" t="inlineStr">
        <is>
          <t>－</t>
        </is>
      </c>
      <c r="D109" s="36" t="inlineStr">
        <is>
          <t>－</t>
        </is>
      </c>
      <c r="E109" s="36" t="inlineStr">
        <is>
          <t>－</t>
        </is>
      </c>
      <c r="F109" s="36" t="inlineStr">
        <is>
          <t>－</t>
        </is>
      </c>
      <c r="G109" s="36" t="inlineStr">
        <is>
          <t>－</t>
        </is>
      </c>
      <c r="H109" s="36" t="inlineStr">
        <is>
          <t>－</t>
        </is>
      </c>
      <c r="I109" s="37" t="n">
        <v>1</v>
      </c>
      <c r="J109" s="37" t="n">
        <v>1</v>
      </c>
      <c r="K109" s="37" t="n">
        <v>1</v>
      </c>
      <c r="L109" s="37" t="n">
        <v>3</v>
      </c>
      <c r="M109" s="37" t="n">
        <v>3</v>
      </c>
      <c r="N109" s="37" t="n">
        <v>1</v>
      </c>
      <c r="O109" s="37" t="n">
        <v>170</v>
      </c>
      <c r="P109" s="37" t="n">
        <v>135</v>
      </c>
    </row>
    <row r="110">
      <c r="B110" s="36" t="inlineStr">
        <is>
          <t>台灣樂天信用卡股份有限公司</t>
        </is>
      </c>
      <c r="C110" s="36" t="inlineStr">
        <is>
          <t>－</t>
        </is>
      </c>
      <c r="D110" s="36" t="inlineStr">
        <is>
          <t>－</t>
        </is>
      </c>
      <c r="E110" s="36" t="inlineStr">
        <is>
          <t>－</t>
        </is>
      </c>
      <c r="F110" s="36" t="inlineStr">
        <is>
          <t>－</t>
        </is>
      </c>
      <c r="G110" s="36" t="inlineStr">
        <is>
          <t>－</t>
        </is>
      </c>
      <c r="H110" s="36" t="inlineStr">
        <is>
          <t>－</t>
        </is>
      </c>
      <c r="I110" s="36" t="inlineStr">
        <is>
          <t>－</t>
        </is>
      </c>
      <c r="J110" s="36" t="inlineStr">
        <is>
          <t>－</t>
        </is>
      </c>
      <c r="K110" s="36" t="inlineStr">
        <is>
          <t>－</t>
        </is>
      </c>
      <c r="L110" s="37" t="n">
        <v>0</v>
      </c>
      <c r="M110" s="37" t="n">
        <v>2</v>
      </c>
      <c r="N110" s="37" t="n">
        <v>6</v>
      </c>
      <c r="O110" s="37" t="n">
        <v>10</v>
      </c>
      <c r="P110" s="37" t="n">
        <v>11</v>
      </c>
    </row>
    <row r="111">
      <c r="B111" s="36" t="inlineStr">
        <is>
          <t>台灣美國運通國際(股)公司</t>
        </is>
      </c>
      <c r="C111" s="37" t="n">
        <v>2446</v>
      </c>
      <c r="D111" s="37" t="n">
        <v>617</v>
      </c>
      <c r="E111" s="37" t="n">
        <v>370</v>
      </c>
      <c r="F111" s="37" t="n">
        <v>175</v>
      </c>
      <c r="G111" s="37" t="n">
        <v>66</v>
      </c>
      <c r="H111" s="37" t="n">
        <v>33</v>
      </c>
      <c r="I111" s="37" t="n">
        <v>34</v>
      </c>
      <c r="J111" s="37" t="n">
        <v>39</v>
      </c>
      <c r="K111" s="37" t="n">
        <v>33</v>
      </c>
      <c r="L111" s="37" t="n">
        <v>30</v>
      </c>
      <c r="M111" s="37" t="n">
        <v>34</v>
      </c>
      <c r="N111" s="37" t="n">
        <v>50</v>
      </c>
      <c r="O111" s="37" t="n">
        <v>48</v>
      </c>
      <c r="P111" s="37" t="n">
        <v>39</v>
      </c>
    </row>
    <row r="112">
      <c r="A112" s="36" t="inlineStr">
        <is>
          <t>循環信用利息收入</t>
        </is>
      </c>
      <c r="B112" s="36" t="inlineStr">
        <is>
          <t>第一商業銀行</t>
        </is>
      </c>
      <c r="C112" s="37" t="n">
        <v>549</v>
      </c>
      <c r="D112" s="37" t="n">
        <v>338</v>
      </c>
      <c r="E112" s="37" t="n">
        <v>282</v>
      </c>
      <c r="F112" s="37" t="n">
        <v>229</v>
      </c>
      <c r="G112" s="37" t="n">
        <v>221</v>
      </c>
      <c r="H112" s="37" t="n">
        <v>224</v>
      </c>
      <c r="I112" s="37" t="n">
        <v>231</v>
      </c>
      <c r="J112" s="37" t="n">
        <v>231</v>
      </c>
      <c r="K112" s="37" t="n">
        <v>227</v>
      </c>
      <c r="L112" s="37" t="n">
        <v>205</v>
      </c>
      <c r="M112" s="37" t="n">
        <v>163</v>
      </c>
      <c r="N112" s="37" t="n">
        <v>166</v>
      </c>
      <c r="O112" s="37" t="n">
        <v>178</v>
      </c>
      <c r="P112" s="37" t="n">
        <v>189</v>
      </c>
    </row>
    <row r="113">
      <c r="B113" s="36" t="inlineStr">
        <is>
          <t>華南商業銀行</t>
        </is>
      </c>
      <c r="C113" s="37" t="n">
        <v>426</v>
      </c>
      <c r="D113" s="37" t="n">
        <v>358</v>
      </c>
      <c r="E113" s="37" t="n">
        <v>228</v>
      </c>
      <c r="F113" s="37" t="n">
        <v>145</v>
      </c>
      <c r="G113" s="37" t="n">
        <v>108</v>
      </c>
      <c r="H113" s="37" t="n">
        <v>92</v>
      </c>
      <c r="I113" s="37" t="n">
        <v>100</v>
      </c>
      <c r="J113" s="37" t="n">
        <v>101</v>
      </c>
      <c r="K113" s="37" t="n">
        <v>102</v>
      </c>
      <c r="L113" s="37" t="n">
        <v>99</v>
      </c>
      <c r="M113" s="37" t="n">
        <v>98</v>
      </c>
      <c r="N113" s="37" t="n">
        <v>115</v>
      </c>
      <c r="O113" s="37" t="n">
        <v>133</v>
      </c>
      <c r="P113" s="37" t="n">
        <v>135</v>
      </c>
    </row>
    <row r="114">
      <c r="B114" s="36" t="inlineStr">
        <is>
          <t>兆豐國際商業銀行</t>
        </is>
      </c>
      <c r="C114" s="37" t="n">
        <v>1170</v>
      </c>
      <c r="D114" s="37" t="n">
        <v>618</v>
      </c>
      <c r="E114" s="37" t="n">
        <v>470</v>
      </c>
      <c r="F114" s="37" t="n">
        <v>364</v>
      </c>
      <c r="G114" s="37" t="n">
        <v>323</v>
      </c>
      <c r="H114" s="37" t="n">
        <v>290</v>
      </c>
      <c r="I114" s="37" t="n">
        <v>272</v>
      </c>
      <c r="J114" s="37" t="n">
        <v>246</v>
      </c>
      <c r="K114" s="37" t="n">
        <v>235</v>
      </c>
      <c r="L114" s="37" t="n">
        <v>203</v>
      </c>
      <c r="M114" s="37" t="n">
        <v>174</v>
      </c>
      <c r="N114" s="37" t="n">
        <v>172</v>
      </c>
      <c r="O114" s="37" t="n">
        <v>176</v>
      </c>
      <c r="P114" s="37" t="n">
        <v>173</v>
      </c>
    </row>
    <row r="115">
      <c r="B115" s="36" t="inlineStr">
        <is>
          <t>渣打國際商業銀行</t>
        </is>
      </c>
      <c r="C115" s="37" t="n">
        <v>385</v>
      </c>
      <c r="D115" s="37" t="n">
        <v>726</v>
      </c>
      <c r="E115" s="37" t="n">
        <v>950</v>
      </c>
      <c r="F115" s="37" t="n">
        <v>698</v>
      </c>
      <c r="G115" s="37" t="n">
        <v>488</v>
      </c>
      <c r="H115" s="37" t="n">
        <v>389</v>
      </c>
      <c r="I115" s="37" t="n">
        <v>417</v>
      </c>
      <c r="J115" s="37" t="n">
        <v>451</v>
      </c>
      <c r="K115" s="37" t="n">
        <v>405</v>
      </c>
      <c r="L115" s="37" t="n">
        <v>323</v>
      </c>
      <c r="M115" s="37" t="n">
        <v>264</v>
      </c>
      <c r="N115" s="37" t="n">
        <v>238</v>
      </c>
      <c r="O115" s="37" t="n">
        <v>221</v>
      </c>
      <c r="P115" s="37" t="n">
        <v>198</v>
      </c>
    </row>
    <row r="116">
      <c r="B116" s="36" t="inlineStr">
        <is>
          <t>匯豐(台灣)商業銀行</t>
        </is>
      </c>
      <c r="C116" s="36" t="inlineStr">
        <is>
          <t>－</t>
        </is>
      </c>
      <c r="D116" s="36" t="inlineStr">
        <is>
          <t>－</t>
        </is>
      </c>
      <c r="E116" s="36" t="inlineStr">
        <is>
          <t>－</t>
        </is>
      </c>
      <c r="F116" s="36" t="inlineStr">
        <is>
          <t>－</t>
        </is>
      </c>
      <c r="G116" s="37" t="n">
        <v>803</v>
      </c>
      <c r="H116" s="37" t="n">
        <v>974</v>
      </c>
      <c r="I116" s="37" t="n">
        <v>813</v>
      </c>
      <c r="J116" s="37" t="n">
        <v>700</v>
      </c>
      <c r="K116" s="37" t="n">
        <v>574</v>
      </c>
      <c r="L116" s="37" t="n">
        <v>483</v>
      </c>
      <c r="M116" s="37" t="n">
        <v>396</v>
      </c>
      <c r="N116" s="37" t="n">
        <v>351</v>
      </c>
      <c r="O116" s="37" t="n">
        <v>325</v>
      </c>
      <c r="P116" s="37" t="n">
        <v>313</v>
      </c>
    </row>
    <row r="117">
      <c r="B117" s="36" t="inlineStr">
        <is>
          <t>臺灣新光商業銀行</t>
        </is>
      </c>
      <c r="C117" s="37" t="n">
        <v>1716</v>
      </c>
      <c r="D117" s="37" t="n">
        <v>1263</v>
      </c>
      <c r="E117" s="37" t="n">
        <v>880</v>
      </c>
      <c r="F117" s="37" t="n">
        <v>674</v>
      </c>
      <c r="G117" s="37" t="n">
        <v>561</v>
      </c>
      <c r="H117" s="37" t="n">
        <v>470</v>
      </c>
      <c r="I117" s="37" t="n">
        <v>409</v>
      </c>
      <c r="J117" s="37" t="n">
        <v>354</v>
      </c>
      <c r="K117" s="37" t="n">
        <v>344</v>
      </c>
      <c r="L117" s="37" t="n">
        <v>308</v>
      </c>
      <c r="M117" s="37" t="n">
        <v>277</v>
      </c>
      <c r="N117" s="37" t="n">
        <v>270</v>
      </c>
      <c r="O117" s="37" t="n">
        <v>271</v>
      </c>
      <c r="P117" s="37" t="n">
        <v>273</v>
      </c>
    </row>
    <row r="118">
      <c r="B118" s="36" t="inlineStr">
        <is>
          <t>元大商業銀行</t>
        </is>
      </c>
      <c r="C118" s="37" t="n">
        <v>511</v>
      </c>
      <c r="D118" s="37" t="n">
        <v>286</v>
      </c>
      <c r="E118" s="37" t="n">
        <v>223</v>
      </c>
      <c r="F118" s="37" t="n">
        <v>158</v>
      </c>
      <c r="G118" s="37" t="n">
        <v>145</v>
      </c>
      <c r="H118" s="37" t="n">
        <v>98</v>
      </c>
      <c r="I118" s="37" t="n">
        <v>83</v>
      </c>
      <c r="J118" s="37" t="n">
        <v>61</v>
      </c>
      <c r="K118" s="37" t="n">
        <v>59</v>
      </c>
      <c r="L118" s="37" t="n">
        <v>56</v>
      </c>
      <c r="M118" s="37" t="n">
        <v>64</v>
      </c>
      <c r="N118" s="37" t="n">
        <v>80</v>
      </c>
      <c r="O118" s="37" t="n">
        <v>258</v>
      </c>
      <c r="P118" s="37" t="n">
        <v>236</v>
      </c>
    </row>
    <row r="119">
      <c r="B119" s="36" t="inlineStr">
        <is>
          <t>凱基商業銀行</t>
        </is>
      </c>
      <c r="C119" s="37" t="n">
        <v>751</v>
      </c>
      <c r="D119" s="37" t="n">
        <v>590</v>
      </c>
      <c r="E119" s="37" t="n">
        <v>479</v>
      </c>
      <c r="F119" s="37" t="n">
        <v>395</v>
      </c>
      <c r="G119" s="37" t="n">
        <v>332</v>
      </c>
      <c r="H119" s="37" t="n">
        <v>290</v>
      </c>
      <c r="I119" s="37" t="n">
        <v>266</v>
      </c>
      <c r="J119" s="37" t="n">
        <v>246</v>
      </c>
      <c r="K119" s="37" t="n">
        <v>225</v>
      </c>
      <c r="L119" s="37" t="n">
        <v>196</v>
      </c>
      <c r="M119" s="37" t="n">
        <v>164</v>
      </c>
      <c r="N119" s="37" t="n">
        <v>155</v>
      </c>
      <c r="O119" s="37" t="n">
        <v>151</v>
      </c>
      <c r="P119" s="37" t="n">
        <v>157</v>
      </c>
    </row>
    <row r="120">
      <c r="B120" s="36" t="inlineStr">
        <is>
          <t>星展(台灣)商業銀行</t>
        </is>
      </c>
      <c r="C120" s="36" t="inlineStr">
        <is>
          <t>－</t>
        </is>
      </c>
      <c r="D120" s="36" t="inlineStr">
        <is>
          <t>－</t>
        </is>
      </c>
      <c r="E120" s="36" t="inlineStr">
        <is>
          <t>－</t>
        </is>
      </c>
      <c r="F120" s="36" t="inlineStr">
        <is>
          <t>－</t>
        </is>
      </c>
      <c r="G120" s="36" t="inlineStr">
        <is>
          <t>－</t>
        </is>
      </c>
      <c r="H120" s="36" t="inlineStr">
        <is>
          <t>－</t>
        </is>
      </c>
      <c r="I120" s="37" t="n">
        <v>2</v>
      </c>
      <c r="J120" s="37" t="n">
        <v>2</v>
      </c>
      <c r="K120" s="37" t="n">
        <v>3</v>
      </c>
      <c r="L120" s="37" t="n">
        <v>3</v>
      </c>
      <c r="M120" s="37" t="n">
        <v>3</v>
      </c>
      <c r="N120" s="37" t="n">
        <v>18</v>
      </c>
      <c r="O120" s="37" t="n">
        <v>437</v>
      </c>
      <c r="P120" s="37" t="n">
        <v>436</v>
      </c>
    </row>
    <row r="121">
      <c r="B121" s="36" t="inlineStr">
        <is>
          <t>台灣樂天信用卡股份有限公司</t>
        </is>
      </c>
      <c r="C121" s="36" t="inlineStr">
        <is>
          <t>－</t>
        </is>
      </c>
      <c r="D121" s="36" t="inlineStr">
        <is>
          <t>－</t>
        </is>
      </c>
      <c r="E121" s="36" t="inlineStr">
        <is>
          <t>－</t>
        </is>
      </c>
      <c r="F121" s="36" t="inlineStr">
        <is>
          <t>－</t>
        </is>
      </c>
      <c r="G121" s="36" t="inlineStr">
        <is>
          <t>－</t>
        </is>
      </c>
      <c r="H121" s="36" t="inlineStr">
        <is>
          <t>－</t>
        </is>
      </c>
      <c r="I121" s="36" t="inlineStr">
        <is>
          <t>－</t>
        </is>
      </c>
      <c r="J121" s="36" t="inlineStr">
        <is>
          <t>－</t>
        </is>
      </c>
      <c r="K121" s="36" t="inlineStr">
        <is>
          <t>－</t>
        </is>
      </c>
      <c r="L121" s="37" t="n">
        <v>3</v>
      </c>
      <c r="M121" s="37" t="n">
        <v>23</v>
      </c>
      <c r="N121" s="37" t="n">
        <v>56</v>
      </c>
      <c r="O121" s="37" t="n">
        <v>90</v>
      </c>
      <c r="P121" s="37" t="n">
        <v>111</v>
      </c>
    </row>
    <row r="122">
      <c r="B122" s="36" t="inlineStr">
        <is>
          <t>台灣美國運通國際(股)公司</t>
        </is>
      </c>
      <c r="C122" s="37" t="n">
        <v>457</v>
      </c>
      <c r="D122" s="37" t="n">
        <v>167</v>
      </c>
      <c r="E122" s="37" t="n">
        <v>118</v>
      </c>
      <c r="F122" s="37" t="n">
        <v>86</v>
      </c>
      <c r="G122" s="37" t="n">
        <v>64</v>
      </c>
      <c r="H122" s="37" t="n">
        <v>49</v>
      </c>
      <c r="I122" s="37" t="n">
        <v>38</v>
      </c>
      <c r="J122" s="37" t="n">
        <v>34</v>
      </c>
      <c r="K122" s="37" t="n">
        <v>33</v>
      </c>
      <c r="L122" s="37" t="n">
        <v>33</v>
      </c>
      <c r="M122" s="37" t="n">
        <v>33</v>
      </c>
      <c r="N122" s="37" t="n">
        <v>34</v>
      </c>
      <c r="O122" s="37" t="n">
        <v>36</v>
      </c>
      <c r="P122" s="37" t="n">
        <v>36</v>
      </c>
    </row>
    <row r="123">
      <c r="A123" s="36" t="inlineStr">
        <is>
          <t>簽帳手續費收入</t>
        </is>
      </c>
      <c r="B123" s="36" t="inlineStr">
        <is>
          <t>第一商業銀行</t>
        </is>
      </c>
      <c r="C123" s="37" t="n">
        <v>263</v>
      </c>
      <c r="D123" s="37" t="n">
        <v>252</v>
      </c>
      <c r="E123" s="37" t="n">
        <v>285</v>
      </c>
      <c r="F123" s="37" t="n">
        <v>266</v>
      </c>
      <c r="G123" s="37" t="n">
        <v>387</v>
      </c>
      <c r="H123" s="37" t="n">
        <v>444</v>
      </c>
      <c r="I123" s="37" t="n">
        <v>481</v>
      </c>
      <c r="J123" s="37" t="n">
        <v>512</v>
      </c>
      <c r="K123" s="37" t="n">
        <v>573</v>
      </c>
      <c r="L123" s="37" t="n">
        <v>649</v>
      </c>
      <c r="M123" s="37" t="n">
        <v>568</v>
      </c>
      <c r="N123" s="37" t="n">
        <v>565</v>
      </c>
      <c r="O123" s="37" t="n">
        <v>559</v>
      </c>
      <c r="P123" s="37" t="n">
        <v>579</v>
      </c>
    </row>
    <row r="124">
      <c r="B124" s="36" t="inlineStr">
        <is>
          <t>華南商業銀行</t>
        </is>
      </c>
      <c r="C124" s="37" t="n">
        <v>203</v>
      </c>
      <c r="D124" s="37" t="n">
        <v>182</v>
      </c>
      <c r="E124" s="37" t="n">
        <v>175</v>
      </c>
      <c r="F124" s="37" t="n">
        <v>172</v>
      </c>
      <c r="G124" s="37" t="n">
        <v>276</v>
      </c>
      <c r="H124" s="37" t="n">
        <v>306</v>
      </c>
      <c r="I124" s="37" t="n">
        <v>374</v>
      </c>
      <c r="J124" s="37" t="n">
        <v>450</v>
      </c>
      <c r="K124" s="37" t="n">
        <v>586</v>
      </c>
      <c r="L124" s="37" t="n">
        <v>733</v>
      </c>
      <c r="M124" s="37" t="n">
        <v>794</v>
      </c>
      <c r="N124" s="37" t="n">
        <v>825</v>
      </c>
      <c r="O124" s="37" t="n">
        <v>854</v>
      </c>
      <c r="P124" s="37" t="n">
        <v>875</v>
      </c>
    </row>
    <row r="125">
      <c r="B125" s="36" t="inlineStr">
        <is>
          <t>兆豐國際商業銀行</t>
        </is>
      </c>
      <c r="C125" s="37" t="n">
        <v>299</v>
      </c>
      <c r="D125" s="37" t="n">
        <v>326</v>
      </c>
      <c r="E125" s="37" t="n">
        <v>337</v>
      </c>
      <c r="F125" s="37" t="n">
        <v>323</v>
      </c>
      <c r="G125" s="37" t="n">
        <v>327</v>
      </c>
      <c r="H125" s="37" t="n">
        <v>392</v>
      </c>
      <c r="I125" s="37" t="n">
        <v>425</v>
      </c>
      <c r="J125" s="37" t="n">
        <v>406</v>
      </c>
      <c r="K125" s="37" t="n">
        <v>454</v>
      </c>
      <c r="L125" s="37" t="n">
        <v>486</v>
      </c>
      <c r="M125" s="37" t="n">
        <v>474</v>
      </c>
      <c r="N125" s="37" t="n">
        <v>486</v>
      </c>
      <c r="O125" s="37" t="n">
        <v>565</v>
      </c>
      <c r="P125" s="37" t="n">
        <v>647</v>
      </c>
    </row>
    <row r="126">
      <c r="B126" s="36" t="inlineStr">
        <is>
          <t>渣打國際商業銀行</t>
        </is>
      </c>
      <c r="C126" s="37" t="n">
        <v>186</v>
      </c>
      <c r="D126" s="37" t="n">
        <v>203</v>
      </c>
      <c r="E126" s="37" t="n">
        <v>208</v>
      </c>
      <c r="F126" s="37" t="n">
        <v>190</v>
      </c>
      <c r="G126" s="37" t="n">
        <v>203</v>
      </c>
      <c r="H126" s="37" t="n">
        <v>236</v>
      </c>
      <c r="I126" s="37" t="n">
        <v>258</v>
      </c>
      <c r="J126" s="37" t="n">
        <v>301</v>
      </c>
      <c r="K126" s="37" t="n">
        <v>301</v>
      </c>
      <c r="L126" s="37" t="n">
        <v>282</v>
      </c>
      <c r="M126" s="37" t="n">
        <v>252</v>
      </c>
      <c r="N126" s="37" t="n">
        <v>226</v>
      </c>
      <c r="O126" s="37" t="n">
        <v>389</v>
      </c>
      <c r="P126" s="37" t="n">
        <v>578</v>
      </c>
    </row>
    <row r="127">
      <c r="B127" s="36" t="inlineStr">
        <is>
          <t>匯豐(台灣)商業銀行</t>
        </is>
      </c>
      <c r="C127" s="36" t="inlineStr">
        <is>
          <t>－</t>
        </is>
      </c>
      <c r="D127" s="36" t="inlineStr">
        <is>
          <t>－</t>
        </is>
      </c>
      <c r="E127" s="36" t="inlineStr">
        <is>
          <t>－</t>
        </is>
      </c>
      <c r="F127" s="36" t="inlineStr">
        <is>
          <t>－</t>
        </is>
      </c>
      <c r="G127" s="37" t="n">
        <v>329</v>
      </c>
      <c r="H127" s="37" t="n">
        <v>650</v>
      </c>
      <c r="I127" s="37" t="n">
        <v>705</v>
      </c>
      <c r="J127" s="37" t="n">
        <v>737</v>
      </c>
      <c r="K127" s="37" t="n">
        <v>712</v>
      </c>
      <c r="L127" s="37" t="n">
        <v>712</v>
      </c>
      <c r="M127" s="37" t="n">
        <v>701</v>
      </c>
      <c r="N127" s="37" t="n">
        <v>798</v>
      </c>
      <c r="O127" s="37" t="n">
        <v>949</v>
      </c>
      <c r="P127" s="37" t="n">
        <v>1074</v>
      </c>
    </row>
    <row r="128">
      <c r="B128" s="36" t="inlineStr">
        <is>
          <t>臺灣新光商業銀行</t>
        </is>
      </c>
      <c r="C128" s="37" t="n">
        <v>416</v>
      </c>
      <c r="D128" s="37" t="n">
        <v>467</v>
      </c>
      <c r="E128" s="37" t="n">
        <v>509</v>
      </c>
      <c r="F128" s="37" t="n">
        <v>568</v>
      </c>
      <c r="G128" s="37" t="n">
        <v>676</v>
      </c>
      <c r="H128" s="37" t="n">
        <v>733</v>
      </c>
      <c r="I128" s="37" t="n">
        <v>841</v>
      </c>
      <c r="J128" s="37" t="n">
        <v>872</v>
      </c>
      <c r="K128" s="37" t="n">
        <v>833</v>
      </c>
      <c r="L128" s="37" t="n">
        <v>858</v>
      </c>
      <c r="M128" s="37" t="n">
        <v>818</v>
      </c>
      <c r="N128" s="37" t="n">
        <v>815</v>
      </c>
      <c r="O128" s="37" t="n">
        <v>794</v>
      </c>
      <c r="P128" s="37" t="n">
        <v>755</v>
      </c>
    </row>
    <row r="129">
      <c r="B129" s="36" t="inlineStr">
        <is>
          <t>元大商業銀行</t>
        </is>
      </c>
      <c r="C129" s="37" t="n">
        <v>108</v>
      </c>
      <c r="D129" s="37" t="n">
        <v>118</v>
      </c>
      <c r="E129" s="37" t="n">
        <v>170</v>
      </c>
      <c r="F129" s="37" t="n">
        <v>150</v>
      </c>
      <c r="G129" s="37" t="n">
        <v>148</v>
      </c>
      <c r="H129" s="37" t="n">
        <v>159</v>
      </c>
      <c r="I129" s="37" t="n">
        <v>155</v>
      </c>
      <c r="J129" s="37" t="n">
        <v>147</v>
      </c>
      <c r="K129" s="37" t="n">
        <v>180</v>
      </c>
      <c r="L129" s="37" t="n">
        <v>478</v>
      </c>
      <c r="M129" s="37" t="n">
        <v>765</v>
      </c>
      <c r="N129" s="37" t="n">
        <v>966</v>
      </c>
      <c r="O129" s="37" t="n">
        <v>1253</v>
      </c>
      <c r="P129" s="37" t="n">
        <v>1153</v>
      </c>
    </row>
    <row r="130">
      <c r="B130" s="36" t="inlineStr">
        <is>
          <t>凱基商業銀行</t>
        </is>
      </c>
      <c r="C130" s="37" t="n">
        <v>219</v>
      </c>
      <c r="D130" s="37" t="n">
        <v>184</v>
      </c>
      <c r="E130" s="37" t="n">
        <v>175</v>
      </c>
      <c r="F130" s="37" t="n">
        <v>154</v>
      </c>
      <c r="G130" s="37" t="n">
        <v>148</v>
      </c>
      <c r="H130" s="37" t="n">
        <v>67</v>
      </c>
      <c r="I130" s="37" t="n">
        <v>111</v>
      </c>
      <c r="J130" s="37" t="n">
        <v>95</v>
      </c>
      <c r="K130" s="37" t="n">
        <v>102</v>
      </c>
      <c r="L130" s="37" t="n">
        <v>58</v>
      </c>
      <c r="M130" s="37" t="n">
        <v>85</v>
      </c>
      <c r="N130" s="37" t="n">
        <v>97</v>
      </c>
      <c r="O130" s="37" t="n">
        <v>76</v>
      </c>
      <c r="P130" s="37" t="n">
        <v>99</v>
      </c>
    </row>
    <row r="131">
      <c r="B131" s="36" t="inlineStr">
        <is>
          <t>星展(台灣)商業銀行</t>
        </is>
      </c>
      <c r="C131" s="36" t="inlineStr">
        <is>
          <t>－</t>
        </is>
      </c>
      <c r="D131" s="36" t="inlineStr">
        <is>
          <t>－</t>
        </is>
      </c>
      <c r="E131" s="36" t="inlineStr">
        <is>
          <t>－</t>
        </is>
      </c>
      <c r="F131" s="36" t="inlineStr">
        <is>
          <t>－</t>
        </is>
      </c>
      <c r="G131" s="36" t="inlineStr">
        <is>
          <t>－</t>
        </is>
      </c>
      <c r="H131" s="36" t="inlineStr">
        <is>
          <t>－</t>
        </is>
      </c>
      <c r="I131" s="37" t="n">
        <v>4</v>
      </c>
      <c r="J131" s="37" t="n">
        <v>9</v>
      </c>
      <c r="K131" s="37" t="n">
        <v>15</v>
      </c>
      <c r="L131" s="37" t="n">
        <v>15</v>
      </c>
      <c r="M131" s="37" t="n">
        <v>13</v>
      </c>
      <c r="N131" s="37" t="n">
        <v>36</v>
      </c>
      <c r="O131" s="37" t="n">
        <v>532</v>
      </c>
      <c r="P131" s="37" t="n">
        <v>771</v>
      </c>
    </row>
    <row r="132">
      <c r="B132" s="36" t="inlineStr">
        <is>
          <t>台灣樂天信用卡股份有限公司</t>
        </is>
      </c>
      <c r="C132" s="36" t="inlineStr">
        <is>
          <t>－</t>
        </is>
      </c>
      <c r="D132" s="36" t="inlineStr">
        <is>
          <t>－</t>
        </is>
      </c>
      <c r="E132" s="36" t="inlineStr">
        <is>
          <t>－</t>
        </is>
      </c>
      <c r="F132" s="36" t="inlineStr">
        <is>
          <t>－</t>
        </is>
      </c>
      <c r="G132" s="36" t="inlineStr">
        <is>
          <t>－</t>
        </is>
      </c>
      <c r="H132" s="36" t="inlineStr">
        <is>
          <t>－</t>
        </is>
      </c>
      <c r="I132" s="36" t="inlineStr">
        <is>
          <t>－</t>
        </is>
      </c>
      <c r="J132" s="36" t="inlineStr">
        <is>
          <t>－</t>
        </is>
      </c>
      <c r="K132" s="37" t="n">
        <v>0</v>
      </c>
      <c r="L132" s="37" t="n">
        <v>37</v>
      </c>
      <c r="M132" s="37" t="n">
        <v>124</v>
      </c>
      <c r="N132" s="37" t="n">
        <v>240</v>
      </c>
      <c r="O132" s="37" t="n">
        <v>339</v>
      </c>
      <c r="P132" s="37" t="n">
        <v>372</v>
      </c>
    </row>
    <row r="133">
      <c r="B133" s="36" t="inlineStr">
        <is>
          <t>台灣美國運通國際(股)公司</t>
        </is>
      </c>
      <c r="C133" s="37" t="n">
        <v>447</v>
      </c>
      <c r="D133" s="37" t="n">
        <v>489</v>
      </c>
      <c r="E133" s="37" t="n">
        <v>512</v>
      </c>
      <c r="F133" s="37" t="n">
        <v>447</v>
      </c>
      <c r="G133" s="37" t="n">
        <v>768</v>
      </c>
      <c r="H133" s="37" t="n">
        <v>985</v>
      </c>
      <c r="I133" s="37" t="n">
        <v>1065</v>
      </c>
      <c r="J133" s="37" t="n">
        <v>1261</v>
      </c>
      <c r="K133" s="37" t="n">
        <v>894</v>
      </c>
      <c r="L133" s="37" t="n">
        <v>872</v>
      </c>
      <c r="M133" s="37" t="n">
        <v>930</v>
      </c>
      <c r="N133" s="37" t="n">
        <v>943</v>
      </c>
      <c r="O133" s="37" t="n">
        <v>1002</v>
      </c>
      <c r="P133" s="37" t="n">
        <v>1088</v>
      </c>
    </row>
    <row r="134">
      <c r="A134" s="36" t="inlineStr">
        <is>
          <t>預借現金手續費</t>
        </is>
      </c>
      <c r="B134" s="36" t="inlineStr">
        <is>
          <t>第一商業銀行</t>
        </is>
      </c>
      <c r="C134" s="37" t="n">
        <v>11</v>
      </c>
      <c r="D134" s="37" t="n">
        <v>5</v>
      </c>
      <c r="E134" s="37" t="n">
        <v>9</v>
      </c>
      <c r="F134" s="37" t="n">
        <v>6</v>
      </c>
      <c r="G134" s="37" t="n">
        <v>5</v>
      </c>
      <c r="H134" s="37" t="n">
        <v>6</v>
      </c>
      <c r="I134" s="37" t="n">
        <v>7</v>
      </c>
      <c r="J134" s="37" t="n">
        <v>5</v>
      </c>
      <c r="K134" s="37" t="n">
        <v>4</v>
      </c>
      <c r="L134" s="37" t="n">
        <v>5</v>
      </c>
      <c r="M134" s="37" t="n">
        <v>5</v>
      </c>
      <c r="N134" s="37" t="n">
        <v>4</v>
      </c>
      <c r="O134" s="37" t="n">
        <v>4</v>
      </c>
      <c r="P134" s="37" t="n">
        <v>3</v>
      </c>
    </row>
    <row r="135">
      <c r="B135" s="36" t="inlineStr">
        <is>
          <t>華南商業銀行</t>
        </is>
      </c>
      <c r="C135" s="37" t="n">
        <v>14</v>
      </c>
      <c r="D135" s="37" t="n">
        <v>7</v>
      </c>
      <c r="E135" s="36" t="inlineStr">
        <is>
          <t>－</t>
        </is>
      </c>
      <c r="F135" s="37" t="n">
        <v>0</v>
      </c>
      <c r="G135" s="36" t="inlineStr">
        <is>
          <t>－</t>
        </is>
      </c>
      <c r="H135" s="37" t="n">
        <v>0</v>
      </c>
      <c r="I135" s="37" t="n">
        <v>1</v>
      </c>
      <c r="J135" s="37" t="n">
        <v>1</v>
      </c>
      <c r="K135" s="37" t="n">
        <v>1</v>
      </c>
      <c r="L135" s="37" t="n">
        <v>1</v>
      </c>
      <c r="M135" s="37" t="n">
        <v>1</v>
      </c>
      <c r="N135" s="37" t="n">
        <v>1</v>
      </c>
      <c r="O135" s="37" t="n">
        <v>2</v>
      </c>
      <c r="P135" s="37" t="n">
        <v>1</v>
      </c>
    </row>
    <row r="136">
      <c r="B136" s="36" t="inlineStr">
        <is>
          <t>兆豐國際商業銀行</t>
        </is>
      </c>
      <c r="C136" s="37" t="n">
        <v>48</v>
      </c>
      <c r="D136" s="37" t="n">
        <v>29</v>
      </c>
      <c r="E136" s="37" t="n">
        <v>19</v>
      </c>
      <c r="F136" s="37" t="n">
        <v>14</v>
      </c>
      <c r="G136" s="37" t="n">
        <v>11</v>
      </c>
      <c r="H136" s="37" t="n">
        <v>9</v>
      </c>
      <c r="I136" s="37" t="n">
        <v>7</v>
      </c>
      <c r="J136" s="37" t="n">
        <v>6</v>
      </c>
      <c r="K136" s="37" t="n">
        <v>4</v>
      </c>
      <c r="L136" s="37" t="n">
        <v>4</v>
      </c>
      <c r="M136" s="37" t="n">
        <v>3</v>
      </c>
      <c r="N136" s="37" t="n">
        <v>2</v>
      </c>
      <c r="O136" s="37" t="n">
        <v>3</v>
      </c>
      <c r="P136" s="37" t="n">
        <v>3</v>
      </c>
    </row>
    <row r="137">
      <c r="B137" s="36" t="inlineStr">
        <is>
          <t>渣打國際商業銀行</t>
        </is>
      </c>
      <c r="C137" s="37" t="n">
        <v>25</v>
      </c>
      <c r="D137" s="37" t="n">
        <v>21</v>
      </c>
      <c r="E137" s="37" t="n">
        <v>20</v>
      </c>
      <c r="F137" s="37" t="n">
        <v>7</v>
      </c>
      <c r="G137" s="37" t="n">
        <v>8</v>
      </c>
      <c r="H137" s="37" t="n">
        <v>8</v>
      </c>
      <c r="I137" s="37" t="n">
        <v>7</v>
      </c>
      <c r="J137" s="37" t="n">
        <v>7</v>
      </c>
      <c r="K137" s="37" t="n">
        <v>6</v>
      </c>
      <c r="L137" s="37" t="n">
        <v>5</v>
      </c>
      <c r="M137" s="37" t="n">
        <v>4</v>
      </c>
      <c r="N137" s="37" t="n">
        <v>5</v>
      </c>
      <c r="O137" s="37" t="n">
        <v>4</v>
      </c>
      <c r="P137" s="37" t="n">
        <v>3</v>
      </c>
    </row>
    <row r="138">
      <c r="B138" s="36" t="inlineStr">
        <is>
          <t>匯豐(台灣)商業銀行</t>
        </is>
      </c>
      <c r="C138" s="36" t="inlineStr">
        <is>
          <t>－</t>
        </is>
      </c>
      <c r="D138" s="36" t="inlineStr">
        <is>
          <t>－</t>
        </is>
      </c>
      <c r="E138" s="36" t="inlineStr">
        <is>
          <t>－</t>
        </is>
      </c>
      <c r="F138" s="36" t="inlineStr">
        <is>
          <t>－</t>
        </is>
      </c>
      <c r="G138" s="37" t="n">
        <v>7</v>
      </c>
      <c r="H138" s="37" t="n">
        <v>9</v>
      </c>
      <c r="I138" s="37" t="n">
        <v>11</v>
      </c>
      <c r="J138" s="37" t="n">
        <v>12</v>
      </c>
      <c r="K138" s="37" t="n">
        <v>10</v>
      </c>
      <c r="L138" s="37" t="n">
        <v>9</v>
      </c>
      <c r="M138" s="37" t="n">
        <v>9</v>
      </c>
      <c r="N138" s="37" t="n">
        <v>9</v>
      </c>
      <c r="O138" s="37" t="n">
        <v>9</v>
      </c>
      <c r="P138" s="37" t="n">
        <v>8</v>
      </c>
    </row>
    <row r="139">
      <c r="B139" s="36" t="inlineStr">
        <is>
          <t>臺灣新光商業銀行</t>
        </is>
      </c>
      <c r="C139" s="37" t="n">
        <v>57</v>
      </c>
      <c r="D139" s="37" t="n">
        <v>20</v>
      </c>
      <c r="E139" s="37" t="n">
        <v>20</v>
      </c>
      <c r="F139" s="37" t="n">
        <v>15</v>
      </c>
      <c r="G139" s="37" t="n">
        <v>11</v>
      </c>
      <c r="H139" s="37" t="n">
        <v>10</v>
      </c>
      <c r="I139" s="37" t="n">
        <v>9</v>
      </c>
      <c r="J139" s="37" t="n">
        <v>5</v>
      </c>
      <c r="K139" s="37" t="n">
        <v>5</v>
      </c>
      <c r="L139" s="37" t="n">
        <v>6</v>
      </c>
      <c r="M139" s="37" t="n">
        <v>5</v>
      </c>
      <c r="N139" s="37" t="n">
        <v>5</v>
      </c>
      <c r="O139" s="37" t="n">
        <v>5</v>
      </c>
      <c r="P139" s="37" t="n">
        <v>4</v>
      </c>
    </row>
    <row r="140">
      <c r="B140" s="36" t="inlineStr">
        <is>
          <t>元大商業銀行</t>
        </is>
      </c>
      <c r="C140" s="37" t="n">
        <v>17</v>
      </c>
      <c r="D140" s="37" t="n">
        <v>5</v>
      </c>
      <c r="E140" s="37" t="n">
        <v>8</v>
      </c>
      <c r="F140" s="37" t="n">
        <v>4</v>
      </c>
      <c r="G140" s="37" t="n">
        <v>3</v>
      </c>
      <c r="H140" s="37" t="n">
        <v>3</v>
      </c>
      <c r="I140" s="37" t="n">
        <v>3</v>
      </c>
      <c r="J140" s="37" t="n">
        <v>2</v>
      </c>
      <c r="K140" s="37" t="n">
        <v>1</v>
      </c>
      <c r="L140" s="37" t="n">
        <v>1</v>
      </c>
      <c r="M140" s="37" t="n">
        <v>1</v>
      </c>
      <c r="N140" s="37" t="n">
        <v>0</v>
      </c>
      <c r="O140" s="37" t="n">
        <v>11</v>
      </c>
      <c r="P140" s="37" t="n">
        <v>8</v>
      </c>
    </row>
    <row r="141">
      <c r="B141" s="36" t="inlineStr">
        <is>
          <t>凱基商業銀行</t>
        </is>
      </c>
      <c r="C141" s="37" t="n">
        <v>24</v>
      </c>
      <c r="D141" s="37" t="n">
        <v>9</v>
      </c>
      <c r="E141" s="37" t="n">
        <v>8</v>
      </c>
      <c r="F141" s="37" t="n">
        <v>8</v>
      </c>
      <c r="G141" s="37" t="n">
        <v>6</v>
      </c>
      <c r="H141" s="37" t="n">
        <v>6</v>
      </c>
      <c r="I141" s="37" t="n">
        <v>6</v>
      </c>
      <c r="J141" s="37" t="n">
        <v>6</v>
      </c>
      <c r="K141" s="37" t="n">
        <v>5</v>
      </c>
      <c r="L141" s="37" t="n">
        <v>5</v>
      </c>
      <c r="M141" s="37" t="n">
        <v>4</v>
      </c>
      <c r="N141" s="37" t="n">
        <v>3</v>
      </c>
      <c r="O141" s="37" t="n">
        <v>3</v>
      </c>
      <c r="P141" s="37" t="n">
        <v>3</v>
      </c>
    </row>
    <row r="142">
      <c r="B142" s="36" t="inlineStr">
        <is>
          <t>星展(台灣)商業銀行</t>
        </is>
      </c>
      <c r="C142" s="36" t="inlineStr">
        <is>
          <t>－</t>
        </is>
      </c>
      <c r="D142" s="36" t="inlineStr">
        <is>
          <t>－</t>
        </is>
      </c>
      <c r="E142" s="36" t="inlineStr">
        <is>
          <t>－</t>
        </is>
      </c>
      <c r="F142" s="36" t="inlineStr">
        <is>
          <t>－</t>
        </is>
      </c>
      <c r="G142" s="36" t="inlineStr">
        <is>
          <t>－</t>
        </is>
      </c>
      <c r="H142" s="36" t="inlineStr">
        <is>
          <t>－</t>
        </is>
      </c>
      <c r="I142" s="37" t="n">
        <v>0</v>
      </c>
      <c r="J142" s="37" t="n">
        <v>0</v>
      </c>
      <c r="K142" s="37" t="n">
        <v>0</v>
      </c>
      <c r="L142" s="37" t="n">
        <v>0</v>
      </c>
      <c r="M142" s="37" t="n">
        <v>0</v>
      </c>
      <c r="N142" s="37" t="n">
        <v>1</v>
      </c>
      <c r="O142" s="37" t="n">
        <v>11</v>
      </c>
      <c r="P142" s="37" t="n">
        <v>12</v>
      </c>
    </row>
    <row r="143">
      <c r="B143" s="36" t="inlineStr">
        <is>
          <t>台灣樂天信用卡股份有限公司</t>
        </is>
      </c>
      <c r="C143" s="36" t="inlineStr">
        <is>
          <t>－</t>
        </is>
      </c>
      <c r="D143" s="36" t="inlineStr">
        <is>
          <t>－</t>
        </is>
      </c>
      <c r="E143" s="36" t="inlineStr">
        <is>
          <t>－</t>
        </is>
      </c>
      <c r="F143" s="36" t="inlineStr">
        <is>
          <t>－</t>
        </is>
      </c>
      <c r="G143" s="36" t="inlineStr">
        <is>
          <t>－</t>
        </is>
      </c>
      <c r="H143" s="36" t="inlineStr">
        <is>
          <t>－</t>
        </is>
      </c>
      <c r="I143" s="36" t="inlineStr">
        <is>
          <t>－</t>
        </is>
      </c>
      <c r="J143" s="36" t="inlineStr">
        <is>
          <t>－</t>
        </is>
      </c>
      <c r="K143" s="36" t="inlineStr">
        <is>
          <t>－</t>
        </is>
      </c>
      <c r="L143" s="37" t="n">
        <v>0</v>
      </c>
      <c r="M143" s="37" t="n">
        <v>1</v>
      </c>
      <c r="N143" s="37" t="n">
        <v>2</v>
      </c>
      <c r="O143" s="37" t="n">
        <v>2</v>
      </c>
      <c r="P143" s="37" t="n">
        <v>2</v>
      </c>
    </row>
    <row r="144">
      <c r="B144" s="36" t="inlineStr">
        <is>
          <t>台灣美國運通國際(股)公司</t>
        </is>
      </c>
      <c r="C144" s="37" t="n">
        <v>2</v>
      </c>
      <c r="D144" s="37" t="n">
        <v>0</v>
      </c>
      <c r="E144" s="36" t="inlineStr">
        <is>
          <t>－</t>
        </is>
      </c>
      <c r="F144" s="37" t="n">
        <v>0</v>
      </c>
      <c r="G144" s="37" t="n">
        <v>0</v>
      </c>
      <c r="H144" s="37" t="n">
        <v>0</v>
      </c>
      <c r="I144" s="37" t="n">
        <v>0</v>
      </c>
      <c r="J144" s="37" t="n">
        <v>0</v>
      </c>
      <c r="K144" s="37" t="n">
        <v>0</v>
      </c>
      <c r="L144" s="37" t="n">
        <v>0</v>
      </c>
      <c r="M144" s="37" t="n">
        <v>0</v>
      </c>
      <c r="N144" s="37" t="n">
        <v>0</v>
      </c>
      <c r="O144" s="37" t="n">
        <v>0</v>
      </c>
      <c r="P144" s="37" t="n">
        <v>0</v>
      </c>
    </row>
    <row r="145">
      <c r="A145" s="36" t="inlineStr">
        <is>
          <t>收單特約商店家數</t>
        </is>
      </c>
      <c r="B145" s="36" t="inlineStr">
        <is>
          <t>第一商業銀行</t>
        </is>
      </c>
      <c r="C145" s="37" t="n">
        <v>370</v>
      </c>
      <c r="D145" s="37" t="n">
        <v>335</v>
      </c>
      <c r="E145" s="37" t="n">
        <v>5</v>
      </c>
      <c r="F145" s="36" t="inlineStr">
        <is>
          <t>－</t>
        </is>
      </c>
      <c r="G145" s="36" t="inlineStr">
        <is>
          <t>－</t>
        </is>
      </c>
      <c r="H145" s="36" t="inlineStr">
        <is>
          <t>－</t>
        </is>
      </c>
      <c r="I145" s="37" t="n">
        <v>57</v>
      </c>
      <c r="J145" s="37" t="n">
        <v>303</v>
      </c>
      <c r="K145" s="37" t="n">
        <v>687</v>
      </c>
      <c r="L145" s="37" t="n">
        <v>1988</v>
      </c>
      <c r="M145" s="37" t="n">
        <v>4800</v>
      </c>
      <c r="N145" s="37" t="n">
        <v>6841</v>
      </c>
      <c r="O145" s="37" t="n">
        <v>8467</v>
      </c>
      <c r="P145" s="37" t="n">
        <v>15623</v>
      </c>
    </row>
    <row r="146">
      <c r="B146" s="36" t="inlineStr">
        <is>
          <t>華南商業銀行</t>
        </is>
      </c>
      <c r="C146" s="37" t="n">
        <v>4128</v>
      </c>
      <c r="D146" s="37" t="n">
        <v>3783</v>
      </c>
      <c r="E146" s="37" t="n">
        <v>3663</v>
      </c>
      <c r="F146" s="37" t="n">
        <v>3388</v>
      </c>
      <c r="G146" s="37" t="n">
        <v>3049</v>
      </c>
      <c r="H146" s="37" t="n">
        <v>3626</v>
      </c>
      <c r="I146" s="37" t="n">
        <v>4348</v>
      </c>
      <c r="J146" s="37" t="n">
        <v>5014</v>
      </c>
      <c r="K146" s="37" t="n">
        <v>5359</v>
      </c>
      <c r="L146" s="37" t="n">
        <v>5729</v>
      </c>
      <c r="M146" s="37" t="n">
        <v>5721</v>
      </c>
      <c r="N146" s="37" t="n">
        <v>5688</v>
      </c>
      <c r="O146" s="37" t="n">
        <v>5518</v>
      </c>
      <c r="P146" s="37" t="n">
        <v>6993</v>
      </c>
    </row>
    <row r="147">
      <c r="B147" s="36" t="inlineStr">
        <is>
          <t>兆豐國際商業銀行</t>
        </is>
      </c>
      <c r="C147" s="37" t="n">
        <v>285</v>
      </c>
      <c r="D147" s="37" t="n">
        <v>280</v>
      </c>
      <c r="E147" s="37" t="n">
        <v>284</v>
      </c>
      <c r="F147" s="37" t="n">
        <v>349</v>
      </c>
      <c r="G147" s="37" t="n">
        <v>361</v>
      </c>
      <c r="H147" s="37" t="n">
        <v>282</v>
      </c>
      <c r="I147" s="37" t="n">
        <v>273</v>
      </c>
      <c r="J147" s="37" t="n">
        <v>39</v>
      </c>
      <c r="K147" s="37" t="n">
        <v>61</v>
      </c>
      <c r="L147" s="37" t="n">
        <v>61</v>
      </c>
      <c r="M147" s="37" t="n">
        <v>62</v>
      </c>
      <c r="N147" s="37" t="n">
        <v>66</v>
      </c>
      <c r="O147" s="37" t="n">
        <v>104</v>
      </c>
      <c r="P147" s="37" t="n">
        <v>241</v>
      </c>
    </row>
    <row r="148">
      <c r="B148" s="36" t="inlineStr">
        <is>
          <t>渣打國際商業銀行</t>
        </is>
      </c>
      <c r="C148" s="36" t="inlineStr">
        <is>
          <t>－</t>
        </is>
      </c>
      <c r="D148" s="36" t="inlineStr">
        <is>
          <t>－</t>
        </is>
      </c>
      <c r="E148" s="36" t="inlineStr">
        <is>
          <t>－</t>
        </is>
      </c>
      <c r="F148" s="36" t="inlineStr">
        <is>
          <t>－</t>
        </is>
      </c>
      <c r="G148" s="36" t="inlineStr">
        <is>
          <t>－</t>
        </is>
      </c>
      <c r="H148" s="36" t="inlineStr">
        <is>
          <t>－</t>
        </is>
      </c>
      <c r="I148" s="36" t="inlineStr">
        <is>
          <t>－</t>
        </is>
      </c>
      <c r="J148" s="36" t="inlineStr">
        <is>
          <t>－</t>
        </is>
      </c>
      <c r="K148" s="36" t="inlineStr">
        <is>
          <t>－</t>
        </is>
      </c>
      <c r="L148" s="37" t="n">
        <v>30</v>
      </c>
      <c r="M148" s="37" t="n">
        <v>30</v>
      </c>
      <c r="N148" s="37" t="n">
        <v>30</v>
      </c>
      <c r="O148" s="37" t="n">
        <v>30</v>
      </c>
      <c r="P148" s="37" t="n">
        <v>30</v>
      </c>
    </row>
    <row r="149">
      <c r="B149" s="36" t="inlineStr">
        <is>
          <t>匯豐(台灣)商業銀行</t>
        </is>
      </c>
      <c r="C149" s="36" t="inlineStr">
        <is>
          <t>－</t>
        </is>
      </c>
      <c r="D149" s="36" t="inlineStr">
        <is>
          <t>－</t>
        </is>
      </c>
      <c r="E149" s="36" t="inlineStr">
        <is>
          <t>－</t>
        </is>
      </c>
      <c r="F149" s="36" t="inlineStr">
        <is>
          <t>－</t>
        </is>
      </c>
      <c r="G149" s="37" t="n">
        <v>6</v>
      </c>
      <c r="H149" s="37" t="n">
        <v>6</v>
      </c>
      <c r="I149" s="37" t="n">
        <v>6</v>
      </c>
      <c r="J149" s="37" t="n">
        <v>6</v>
      </c>
      <c r="K149" s="37" t="n">
        <v>6</v>
      </c>
      <c r="L149" s="37" t="n">
        <v>6</v>
      </c>
      <c r="M149" s="36" t="inlineStr">
        <is>
          <t>－</t>
        </is>
      </c>
      <c r="N149" s="36" t="inlineStr">
        <is>
          <t>－</t>
        </is>
      </c>
      <c r="O149" s="36" t="inlineStr">
        <is>
          <t>－</t>
        </is>
      </c>
      <c r="P149" s="36" t="inlineStr">
        <is>
          <t>－</t>
        </is>
      </c>
    </row>
    <row r="150">
      <c r="B150" s="36" t="inlineStr">
        <is>
          <t>臺灣新光商業銀行</t>
        </is>
      </c>
      <c r="C150" s="36" t="inlineStr">
        <is>
          <t>－</t>
        </is>
      </c>
      <c r="D150" s="37" t="n">
        <v>246</v>
      </c>
      <c r="E150" s="37" t="n">
        <v>1537</v>
      </c>
      <c r="F150" s="37" t="n">
        <v>2423</v>
      </c>
      <c r="G150" s="37" t="n">
        <v>2887</v>
      </c>
      <c r="H150" s="37" t="n">
        <v>2672</v>
      </c>
      <c r="I150" s="37" t="n">
        <v>2036</v>
      </c>
      <c r="J150" s="37" t="n">
        <v>2390</v>
      </c>
      <c r="K150" s="37" t="n">
        <v>2095</v>
      </c>
      <c r="L150" s="37" t="n">
        <v>2080</v>
      </c>
      <c r="M150" s="37" t="n">
        <v>1933</v>
      </c>
      <c r="N150" s="37" t="n">
        <v>1901</v>
      </c>
      <c r="O150" s="37" t="n">
        <v>2041</v>
      </c>
      <c r="P150" s="37" t="n">
        <v>5632</v>
      </c>
    </row>
    <row r="151">
      <c r="B151" s="36" t="inlineStr">
        <is>
          <t>元大商業銀行</t>
        </is>
      </c>
      <c r="C151" s="36" t="inlineStr">
        <is>
          <t>－</t>
        </is>
      </c>
      <c r="D151" s="36" t="inlineStr">
        <is>
          <t>－</t>
        </is>
      </c>
      <c r="E151" s="36" t="inlineStr">
        <is>
          <t>－</t>
        </is>
      </c>
      <c r="F151" s="36" t="inlineStr">
        <is>
          <t>－</t>
        </is>
      </c>
      <c r="G151" s="36" t="inlineStr">
        <is>
          <t>－</t>
        </is>
      </c>
      <c r="H151" s="36" t="inlineStr">
        <is>
          <t>－</t>
        </is>
      </c>
      <c r="I151" s="37" t="n">
        <v>9</v>
      </c>
      <c r="J151" s="37" t="n">
        <v>22</v>
      </c>
      <c r="K151" s="37" t="n">
        <v>79</v>
      </c>
      <c r="L151" s="37" t="n">
        <v>125</v>
      </c>
      <c r="M151" s="37" t="n">
        <v>139</v>
      </c>
      <c r="N151" s="37" t="n">
        <v>134</v>
      </c>
      <c r="O151" s="37" t="n">
        <v>992</v>
      </c>
      <c r="P151" s="37" t="n">
        <v>852</v>
      </c>
    </row>
    <row r="152">
      <c r="B152" s="36" t="inlineStr">
        <is>
          <t>凱基商業銀行</t>
        </is>
      </c>
      <c r="C152" s="36" t="inlineStr">
        <is>
          <t>－</t>
        </is>
      </c>
      <c r="D152" s="36" t="inlineStr">
        <is>
          <t>－</t>
        </is>
      </c>
      <c r="E152" s="36" t="inlineStr">
        <is>
          <t>－</t>
        </is>
      </c>
      <c r="F152" s="36" t="inlineStr">
        <is>
          <t>－</t>
        </is>
      </c>
      <c r="G152" s="36" t="inlineStr">
        <is>
          <t>－</t>
        </is>
      </c>
      <c r="H152" s="36" t="inlineStr">
        <is>
          <t>－</t>
        </is>
      </c>
      <c r="I152" s="37" t="n">
        <v>21</v>
      </c>
      <c r="J152" s="37" t="n">
        <v>662</v>
      </c>
      <c r="K152" s="37" t="n">
        <v>3224</v>
      </c>
      <c r="L152" s="37" t="n">
        <v>5370</v>
      </c>
      <c r="M152" s="37" t="n">
        <v>7814</v>
      </c>
      <c r="N152" s="37" t="n">
        <v>4640</v>
      </c>
      <c r="O152" s="37" t="n">
        <v>5604</v>
      </c>
      <c r="P152" s="37" t="n">
        <v>4606</v>
      </c>
    </row>
    <row r="153">
      <c r="B153" s="36" t="inlineStr">
        <is>
          <t>星展(台灣)商業銀行</t>
        </is>
      </c>
      <c r="C153" s="36" t="inlineStr">
        <is>
          <t>－</t>
        </is>
      </c>
      <c r="D153" s="36" t="inlineStr">
        <is>
          <t>－</t>
        </is>
      </c>
      <c r="E153" s="36" t="inlineStr">
        <is>
          <t>－</t>
        </is>
      </c>
      <c r="F153" s="36" t="inlineStr">
        <is>
          <t>－</t>
        </is>
      </c>
      <c r="G153" s="36" t="inlineStr">
        <is>
          <t>－</t>
        </is>
      </c>
      <c r="H153" s="36" t="inlineStr">
        <is>
          <t>－</t>
        </is>
      </c>
      <c r="I153" s="36" t="inlineStr">
        <is>
          <t>－</t>
        </is>
      </c>
      <c r="J153" s="36" t="inlineStr">
        <is>
          <t>－</t>
        </is>
      </c>
      <c r="K153" s="36" t="inlineStr">
        <is>
          <t>－</t>
        </is>
      </c>
      <c r="L153" s="36" t="inlineStr">
        <is>
          <t>－</t>
        </is>
      </c>
      <c r="M153" s="36" t="inlineStr">
        <is>
          <t>－</t>
        </is>
      </c>
      <c r="N153" s="37" t="n">
        <v>60</v>
      </c>
      <c r="O153" s="37" t="n">
        <v>60</v>
      </c>
      <c r="P153" s="37" t="n">
        <v>55</v>
      </c>
    </row>
    <row r="154">
      <c r="B154" s="36" t="inlineStr">
        <is>
          <t>台灣樂天信用卡股份有限公司</t>
        </is>
      </c>
      <c r="C154" s="36" t="inlineStr">
        <is>
          <t>－</t>
        </is>
      </c>
      <c r="D154" s="36" t="inlineStr">
        <is>
          <t>－</t>
        </is>
      </c>
      <c r="E154" s="36" t="inlineStr">
        <is>
          <t>－</t>
        </is>
      </c>
      <c r="F154" s="36" t="inlineStr">
        <is>
          <t>－</t>
        </is>
      </c>
      <c r="G154" s="36" t="inlineStr">
        <is>
          <t>－</t>
        </is>
      </c>
      <c r="H154" s="36" t="inlineStr">
        <is>
          <t>－</t>
        </is>
      </c>
      <c r="I154" s="36" t="inlineStr">
        <is>
          <t>－</t>
        </is>
      </c>
      <c r="J154" s="36" t="inlineStr">
        <is>
          <t>－</t>
        </is>
      </c>
      <c r="K154" s="36" t="inlineStr">
        <is>
          <t>－</t>
        </is>
      </c>
      <c r="L154" s="36" t="inlineStr">
        <is>
          <t>－</t>
        </is>
      </c>
      <c r="M154" s="36" t="inlineStr">
        <is>
          <t>－</t>
        </is>
      </c>
      <c r="N154" s="36" t="inlineStr">
        <is>
          <t>－</t>
        </is>
      </c>
      <c r="O154" s="36" t="inlineStr">
        <is>
          <t>－</t>
        </is>
      </c>
      <c r="P154" s="36" t="inlineStr">
        <is>
          <t>－</t>
        </is>
      </c>
    </row>
    <row r="155">
      <c r="B155" s="36" t="inlineStr">
        <is>
          <t>台灣美國運通國際(股)公司</t>
        </is>
      </c>
      <c r="C155" s="37" t="n">
        <v>65372</v>
      </c>
      <c r="D155" s="37" t="n">
        <v>64221</v>
      </c>
      <c r="E155" s="37" t="n">
        <v>69973</v>
      </c>
      <c r="F155" s="37" t="n">
        <v>67532</v>
      </c>
      <c r="G155" s="37" t="n">
        <v>70019</v>
      </c>
      <c r="H155" s="37" t="n">
        <v>72190</v>
      </c>
      <c r="I155" s="37" t="n">
        <v>73510</v>
      </c>
      <c r="J155" s="37" t="n">
        <v>75421</v>
      </c>
      <c r="K155" s="37" t="n">
        <v>80530</v>
      </c>
      <c r="L155" s="37" t="n">
        <v>82218</v>
      </c>
      <c r="M155" s="37" t="n">
        <v>83639</v>
      </c>
      <c r="N155" s="37" t="n">
        <v>84963</v>
      </c>
      <c r="O155" s="37" t="n">
        <v>88249</v>
      </c>
      <c r="P155" s="37" t="n">
        <v>93671</v>
      </c>
    </row>
  </sheetData>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38"/>
  <sheetViews>
    <sheetView zoomScaleNormal="100" workbookViewId="0">
      <selection activeCell="A2" sqref="A2"/>
    </sheetView>
  </sheetViews>
  <sheetFormatPr baseColWidth="8" defaultColWidth="9" defaultRowHeight="15.5"/>
  <cols>
    <col width="5.90625" customWidth="1" style="72" min="1" max="1"/>
    <col width="23" customWidth="1" style="72" min="2" max="2"/>
    <col width="5.90625" customWidth="1" style="72" min="3" max="4"/>
    <col width="10.6328125" customWidth="1" style="72" min="5" max="5"/>
    <col width="7.36328125" customWidth="1" style="72" min="6" max="6"/>
    <col width="5.90625" customWidth="1" style="30" min="7" max="7"/>
    <col width="9" customWidth="1" style="30" min="8" max="8"/>
    <col width="9" customWidth="1" style="72" min="9" max="12"/>
    <col width="9" customWidth="1" style="72" min="13" max="16384"/>
  </cols>
  <sheetData>
    <row r="1">
      <c r="A1" s="141" t="inlineStr">
        <is>
          <t>銀行</t>
        </is>
      </c>
      <c r="B1" s="141" t="inlineStr">
        <is>
          <t>頂級卡</t>
        </is>
      </c>
      <c r="C1" s="141" t="inlineStr">
        <is>
          <t>年收</t>
        </is>
      </c>
      <c r="D1" s="141" t="inlineStr">
        <is>
          <t>存款</t>
        </is>
      </c>
      <c r="E1" s="141" t="inlineStr">
        <is>
          <t>年收/存款</t>
        </is>
      </c>
      <c r="F1" s="141" t="inlineStr">
        <is>
          <t>年費</t>
        </is>
      </c>
      <c r="G1" s="141" t="inlineStr">
        <is>
          <t>制度</t>
        </is>
      </c>
      <c r="H1" s="141" t="inlineStr">
        <is>
          <t>會員</t>
        </is>
      </c>
    </row>
    <row r="2">
      <c r="A2" s="36" t="inlineStr">
        <is>
          <t>中信</t>
        </is>
      </c>
      <c r="B2" s="36" t="inlineStr">
        <is>
          <t>中信鼎極卡</t>
        </is>
      </c>
      <c r="C2" s="72" t="n">
        <v>200</v>
      </c>
      <c r="D2" s="72" t="n">
        <v>240</v>
      </c>
      <c r="E2" s="72" t="n">
        <v>240</v>
      </c>
      <c r="F2" s="72" t="n">
        <v>5000</v>
      </c>
      <c r="G2" s="67" t="inlineStr">
        <is>
          <t>申請</t>
        </is>
      </c>
    </row>
    <row r="3">
      <c r="A3" s="36" t="inlineStr">
        <is>
          <t>中信</t>
        </is>
      </c>
      <c r="B3" s="36" t="inlineStr">
        <is>
          <t>中信LINE PAY無限卡</t>
        </is>
      </c>
      <c r="C3" s="72" t="n">
        <v>0</v>
      </c>
      <c r="D3" s="72" t="n">
        <v>0</v>
      </c>
      <c r="E3" s="72" t="n">
        <v>0</v>
      </c>
      <c r="F3" s="72" t="n">
        <v>0</v>
      </c>
      <c r="G3" s="68" t="inlineStr">
        <is>
          <t>邀請</t>
        </is>
      </c>
      <c r="H3" s="30" t="inlineStr">
        <is>
          <t>LINE</t>
        </is>
      </c>
      <c r="I3" s="67" t="inlineStr">
        <is>
          <t>刷36萬</t>
        </is>
      </c>
    </row>
    <row r="4">
      <c r="A4" s="36" t="inlineStr">
        <is>
          <t>中信</t>
        </is>
      </c>
      <c r="B4" s="36" t="inlineStr">
        <is>
          <t>中信ANA極致卡</t>
        </is>
      </c>
      <c r="C4" s="72" t="n">
        <v>120</v>
      </c>
      <c r="D4" s="72" t="n">
        <v>150</v>
      </c>
      <c r="E4" s="72" t="n">
        <v>150</v>
      </c>
      <c r="F4" s="72" t="n">
        <v>8000</v>
      </c>
      <c r="G4" s="67" t="inlineStr">
        <is>
          <t>申請</t>
        </is>
      </c>
      <c r="H4" s="67" t="inlineStr">
        <is>
          <t>航空</t>
        </is>
      </c>
    </row>
    <row r="5">
      <c r="A5" s="36" t="inlineStr">
        <is>
          <t>中信</t>
        </is>
      </c>
      <c r="B5" s="36" t="inlineStr">
        <is>
          <t>中信大中華攜手飛無限卡</t>
        </is>
      </c>
      <c r="C5" s="72" t="n">
        <v>120</v>
      </c>
      <c r="D5" s="72" t="n">
        <v>150</v>
      </c>
      <c r="E5" s="72" t="n">
        <v>150</v>
      </c>
      <c r="F5" s="72" t="n">
        <v>8000</v>
      </c>
      <c r="G5" s="67" t="inlineStr">
        <is>
          <t>申請</t>
        </is>
      </c>
      <c r="H5" s="67" t="inlineStr">
        <is>
          <t>航空</t>
        </is>
      </c>
    </row>
    <row r="6">
      <c r="A6" s="36" t="inlineStr">
        <is>
          <t>中信</t>
        </is>
      </c>
      <c r="B6" s="36" t="inlineStr">
        <is>
          <t>中信LEXUS世界卡</t>
        </is>
      </c>
      <c r="C6" s="72" t="n">
        <v>120</v>
      </c>
      <c r="D6" s="72" t="n">
        <v>150</v>
      </c>
      <c r="E6" s="72" t="n">
        <v>150</v>
      </c>
      <c r="F6" s="72" t="n">
        <v>10000</v>
      </c>
      <c r="G6" s="67" t="inlineStr">
        <is>
          <t>申請</t>
        </is>
      </c>
      <c r="H6" s="67" t="inlineStr">
        <is>
          <t>車主</t>
        </is>
      </c>
    </row>
    <row r="7">
      <c r="A7" s="36" t="inlineStr">
        <is>
          <t>中信</t>
        </is>
      </c>
      <c r="B7" s="36" t="inlineStr">
        <is>
          <t>中信中華電信無限卡</t>
        </is>
      </c>
      <c r="C7" s="72" t="n">
        <v>120</v>
      </c>
      <c r="D7" s="72" t="n">
        <v>150</v>
      </c>
      <c r="E7" s="72" t="n">
        <v>150</v>
      </c>
      <c r="F7" s="72" t="n">
        <v>5000</v>
      </c>
      <c r="G7" s="67" t="inlineStr">
        <is>
          <t>申請</t>
        </is>
      </c>
    </row>
    <row r="8">
      <c r="A8" s="36" t="inlineStr">
        <is>
          <t>中信</t>
        </is>
      </c>
      <c r="B8" s="36" t="inlineStr">
        <is>
          <t>中信台北101無限卡</t>
        </is>
      </c>
      <c r="C8" s="72" t="n">
        <v>200</v>
      </c>
      <c r="D8" s="72" t="n">
        <v>0</v>
      </c>
      <c r="E8" s="72" t="n">
        <v>200</v>
      </c>
      <c r="F8" s="72" t="n">
        <v>5000</v>
      </c>
      <c r="G8" s="67" t="inlineStr">
        <is>
          <t>申請</t>
        </is>
      </c>
      <c r="H8" s="67" t="inlineStr">
        <is>
          <t>購物</t>
        </is>
      </c>
    </row>
    <row r="9">
      <c r="A9" s="36" t="inlineStr">
        <is>
          <t>國泰</t>
        </is>
      </c>
      <c r="B9" s="36" t="inlineStr">
        <is>
          <t>國泰世華世界卡</t>
        </is>
      </c>
      <c r="C9" s="72" t="n">
        <v>0</v>
      </c>
      <c r="D9" s="72" t="n">
        <v>300</v>
      </c>
      <c r="E9" s="72" t="n">
        <v>300</v>
      </c>
      <c r="F9" s="72" t="n">
        <v>20000</v>
      </c>
      <c r="G9" s="67" t="inlineStr">
        <is>
          <t>申請</t>
        </is>
      </c>
      <c r="H9" s="67" t="inlineStr">
        <is>
          <t>財管</t>
        </is>
      </c>
    </row>
    <row r="10">
      <c r="A10" s="36" t="inlineStr">
        <is>
          <t>國泰</t>
        </is>
      </c>
      <c r="B10" s="36" t="inlineStr">
        <is>
          <t>國泰Costco無限卡</t>
        </is>
      </c>
      <c r="C10" s="72" t="n">
        <v>200</v>
      </c>
      <c r="D10" s="72" t="n">
        <v>0</v>
      </c>
      <c r="E10" s="72" t="n">
        <v>200</v>
      </c>
      <c r="F10" s="72" t="n">
        <v>10000</v>
      </c>
      <c r="G10" s="67" t="inlineStr">
        <is>
          <t>申請</t>
        </is>
      </c>
      <c r="H10" s="67" t="inlineStr">
        <is>
          <t>購物</t>
        </is>
      </c>
    </row>
    <row r="11">
      <c r="A11" s="36" t="inlineStr">
        <is>
          <t>國泰</t>
        </is>
      </c>
      <c r="B11" s="36" t="inlineStr">
        <is>
          <t>國泰長榮航空極致無限卡</t>
        </is>
      </c>
      <c r="C11" s="72" t="n">
        <v>200</v>
      </c>
      <c r="D11" s="72" t="n">
        <v>0</v>
      </c>
      <c r="E11" s="72" t="n">
        <v>200</v>
      </c>
      <c r="F11" s="72" t="n">
        <v>20000</v>
      </c>
      <c r="G11" s="67" t="inlineStr">
        <is>
          <t>申請</t>
        </is>
      </c>
      <c r="H11" s="67" t="inlineStr">
        <is>
          <t>航空</t>
        </is>
      </c>
    </row>
    <row r="12">
      <c r="A12" s="36" t="inlineStr">
        <is>
          <t>國泰</t>
        </is>
      </c>
      <c r="B12" s="36" t="inlineStr">
        <is>
          <t>國泰亞洲萬里通世界卡</t>
        </is>
      </c>
      <c r="C12" s="72" t="n">
        <v>200</v>
      </c>
      <c r="D12" s="72" t="n">
        <v>0</v>
      </c>
      <c r="E12" s="72" t="n">
        <v>200</v>
      </c>
      <c r="F12" s="72" t="n">
        <v>8000</v>
      </c>
      <c r="G12" s="67" t="inlineStr">
        <is>
          <t>申請</t>
        </is>
      </c>
      <c r="H12" s="67" t="inlineStr">
        <is>
          <t>航空</t>
        </is>
      </c>
    </row>
    <row r="13">
      <c r="A13" s="36" t="inlineStr">
        <is>
          <t>玉山</t>
        </is>
      </c>
      <c r="B13" s="36" t="inlineStr">
        <is>
          <t>玉山世界卡</t>
        </is>
      </c>
      <c r="C13" s="72" t="n">
        <v>200</v>
      </c>
      <c r="D13" s="72" t="n">
        <v>0</v>
      </c>
      <c r="E13" s="72" t="n">
        <v>200</v>
      </c>
      <c r="F13" s="72" t="n">
        <v>10000</v>
      </c>
      <c r="G13" s="68" t="inlineStr">
        <is>
          <t>邀請</t>
        </is>
      </c>
    </row>
    <row r="14">
      <c r="A14" s="36" t="inlineStr">
        <is>
          <t>玉山</t>
        </is>
      </c>
      <c r="B14" s="36" t="inlineStr">
        <is>
          <t>玉山醫師無限卡</t>
        </is>
      </c>
      <c r="C14" s="72" t="n">
        <v>0</v>
      </c>
      <c r="D14" s="72" t="n">
        <v>0</v>
      </c>
      <c r="E14" s="72" t="n">
        <v>0</v>
      </c>
      <c r="F14" s="72" t="n">
        <v>10000</v>
      </c>
      <c r="G14" s="67" t="inlineStr">
        <is>
          <t>申請</t>
        </is>
      </c>
      <c r="H14" s="67" t="inlineStr">
        <is>
          <t>公會</t>
        </is>
      </c>
    </row>
    <row r="15">
      <c r="A15" s="36" t="inlineStr">
        <is>
          <t>玉山</t>
        </is>
      </c>
      <c r="B15" s="36" t="inlineStr">
        <is>
          <t>玉山牙醫無限卡</t>
        </is>
      </c>
      <c r="C15" s="72" t="n">
        <v>0</v>
      </c>
      <c r="D15" s="72" t="n">
        <v>0</v>
      </c>
      <c r="E15" s="72" t="n">
        <v>0</v>
      </c>
      <c r="F15" s="72" t="n">
        <v>10000</v>
      </c>
      <c r="G15" s="67" t="inlineStr">
        <is>
          <t>申請</t>
        </is>
      </c>
      <c r="H15" s="67" t="inlineStr">
        <is>
          <t>公會</t>
        </is>
      </c>
    </row>
    <row r="16">
      <c r="A16" s="36" t="inlineStr">
        <is>
          <t>玉山</t>
        </is>
      </c>
      <c r="B16" s="36" t="inlineStr">
        <is>
          <t>玉山中醫無限卡</t>
        </is>
      </c>
      <c r="C16" s="72" t="n">
        <v>0</v>
      </c>
      <c r="D16" s="72" t="n">
        <v>0</v>
      </c>
      <c r="E16" s="72" t="n">
        <v>0</v>
      </c>
      <c r="F16" s="72" t="n">
        <v>10000</v>
      </c>
      <c r="G16" s="67" t="inlineStr">
        <is>
          <t>申請</t>
        </is>
      </c>
      <c r="H16" s="67" t="inlineStr">
        <is>
          <t>公會</t>
        </is>
      </c>
    </row>
    <row r="17">
      <c r="A17" s="36" t="inlineStr">
        <is>
          <t>玉山</t>
        </is>
      </c>
      <c r="B17" s="36" t="inlineStr">
        <is>
          <t>玉山會計師無限卡</t>
        </is>
      </c>
      <c r="C17" s="72" t="n">
        <v>0</v>
      </c>
      <c r="D17" s="72" t="n">
        <v>0</v>
      </c>
      <c r="E17" s="72" t="n">
        <v>0</v>
      </c>
      <c r="F17" s="72" t="n">
        <v>10000</v>
      </c>
      <c r="G17" s="67" t="inlineStr">
        <is>
          <t>申請</t>
        </is>
      </c>
      <c r="H17" s="67" t="inlineStr">
        <is>
          <t>公會</t>
        </is>
      </c>
    </row>
    <row r="18">
      <c r="A18" s="36" t="inlineStr">
        <is>
          <t>玉山</t>
        </is>
      </c>
      <c r="B18" s="36" t="inlineStr">
        <is>
          <t>玉山建築師無限卡</t>
        </is>
      </c>
      <c r="C18" s="72" t="n">
        <v>0</v>
      </c>
      <c r="D18" s="72" t="n">
        <v>0</v>
      </c>
      <c r="E18" s="72" t="n">
        <v>0</v>
      </c>
      <c r="F18" s="72" t="n">
        <v>10000</v>
      </c>
      <c r="G18" s="67" t="inlineStr">
        <is>
          <t>申請</t>
        </is>
      </c>
      <c r="H18" s="67" t="inlineStr">
        <is>
          <t>公會</t>
        </is>
      </c>
    </row>
    <row r="19">
      <c r="A19" s="36" t="inlineStr">
        <is>
          <t>台新</t>
        </is>
      </c>
      <c r="B19" s="36" t="inlineStr">
        <is>
          <t>台新財富無限卡</t>
        </is>
      </c>
      <c r="C19" s="72" t="n">
        <v>0</v>
      </c>
      <c r="D19" s="72" t="n">
        <v>100</v>
      </c>
      <c r="E19" s="72" t="n">
        <v>100</v>
      </c>
      <c r="F19" s="72" t="n">
        <v>10000</v>
      </c>
      <c r="G19" s="68" t="inlineStr">
        <is>
          <t>邀請</t>
        </is>
      </c>
      <c r="H19" s="67" t="inlineStr">
        <is>
          <t>財管</t>
        </is>
      </c>
    </row>
    <row r="20">
      <c r="A20" s="36" t="inlineStr">
        <is>
          <t>台新</t>
        </is>
      </c>
      <c r="B20" s="36" t="inlineStr">
        <is>
          <t>台新環球無限卡</t>
        </is>
      </c>
      <c r="C20" s="72" t="n">
        <v>200</v>
      </c>
      <c r="D20" s="72" t="n">
        <v>0</v>
      </c>
      <c r="E20" s="72" t="n">
        <v>200</v>
      </c>
      <c r="F20" s="72" t="n">
        <v>30000</v>
      </c>
      <c r="G20" s="67" t="inlineStr">
        <is>
          <t>申請</t>
        </is>
      </c>
    </row>
    <row r="21">
      <c r="A21" s="36" t="inlineStr">
        <is>
          <t>台新</t>
        </is>
      </c>
      <c r="B21" s="36" t="inlineStr">
        <is>
          <t>台新亞洲無限卡</t>
        </is>
      </c>
      <c r="C21" s="72" t="n">
        <v>140</v>
      </c>
      <c r="D21" s="72" t="n">
        <v>0</v>
      </c>
      <c r="E21" s="72" t="n">
        <v>140</v>
      </c>
      <c r="F21" s="72" t="n">
        <v>25000</v>
      </c>
      <c r="G21" s="67" t="inlineStr">
        <is>
          <t>申請</t>
        </is>
      </c>
    </row>
    <row r="22">
      <c r="A22" s="36" t="inlineStr">
        <is>
          <t>台新</t>
        </is>
      </c>
      <c r="B22" s="36" t="inlineStr">
        <is>
          <t>台新國泰航空世界卡</t>
        </is>
      </c>
      <c r="C22" s="72" t="n">
        <v>0</v>
      </c>
      <c r="D22" s="72" t="n">
        <v>0</v>
      </c>
      <c r="E22" s="72" t="n">
        <v>0</v>
      </c>
      <c r="F22" s="72" t="n">
        <v>20000</v>
      </c>
      <c r="G22" s="67" t="inlineStr">
        <is>
          <t>申請</t>
        </is>
      </c>
      <c r="H22" s="67" t="inlineStr">
        <is>
          <t>航空</t>
        </is>
      </c>
    </row>
    <row r="23">
      <c r="A23" s="36" t="inlineStr">
        <is>
          <t>台新</t>
        </is>
      </c>
      <c r="B23" s="36" t="inlineStr">
        <is>
          <t>台新M-Benz無限卡</t>
        </is>
      </c>
      <c r="C23" s="72" t="n">
        <v>140</v>
      </c>
      <c r="D23" s="72" t="n">
        <v>0</v>
      </c>
      <c r="E23" s="72" t="n">
        <v>140</v>
      </c>
      <c r="F23" s="72" t="n">
        <v>10000</v>
      </c>
      <c r="G23" s="67" t="inlineStr">
        <is>
          <t>申請</t>
        </is>
      </c>
      <c r="H23" s="67" t="inlineStr">
        <is>
          <t>車主</t>
        </is>
      </c>
    </row>
    <row r="24">
      <c r="A24" s="36" t="inlineStr">
        <is>
          <t>台新</t>
        </is>
      </c>
      <c r="B24" s="36" t="inlineStr">
        <is>
          <t>台新新光三越卡</t>
        </is>
      </c>
      <c r="C24" s="72" t="n">
        <v>0</v>
      </c>
      <c r="D24" s="72" t="n">
        <v>0</v>
      </c>
      <c r="E24" s="72" t="n">
        <v>0</v>
      </c>
      <c r="F24" s="72" t="n">
        <v>4500</v>
      </c>
      <c r="G24" s="67" t="inlineStr">
        <is>
          <t>申請</t>
        </is>
      </c>
      <c r="H24" s="67" t="inlineStr">
        <is>
          <t>購物</t>
        </is>
      </c>
    </row>
    <row r="25">
      <c r="A25" s="36" t="inlineStr">
        <is>
          <t>台新</t>
        </is>
      </c>
      <c r="B25" s="36" t="inlineStr">
        <is>
          <t>台新昇恆昌無限卡</t>
        </is>
      </c>
      <c r="C25" s="72" t="n">
        <v>120</v>
      </c>
      <c r="D25" s="72" t="n">
        <v>0</v>
      </c>
      <c r="E25" s="72" t="n">
        <v>120</v>
      </c>
      <c r="F25" s="72" t="n">
        <v>25000</v>
      </c>
      <c r="G25" s="67" t="inlineStr">
        <is>
          <t>申請</t>
        </is>
      </c>
      <c r="H25" s="67" t="inlineStr">
        <is>
          <t>購物</t>
        </is>
      </c>
    </row>
    <row r="26">
      <c r="A26" s="36" t="inlineStr">
        <is>
          <t>富邦</t>
        </is>
      </c>
      <c r="B26" s="36" t="inlineStr">
        <is>
          <t>富邦尊御世界卡</t>
        </is>
      </c>
      <c r="C26" s="72" t="n">
        <v>0</v>
      </c>
      <c r="D26" s="72" t="n">
        <v>0</v>
      </c>
      <c r="E26" s="72" t="n">
        <v>0</v>
      </c>
      <c r="F26" s="72" t="n">
        <v>25000</v>
      </c>
      <c r="G26" s="68" t="inlineStr">
        <is>
          <t>邀請</t>
        </is>
      </c>
    </row>
    <row r="27">
      <c r="A27" s="36" t="inlineStr">
        <is>
          <t>富邦</t>
        </is>
      </c>
      <c r="B27" s="36" t="inlineStr">
        <is>
          <t>富邦世界卡</t>
        </is>
      </c>
      <c r="C27" s="72" t="n">
        <v>200</v>
      </c>
      <c r="D27" s="72" t="n">
        <v>0</v>
      </c>
      <c r="E27" s="72" t="n">
        <v>200</v>
      </c>
      <c r="F27" s="72" t="n">
        <v>5000</v>
      </c>
      <c r="G27" s="67" t="inlineStr">
        <is>
          <t>申請</t>
        </is>
      </c>
    </row>
    <row r="28">
      <c r="A28" s="36" t="inlineStr">
        <is>
          <t>富邦</t>
        </is>
      </c>
      <c r="B28" s="36" t="inlineStr">
        <is>
          <t>富邦無限卡</t>
        </is>
      </c>
      <c r="C28" s="72" t="n">
        <v>200</v>
      </c>
      <c r="D28" s="72" t="n">
        <v>0</v>
      </c>
      <c r="E28" s="72" t="n">
        <v>200</v>
      </c>
      <c r="F28" s="72" t="n">
        <v>5000</v>
      </c>
      <c r="G28" s="67" t="inlineStr">
        <is>
          <t>申請</t>
        </is>
      </c>
    </row>
    <row r="29">
      <c r="A29" s="36" t="inlineStr">
        <is>
          <t>花旗</t>
        </is>
      </c>
      <c r="B29" s="36" t="inlineStr">
        <is>
          <t>花旗寰旅無限卡</t>
        </is>
      </c>
      <c r="C29" s="72" t="n">
        <v>0</v>
      </c>
      <c r="D29" s="72" t="n">
        <v>0</v>
      </c>
      <c r="E29" s="72" t="n">
        <v>0</v>
      </c>
      <c r="F29" s="72" t="n">
        <v>2400</v>
      </c>
      <c r="G29" s="67" t="inlineStr">
        <is>
          <t>申請</t>
        </is>
      </c>
    </row>
    <row r="30">
      <c r="A30" s="36" t="inlineStr">
        <is>
          <t>花旗</t>
        </is>
      </c>
      <c r="B30" s="36" t="inlineStr">
        <is>
          <t>花旗Prestige</t>
        </is>
      </c>
      <c r="C30" s="72" t="n">
        <v>140</v>
      </c>
      <c r="D30" s="72" t="n">
        <v>0</v>
      </c>
      <c r="E30" s="72" t="n">
        <v>140</v>
      </c>
      <c r="F30" s="72" t="n">
        <v>20000</v>
      </c>
      <c r="G30" s="67" t="inlineStr">
        <is>
          <t>申請</t>
        </is>
      </c>
    </row>
    <row r="31">
      <c r="A31" s="36" t="inlineStr">
        <is>
          <t>聯邦</t>
        </is>
      </c>
      <c r="B31" s="36" t="inlineStr">
        <is>
          <t>聯邦理財型無限卡</t>
        </is>
      </c>
      <c r="C31" s="72" t="n">
        <v>0</v>
      </c>
      <c r="D31" s="72" t="n">
        <v>0</v>
      </c>
      <c r="E31" s="72" t="n">
        <v>0</v>
      </c>
      <c r="F31" s="72" t="n">
        <v>12000</v>
      </c>
      <c r="G31" s="67" t="inlineStr">
        <is>
          <t>申請</t>
        </is>
      </c>
    </row>
    <row r="32">
      <c r="A32" s="36" t="inlineStr">
        <is>
          <t>聯邦</t>
        </is>
      </c>
      <c r="B32" s="36" t="inlineStr">
        <is>
          <t>聯邦微風無限卡</t>
        </is>
      </c>
      <c r="C32" s="72" t="n">
        <v>0</v>
      </c>
      <c r="D32" s="72" t="n">
        <v>0</v>
      </c>
      <c r="E32" s="72" t="n">
        <v>0</v>
      </c>
      <c r="F32" s="72" t="n">
        <v>5000</v>
      </c>
      <c r="G32" s="67" t="inlineStr">
        <is>
          <t>申請</t>
        </is>
      </c>
      <c r="H32" s="67" t="inlineStr">
        <is>
          <t>購物</t>
        </is>
      </c>
    </row>
    <row r="33">
      <c r="A33" s="36" t="inlineStr">
        <is>
          <t>永豐</t>
        </is>
      </c>
      <c r="B33" s="36" t="inlineStr">
        <is>
          <t>永豐財富無限卡</t>
        </is>
      </c>
      <c r="C33" s="72" t="n">
        <v>0</v>
      </c>
      <c r="D33" s="72" t="n">
        <v>300</v>
      </c>
      <c r="E33" s="72" t="n">
        <v>300</v>
      </c>
      <c r="F33" s="72" t="n">
        <v>20000</v>
      </c>
      <c r="G33" s="68" t="inlineStr">
        <is>
          <t>邀請</t>
        </is>
      </c>
      <c r="H33" s="67" t="inlineStr">
        <is>
          <t>財管</t>
        </is>
      </c>
    </row>
    <row r="34">
      <c r="A34" s="36" t="inlineStr">
        <is>
          <t>永豐</t>
        </is>
      </c>
      <c r="B34" s="36" t="inlineStr">
        <is>
          <t>永豐世界卡</t>
        </is>
      </c>
      <c r="C34" s="72" t="n">
        <v>100</v>
      </c>
      <c r="D34" s="72" t="n">
        <v>250</v>
      </c>
      <c r="E34" s="72" t="n">
        <v>250</v>
      </c>
      <c r="F34" s="72" t="n">
        <v>20000</v>
      </c>
      <c r="G34" s="67" t="inlineStr">
        <is>
          <t>申請</t>
        </is>
      </c>
    </row>
    <row r="35">
      <c r="A35" s="36" t="inlineStr">
        <is>
          <t>永豐</t>
        </is>
      </c>
      <c r="B35" s="36" t="inlineStr">
        <is>
          <t>永豐VOLVO無限卡</t>
        </is>
      </c>
      <c r="C35" s="72" t="n">
        <v>200</v>
      </c>
      <c r="D35" s="72" t="n">
        <v>250</v>
      </c>
      <c r="E35" s="72" t="n">
        <v>250</v>
      </c>
      <c r="F35" s="72" t="n">
        <v>20000</v>
      </c>
      <c r="G35" s="67" t="inlineStr">
        <is>
          <t>申請</t>
        </is>
      </c>
    </row>
    <row r="36">
      <c r="A36" s="36" t="inlineStr">
        <is>
          <t>遠東</t>
        </is>
      </c>
      <c r="B36" s="36" t="inlineStr">
        <is>
          <t>遠東HG無限卡</t>
        </is>
      </c>
      <c r="C36" s="72" t="n">
        <v>0</v>
      </c>
      <c r="D36" s="72" t="n">
        <v>0</v>
      </c>
      <c r="E36" s="72" t="n">
        <v>0</v>
      </c>
      <c r="F36" s="72" t="n">
        <v>12000</v>
      </c>
      <c r="G36" s="67" t="inlineStr">
        <is>
          <t>申請</t>
        </is>
      </c>
      <c r="H36" s="67" t="inlineStr">
        <is>
          <t>購物</t>
        </is>
      </c>
    </row>
    <row r="37">
      <c r="A37" s="36" t="inlineStr">
        <is>
          <t>新光</t>
        </is>
      </c>
      <c r="B37" s="36" t="inlineStr">
        <is>
          <t>新光無限卡</t>
        </is>
      </c>
      <c r="C37" s="72" t="n">
        <v>200</v>
      </c>
      <c r="D37" s="72" t="n">
        <v>0</v>
      </c>
      <c r="E37" s="72" t="n">
        <v>200</v>
      </c>
      <c r="F37" s="72" t="n">
        <v>20000</v>
      </c>
      <c r="G37" s="67" t="inlineStr">
        <is>
          <t>申請</t>
        </is>
      </c>
    </row>
    <row r="38">
      <c r="A38" s="36" t="inlineStr">
        <is>
          <t>新光</t>
        </is>
      </c>
      <c r="B38" s="36" t="inlineStr">
        <is>
          <t>新光世界卡</t>
        </is>
      </c>
      <c r="C38" s="72" t="n">
        <v>80</v>
      </c>
      <c r="D38" s="72" t="n">
        <v>0</v>
      </c>
      <c r="E38" s="72" t="n">
        <v>80</v>
      </c>
      <c r="F38" s="72" t="n">
        <v>6000</v>
      </c>
      <c r="G38" s="67" t="inlineStr">
        <is>
          <t>申請</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10"/>
  <sheetViews>
    <sheetView zoomScaleNormal="100" workbookViewId="0">
      <selection activeCell="I18" sqref="I18"/>
    </sheetView>
  </sheetViews>
  <sheetFormatPr baseColWidth="8" defaultColWidth="8.453125" defaultRowHeight="17"/>
  <cols>
    <col width="18.6328125" customWidth="1" style="142" min="1" max="1"/>
    <col width="9.6328125" customWidth="1" style="142" min="2" max="2"/>
    <col width="10.90625" customWidth="1" style="142" min="3" max="6"/>
  </cols>
  <sheetData>
    <row r="1">
      <c r="A1" s="141" t="inlineStr">
        <is>
          <t>收單特約商店家數</t>
        </is>
      </c>
      <c r="B1" s="141" t="n">
        <v>2015</v>
      </c>
      <c r="C1" s="141" t="n">
        <v>2016</v>
      </c>
      <c r="D1" s="141" t="n">
        <v>2017</v>
      </c>
      <c r="E1" s="141" t="n">
        <v>2018</v>
      </c>
      <c r="F1" s="141" t="n">
        <v>2019</v>
      </c>
      <c r="G1" s="69" t="inlineStr">
        <is>
          <t>GR</t>
        </is>
      </c>
      <c r="H1" s="69" t="inlineStr">
        <is>
          <t>CAGR</t>
        </is>
      </c>
    </row>
    <row r="2">
      <c r="A2" s="174" t="inlineStr">
        <is>
          <t>中信</t>
        </is>
      </c>
      <c r="B2" s="172" t="n">
        <v>96122</v>
      </c>
      <c r="C2" s="172" t="n">
        <v>102860</v>
      </c>
      <c r="D2" s="172" t="n">
        <v>102314</v>
      </c>
      <c r="E2" s="172" t="n">
        <v>105079</v>
      </c>
      <c r="F2" s="172" t="n">
        <v>106682</v>
      </c>
      <c r="G2" s="34">
        <f>F2/B2-1</f>
        <v/>
      </c>
      <c r="H2" s="34">
        <f>(F2/B2)^(1/5)-1</f>
        <v/>
      </c>
    </row>
    <row r="3">
      <c r="A3" s="174" t="inlineStr">
        <is>
          <t>國泰</t>
        </is>
      </c>
      <c r="B3" s="172" t="n">
        <v>22515</v>
      </c>
      <c r="C3" s="172" t="n">
        <v>25246</v>
      </c>
      <c r="D3" s="172" t="n">
        <v>44703</v>
      </c>
      <c r="E3" s="172" t="n">
        <v>52406</v>
      </c>
      <c r="F3" s="172" t="n">
        <v>62836</v>
      </c>
      <c r="G3" s="34">
        <f>F3/B3-1</f>
        <v/>
      </c>
      <c r="H3" s="34">
        <f>(F3/B3)^(1/5)-1</f>
        <v/>
      </c>
    </row>
    <row r="4">
      <c r="A4" s="174" t="inlineStr">
        <is>
          <t>玉山</t>
        </is>
      </c>
      <c r="B4" s="172" t="n">
        <v>19011</v>
      </c>
      <c r="C4" s="172" t="n">
        <v>43140</v>
      </c>
      <c r="D4" s="172" t="n">
        <v>55135</v>
      </c>
      <c r="E4" s="172" t="n">
        <v>62556</v>
      </c>
      <c r="F4" s="172" t="n">
        <v>54706</v>
      </c>
      <c r="G4" s="34">
        <f>F4/B4-1</f>
        <v/>
      </c>
      <c r="H4" s="34">
        <f>(F4/B4)^(1/5)-1</f>
        <v/>
      </c>
    </row>
    <row r="5">
      <c r="A5" s="174" t="inlineStr">
        <is>
          <t>台新</t>
        </is>
      </c>
      <c r="B5" s="172" t="n">
        <v>89072</v>
      </c>
      <c r="C5" s="172" t="n">
        <v>103323</v>
      </c>
      <c r="D5" s="172" t="n">
        <v>119607</v>
      </c>
      <c r="E5" s="172" t="n">
        <v>125870</v>
      </c>
      <c r="F5" s="172" t="n">
        <v>144565</v>
      </c>
      <c r="G5" s="34">
        <f>F5/B5-1</f>
        <v/>
      </c>
      <c r="H5" s="34">
        <f>(F5/B5)^(1/5)-1</f>
        <v/>
      </c>
    </row>
    <row r="6">
      <c r="A6" s="174" t="inlineStr">
        <is>
          <t>富邦</t>
        </is>
      </c>
      <c r="B6" s="172" t="n">
        <v>697</v>
      </c>
      <c r="C6" s="172" t="n">
        <v>923</v>
      </c>
      <c r="D6" s="172" t="n">
        <v>1014</v>
      </c>
      <c r="E6" s="172" t="n">
        <v>4568</v>
      </c>
      <c r="F6" s="172" t="n">
        <v>6577</v>
      </c>
      <c r="G6" s="34">
        <f>F6/B6-1</f>
        <v/>
      </c>
      <c r="H6" s="34">
        <f>(F6/B6)^(1/5)-1</f>
        <v/>
      </c>
    </row>
    <row r="7">
      <c r="A7" s="174" t="inlineStr">
        <is>
          <t>花旗</t>
        </is>
      </c>
      <c r="B7" s="172" t="n">
        <v>38268</v>
      </c>
      <c r="C7" s="172" t="n">
        <v>37512</v>
      </c>
      <c r="D7" s="172" t="n">
        <v>36722</v>
      </c>
      <c r="E7" s="172" t="n">
        <v>36580</v>
      </c>
      <c r="F7" s="172" t="n">
        <v>32677</v>
      </c>
      <c r="G7" s="34">
        <f>F7/B7-1</f>
        <v/>
      </c>
      <c r="H7" s="34">
        <f>(F7/B7)^(1/5)-1</f>
        <v/>
      </c>
    </row>
    <row r="8">
      <c r="A8" s="174" t="inlineStr">
        <is>
          <t>聯邦</t>
        </is>
      </c>
      <c r="B8" s="172" t="n">
        <v>3577</v>
      </c>
      <c r="C8" s="172" t="n">
        <v>8775</v>
      </c>
      <c r="D8" s="172" t="n">
        <v>9672</v>
      </c>
      <c r="E8" s="172" t="n">
        <v>9646</v>
      </c>
      <c r="F8" s="172" t="n">
        <v>14236</v>
      </c>
      <c r="G8" s="34">
        <f>F8/B8-1</f>
        <v/>
      </c>
      <c r="H8" s="34">
        <f>(F8/B8)^(1/5)-1</f>
        <v/>
      </c>
    </row>
    <row r="9">
      <c r="A9" s="174" t="inlineStr">
        <is>
          <t>永豐</t>
        </is>
      </c>
      <c r="B9" s="172" t="n">
        <v>6309</v>
      </c>
      <c r="C9" s="172" t="n">
        <v>7853</v>
      </c>
      <c r="D9" s="172" t="n">
        <v>7409</v>
      </c>
      <c r="E9" s="172" t="n">
        <v>11482</v>
      </c>
      <c r="F9" s="172" t="n">
        <v>16003</v>
      </c>
      <c r="G9" s="34">
        <f>F9/B9-1</f>
        <v/>
      </c>
      <c r="H9" s="34">
        <f>(F9/B9)^(1/5)-1</f>
        <v/>
      </c>
    </row>
    <row r="10">
      <c r="A10" s="174" t="inlineStr">
        <is>
          <t>遠東</t>
        </is>
      </c>
      <c r="B10" s="172" t="n">
        <v>1217</v>
      </c>
      <c r="C10" s="172" t="n">
        <v>5608</v>
      </c>
      <c r="D10" s="172" t="n">
        <v>8424</v>
      </c>
      <c r="E10" s="172" t="n">
        <v>8205</v>
      </c>
      <c r="F10" s="172" t="n">
        <v>8334</v>
      </c>
      <c r="G10" s="34">
        <f>F10/B10-1</f>
        <v/>
      </c>
      <c r="H10" s="34">
        <f>(F10/B10)^(1/5)-1</f>
        <v/>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蘇裕翔-總經理辦公室-銀行</dc:creator>
  <dc:language xmlns:dc="http://purl.org/dc/elements/1.1/">en-US</dc:language>
  <dcterms:created xmlns:dcterms="http://purl.org/dc/terms/" xmlns:xsi="http://www.w3.org/2001/XMLSchema-instance" xsi:type="dcterms:W3CDTF">2020-04-06T10:09:03Z</dcterms:created>
  <dcterms:modified xmlns:dcterms="http://purl.org/dc/terms/" xmlns:xsi="http://www.w3.org/2001/XMLSchema-instance" xsi:type="dcterms:W3CDTF">2026-10-16T01:16:32Z</dcterms:modified>
  <cp:lastModifiedBy>可萱</cp:lastModifiedBy>
  <cp:revision>1</cp:revision>
</cp:coreProperties>
</file>